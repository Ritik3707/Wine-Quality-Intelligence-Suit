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RITIK RAUSHAN\OneDrive\Desktop\"/>
    </mc:Choice>
  </mc:AlternateContent>
  <xr:revisionPtr revIDLastSave="0" documentId="13_ncr:1_{99313A22-AC82-4DA0-9054-EB99D3348488}" xr6:coauthVersionLast="47" xr6:coauthVersionMax="47" xr10:uidLastSave="{00000000-0000-0000-0000-000000000000}"/>
  <bookViews>
    <workbookView xWindow="-108" yWindow="-108" windowWidth="23256" windowHeight="12456" activeTab="1" xr2:uid="{6F72AC6F-718A-42C3-BC5D-169792442621}"/>
  </bookViews>
  <sheets>
    <sheet name="Sheet2" sheetId="3" r:id="rId1"/>
    <sheet name="winequality-red" sheetId="2" r:id="rId2"/>
    <sheet name="Sheet1" sheetId="1" r:id="rId3"/>
  </sheets>
  <definedNames>
    <definedName name="ExternalData_1" localSheetId="1" hidden="1">'winequality-red'!$A$1:$L$1600</definedName>
    <definedName name="Slicer_alcohol">#N/A</definedName>
    <definedName name="Slicer_Banding">#N/A</definedName>
    <definedName name="Slicer_pH">#N/A</definedName>
    <definedName name="Slicer_quality">#N/A</definedName>
  </definedNames>
  <calcPr calcId="191029"/>
  <pivotCaches>
    <pivotCache cacheId="25"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2" l="1"/>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X502" i="2"/>
  <c r="X503" i="2"/>
  <c r="X504" i="2"/>
  <c r="X505" i="2"/>
  <c r="X506" i="2"/>
  <c r="X507" i="2"/>
  <c r="X508" i="2"/>
  <c r="X509" i="2"/>
  <c r="X510" i="2"/>
  <c r="X511" i="2"/>
  <c r="X512" i="2"/>
  <c r="X513" i="2"/>
  <c r="X514" i="2"/>
  <c r="X515" i="2"/>
  <c r="X516" i="2"/>
  <c r="X517" i="2"/>
  <c r="X518" i="2"/>
  <c r="X519" i="2"/>
  <c r="X520" i="2"/>
  <c r="X521" i="2"/>
  <c r="X522" i="2"/>
  <c r="X523" i="2"/>
  <c r="X524" i="2"/>
  <c r="X525" i="2"/>
  <c r="X526" i="2"/>
  <c r="X527" i="2"/>
  <c r="X528" i="2"/>
  <c r="X529" i="2"/>
  <c r="X530" i="2"/>
  <c r="X531" i="2"/>
  <c r="X532" i="2"/>
  <c r="X533" i="2"/>
  <c r="X534" i="2"/>
  <c r="X535" i="2"/>
  <c r="X536" i="2"/>
  <c r="X537" i="2"/>
  <c r="X538" i="2"/>
  <c r="X539" i="2"/>
  <c r="X540" i="2"/>
  <c r="X541" i="2"/>
  <c r="X542" i="2"/>
  <c r="X543" i="2"/>
  <c r="X544" i="2"/>
  <c r="X545" i="2"/>
  <c r="X546" i="2"/>
  <c r="X547" i="2"/>
  <c r="X548" i="2"/>
  <c r="X549" i="2"/>
  <c r="X550" i="2"/>
  <c r="X551" i="2"/>
  <c r="X552" i="2"/>
  <c r="X553" i="2"/>
  <c r="X554" i="2"/>
  <c r="X555" i="2"/>
  <c r="X556" i="2"/>
  <c r="X557" i="2"/>
  <c r="X558" i="2"/>
  <c r="X559" i="2"/>
  <c r="X560" i="2"/>
  <c r="X561" i="2"/>
  <c r="X562" i="2"/>
  <c r="X563" i="2"/>
  <c r="X564" i="2"/>
  <c r="X565" i="2"/>
  <c r="X566" i="2"/>
  <c r="X567" i="2"/>
  <c r="X568" i="2"/>
  <c r="X569" i="2"/>
  <c r="X570" i="2"/>
  <c r="X571" i="2"/>
  <c r="X572" i="2"/>
  <c r="X573" i="2"/>
  <c r="X574" i="2"/>
  <c r="X575" i="2"/>
  <c r="X576" i="2"/>
  <c r="X577" i="2"/>
  <c r="X578" i="2"/>
  <c r="X579" i="2"/>
  <c r="X580" i="2"/>
  <c r="X581" i="2"/>
  <c r="X582" i="2"/>
  <c r="X583" i="2"/>
  <c r="X584" i="2"/>
  <c r="X585" i="2"/>
  <c r="X586" i="2"/>
  <c r="X587" i="2"/>
  <c r="X588" i="2"/>
  <c r="X589" i="2"/>
  <c r="X590" i="2"/>
  <c r="X591" i="2"/>
  <c r="X592" i="2"/>
  <c r="X593" i="2"/>
  <c r="X594" i="2"/>
  <c r="X595" i="2"/>
  <c r="X596" i="2"/>
  <c r="X597" i="2"/>
  <c r="X598" i="2"/>
  <c r="X599" i="2"/>
  <c r="X600" i="2"/>
  <c r="X601" i="2"/>
  <c r="X602" i="2"/>
  <c r="X603" i="2"/>
  <c r="X604" i="2"/>
  <c r="X605" i="2"/>
  <c r="X606" i="2"/>
  <c r="X607" i="2"/>
  <c r="X608" i="2"/>
  <c r="X609" i="2"/>
  <c r="X610" i="2"/>
  <c r="X611" i="2"/>
  <c r="X612" i="2"/>
  <c r="X613" i="2"/>
  <c r="X614" i="2"/>
  <c r="X615" i="2"/>
  <c r="X616" i="2"/>
  <c r="X617" i="2"/>
  <c r="X618" i="2"/>
  <c r="X619" i="2"/>
  <c r="X620" i="2"/>
  <c r="X621" i="2"/>
  <c r="X622" i="2"/>
  <c r="X623" i="2"/>
  <c r="X624" i="2"/>
  <c r="X625" i="2"/>
  <c r="X626" i="2"/>
  <c r="X627" i="2"/>
  <c r="X628" i="2"/>
  <c r="X629" i="2"/>
  <c r="X630" i="2"/>
  <c r="X631" i="2"/>
  <c r="X632" i="2"/>
  <c r="X633" i="2"/>
  <c r="X634" i="2"/>
  <c r="X635" i="2"/>
  <c r="X636" i="2"/>
  <c r="X637" i="2"/>
  <c r="X638" i="2"/>
  <c r="X639" i="2"/>
  <c r="X640" i="2"/>
  <c r="X641" i="2"/>
  <c r="X642" i="2"/>
  <c r="X643" i="2"/>
  <c r="X644" i="2"/>
  <c r="X645" i="2"/>
  <c r="X646" i="2"/>
  <c r="X647" i="2"/>
  <c r="X648" i="2"/>
  <c r="X649" i="2"/>
  <c r="X650" i="2"/>
  <c r="X651" i="2"/>
  <c r="X652" i="2"/>
  <c r="X653" i="2"/>
  <c r="X654" i="2"/>
  <c r="X655" i="2"/>
  <c r="X656" i="2"/>
  <c r="X657" i="2"/>
  <c r="X658" i="2"/>
  <c r="X659" i="2"/>
  <c r="X660" i="2"/>
  <c r="X661" i="2"/>
  <c r="X662" i="2"/>
  <c r="X663" i="2"/>
  <c r="X664" i="2"/>
  <c r="X665" i="2"/>
  <c r="X666" i="2"/>
  <c r="X667" i="2"/>
  <c r="X668" i="2"/>
  <c r="X669" i="2"/>
  <c r="X670" i="2"/>
  <c r="X671" i="2"/>
  <c r="X672" i="2"/>
  <c r="X673" i="2"/>
  <c r="X674" i="2"/>
  <c r="X675" i="2"/>
  <c r="X676" i="2"/>
  <c r="X677" i="2"/>
  <c r="X678" i="2"/>
  <c r="X679" i="2"/>
  <c r="X680" i="2"/>
  <c r="X681" i="2"/>
  <c r="X682" i="2"/>
  <c r="X683" i="2"/>
  <c r="X684" i="2"/>
  <c r="X685" i="2"/>
  <c r="X686" i="2"/>
  <c r="X687" i="2"/>
  <c r="X688" i="2"/>
  <c r="X689" i="2"/>
  <c r="X690" i="2"/>
  <c r="X691" i="2"/>
  <c r="X692" i="2"/>
  <c r="X693" i="2"/>
  <c r="X694" i="2"/>
  <c r="X695" i="2"/>
  <c r="X696" i="2"/>
  <c r="X697" i="2"/>
  <c r="X698" i="2"/>
  <c r="X699" i="2"/>
  <c r="X700" i="2"/>
  <c r="X701" i="2"/>
  <c r="X702" i="2"/>
  <c r="X703" i="2"/>
  <c r="X704" i="2"/>
  <c r="X705" i="2"/>
  <c r="X706" i="2"/>
  <c r="X707" i="2"/>
  <c r="X708" i="2"/>
  <c r="X709" i="2"/>
  <c r="X710" i="2"/>
  <c r="X711" i="2"/>
  <c r="X712" i="2"/>
  <c r="X713" i="2"/>
  <c r="X714" i="2"/>
  <c r="X715" i="2"/>
  <c r="X716" i="2"/>
  <c r="X717" i="2"/>
  <c r="X718" i="2"/>
  <c r="X719" i="2"/>
  <c r="X720" i="2"/>
  <c r="X721" i="2"/>
  <c r="X722" i="2"/>
  <c r="X723" i="2"/>
  <c r="X724" i="2"/>
  <c r="X725" i="2"/>
  <c r="X726" i="2"/>
  <c r="X727" i="2"/>
  <c r="X728" i="2"/>
  <c r="X729" i="2"/>
  <c r="X730" i="2"/>
  <c r="X731" i="2"/>
  <c r="X732" i="2"/>
  <c r="X733" i="2"/>
  <c r="X734" i="2"/>
  <c r="X735" i="2"/>
  <c r="X736" i="2"/>
  <c r="X737" i="2"/>
  <c r="X738" i="2"/>
  <c r="X739" i="2"/>
  <c r="X740" i="2"/>
  <c r="X741" i="2"/>
  <c r="X742" i="2"/>
  <c r="X743" i="2"/>
  <c r="X744" i="2"/>
  <c r="X745" i="2"/>
  <c r="X746" i="2"/>
  <c r="X747" i="2"/>
  <c r="X748" i="2"/>
  <c r="X749" i="2"/>
  <c r="X750" i="2"/>
  <c r="X751" i="2"/>
  <c r="X752" i="2"/>
  <c r="X753" i="2"/>
  <c r="X754" i="2"/>
  <c r="X755" i="2"/>
  <c r="X756" i="2"/>
  <c r="X757" i="2"/>
  <c r="X758" i="2"/>
  <c r="X759" i="2"/>
  <c r="X760" i="2"/>
  <c r="X761" i="2"/>
  <c r="X762" i="2"/>
  <c r="X763" i="2"/>
  <c r="X764" i="2"/>
  <c r="X765" i="2"/>
  <c r="X766" i="2"/>
  <c r="X767" i="2"/>
  <c r="X768" i="2"/>
  <c r="X769" i="2"/>
  <c r="X770" i="2"/>
  <c r="X771" i="2"/>
  <c r="X772" i="2"/>
  <c r="X773" i="2"/>
  <c r="X774" i="2"/>
  <c r="X775" i="2"/>
  <c r="X776" i="2"/>
  <c r="X777" i="2"/>
  <c r="X778" i="2"/>
  <c r="X779" i="2"/>
  <c r="X780" i="2"/>
  <c r="X781" i="2"/>
  <c r="X782" i="2"/>
  <c r="X783" i="2"/>
  <c r="X784" i="2"/>
  <c r="X785" i="2"/>
  <c r="X786" i="2"/>
  <c r="X787" i="2"/>
  <c r="X788" i="2"/>
  <c r="X789" i="2"/>
  <c r="X790" i="2"/>
  <c r="X791" i="2"/>
  <c r="X792" i="2"/>
  <c r="X793" i="2"/>
  <c r="X794" i="2"/>
  <c r="X795" i="2"/>
  <c r="X796" i="2"/>
  <c r="X797" i="2"/>
  <c r="X798" i="2"/>
  <c r="X799" i="2"/>
  <c r="X800" i="2"/>
  <c r="X801" i="2"/>
  <c r="X802" i="2"/>
  <c r="X803" i="2"/>
  <c r="X804" i="2"/>
  <c r="X805" i="2"/>
  <c r="X806" i="2"/>
  <c r="X807" i="2"/>
  <c r="X808" i="2"/>
  <c r="X809" i="2"/>
  <c r="X810" i="2"/>
  <c r="X811" i="2"/>
  <c r="X812" i="2"/>
  <c r="X813" i="2"/>
  <c r="X814" i="2"/>
  <c r="X815" i="2"/>
  <c r="X816" i="2"/>
  <c r="X817" i="2"/>
  <c r="X818" i="2"/>
  <c r="X819" i="2"/>
  <c r="X820" i="2"/>
  <c r="X821" i="2"/>
  <c r="X822" i="2"/>
  <c r="X823" i="2"/>
  <c r="X824" i="2"/>
  <c r="X825" i="2"/>
  <c r="X826" i="2"/>
  <c r="X827" i="2"/>
  <c r="X828" i="2"/>
  <c r="X829" i="2"/>
  <c r="X830" i="2"/>
  <c r="X831" i="2"/>
  <c r="X832" i="2"/>
  <c r="X833" i="2"/>
  <c r="X834" i="2"/>
  <c r="X835" i="2"/>
  <c r="X836" i="2"/>
  <c r="X837" i="2"/>
  <c r="X838" i="2"/>
  <c r="X839" i="2"/>
  <c r="X840" i="2"/>
  <c r="X841" i="2"/>
  <c r="X842" i="2"/>
  <c r="X843" i="2"/>
  <c r="X844" i="2"/>
  <c r="X845" i="2"/>
  <c r="X846" i="2"/>
  <c r="X847" i="2"/>
  <c r="X848" i="2"/>
  <c r="X849" i="2"/>
  <c r="X850" i="2"/>
  <c r="X851" i="2"/>
  <c r="X852" i="2"/>
  <c r="X853" i="2"/>
  <c r="X854" i="2"/>
  <c r="X855" i="2"/>
  <c r="X856" i="2"/>
  <c r="X857" i="2"/>
  <c r="X858" i="2"/>
  <c r="X859" i="2"/>
  <c r="X860" i="2"/>
  <c r="X861" i="2"/>
  <c r="X862" i="2"/>
  <c r="X863" i="2"/>
  <c r="X864" i="2"/>
  <c r="X865" i="2"/>
  <c r="X866" i="2"/>
  <c r="X867" i="2"/>
  <c r="X868" i="2"/>
  <c r="X869" i="2"/>
  <c r="X870" i="2"/>
  <c r="X871" i="2"/>
  <c r="X872" i="2"/>
  <c r="X873" i="2"/>
  <c r="X874" i="2"/>
  <c r="X875" i="2"/>
  <c r="X876" i="2"/>
  <c r="X877" i="2"/>
  <c r="X878" i="2"/>
  <c r="X879" i="2"/>
  <c r="X880" i="2"/>
  <c r="X881" i="2"/>
  <c r="X882" i="2"/>
  <c r="X883" i="2"/>
  <c r="X884" i="2"/>
  <c r="X885" i="2"/>
  <c r="X886" i="2"/>
  <c r="X887" i="2"/>
  <c r="X888" i="2"/>
  <c r="X889" i="2"/>
  <c r="X890" i="2"/>
  <c r="X891" i="2"/>
  <c r="X892" i="2"/>
  <c r="X893" i="2"/>
  <c r="X894" i="2"/>
  <c r="X895" i="2"/>
  <c r="X896" i="2"/>
  <c r="X897" i="2"/>
  <c r="X898" i="2"/>
  <c r="X899" i="2"/>
  <c r="X900" i="2"/>
  <c r="X901" i="2"/>
  <c r="X902" i="2"/>
  <c r="X903" i="2"/>
  <c r="X904" i="2"/>
  <c r="X905" i="2"/>
  <c r="X906" i="2"/>
  <c r="X907" i="2"/>
  <c r="X908" i="2"/>
  <c r="X909" i="2"/>
  <c r="X910" i="2"/>
  <c r="X911" i="2"/>
  <c r="X912" i="2"/>
  <c r="X913" i="2"/>
  <c r="X914" i="2"/>
  <c r="X915" i="2"/>
  <c r="X916" i="2"/>
  <c r="X917" i="2"/>
  <c r="X918" i="2"/>
  <c r="X919" i="2"/>
  <c r="X920" i="2"/>
  <c r="X921" i="2"/>
  <c r="X922" i="2"/>
  <c r="X923" i="2"/>
  <c r="X924" i="2"/>
  <c r="X925" i="2"/>
  <c r="X926" i="2"/>
  <c r="X927" i="2"/>
  <c r="X928" i="2"/>
  <c r="X929" i="2"/>
  <c r="X930" i="2"/>
  <c r="X931" i="2"/>
  <c r="X932" i="2"/>
  <c r="X933" i="2"/>
  <c r="X934" i="2"/>
  <c r="X935" i="2"/>
  <c r="X936" i="2"/>
  <c r="X937" i="2"/>
  <c r="X938" i="2"/>
  <c r="X939" i="2"/>
  <c r="X940" i="2"/>
  <c r="X941" i="2"/>
  <c r="X942" i="2"/>
  <c r="X943" i="2"/>
  <c r="X944" i="2"/>
  <c r="X945" i="2"/>
  <c r="X946" i="2"/>
  <c r="X947" i="2"/>
  <c r="X948" i="2"/>
  <c r="X949" i="2"/>
  <c r="X950" i="2"/>
  <c r="X951" i="2"/>
  <c r="X952" i="2"/>
  <c r="X953" i="2"/>
  <c r="X954" i="2"/>
  <c r="X955" i="2"/>
  <c r="X956" i="2"/>
  <c r="X957" i="2"/>
  <c r="X958" i="2"/>
  <c r="X959" i="2"/>
  <c r="X960" i="2"/>
  <c r="X961" i="2"/>
  <c r="X962" i="2"/>
  <c r="X963" i="2"/>
  <c r="X964" i="2"/>
  <c r="X965" i="2"/>
  <c r="X966" i="2"/>
  <c r="X967" i="2"/>
  <c r="X968" i="2"/>
  <c r="X969" i="2"/>
  <c r="X970" i="2"/>
  <c r="X971" i="2"/>
  <c r="X972" i="2"/>
  <c r="X973" i="2"/>
  <c r="X974" i="2"/>
  <c r="X975" i="2"/>
  <c r="X976" i="2"/>
  <c r="X977" i="2"/>
  <c r="X978" i="2"/>
  <c r="X979" i="2"/>
  <c r="X980" i="2"/>
  <c r="X981" i="2"/>
  <c r="X982" i="2"/>
  <c r="X983" i="2"/>
  <c r="X984" i="2"/>
  <c r="X985" i="2"/>
  <c r="X986" i="2"/>
  <c r="X987" i="2"/>
  <c r="X988" i="2"/>
  <c r="X989" i="2"/>
  <c r="X990" i="2"/>
  <c r="X991" i="2"/>
  <c r="X992" i="2"/>
  <c r="X993" i="2"/>
  <c r="X994" i="2"/>
  <c r="X995" i="2"/>
  <c r="X996" i="2"/>
  <c r="X997" i="2"/>
  <c r="X998" i="2"/>
  <c r="X999" i="2"/>
  <c r="X1000" i="2"/>
  <c r="X1001" i="2"/>
  <c r="X1002" i="2"/>
  <c r="X1003" i="2"/>
  <c r="X1004" i="2"/>
  <c r="X1005" i="2"/>
  <c r="X1006" i="2"/>
  <c r="X1007" i="2"/>
  <c r="X1008" i="2"/>
  <c r="X1009" i="2"/>
  <c r="X1010" i="2"/>
  <c r="X1011" i="2"/>
  <c r="X1012" i="2"/>
  <c r="X1013" i="2"/>
  <c r="X1014" i="2"/>
  <c r="X1015" i="2"/>
  <c r="X1016" i="2"/>
  <c r="X1017" i="2"/>
  <c r="X1018" i="2"/>
  <c r="X1019" i="2"/>
  <c r="X1020" i="2"/>
  <c r="X1021" i="2"/>
  <c r="X1022" i="2"/>
  <c r="X1023" i="2"/>
  <c r="X1024" i="2"/>
  <c r="X1025" i="2"/>
  <c r="X1026" i="2"/>
  <c r="X1027" i="2"/>
  <c r="X1028" i="2"/>
  <c r="X1029" i="2"/>
  <c r="X1030" i="2"/>
  <c r="X1031" i="2"/>
  <c r="X1032" i="2"/>
  <c r="X1033" i="2"/>
  <c r="X1034" i="2"/>
  <c r="X1035" i="2"/>
  <c r="X1036" i="2"/>
  <c r="X1037" i="2"/>
  <c r="X1038" i="2"/>
  <c r="X1039" i="2"/>
  <c r="X1040" i="2"/>
  <c r="X1041" i="2"/>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W502" i="2"/>
  <c r="W503" i="2"/>
  <c r="W504" i="2"/>
  <c r="W505" i="2"/>
  <c r="W506" i="2"/>
  <c r="W507" i="2"/>
  <c r="W508" i="2"/>
  <c r="W509" i="2"/>
  <c r="W510" i="2"/>
  <c r="W511" i="2"/>
  <c r="W512" i="2"/>
  <c r="W513" i="2"/>
  <c r="W514" i="2"/>
  <c r="W515" i="2"/>
  <c r="W516" i="2"/>
  <c r="W517" i="2"/>
  <c r="W518" i="2"/>
  <c r="W519" i="2"/>
  <c r="W520" i="2"/>
  <c r="W521" i="2"/>
  <c r="W522" i="2"/>
  <c r="W523" i="2"/>
  <c r="W524" i="2"/>
  <c r="W525" i="2"/>
  <c r="W526" i="2"/>
  <c r="W527" i="2"/>
  <c r="W528" i="2"/>
  <c r="W529" i="2"/>
  <c r="W530" i="2"/>
  <c r="W531" i="2"/>
  <c r="W532" i="2"/>
  <c r="W533" i="2"/>
  <c r="W534" i="2"/>
  <c r="W535" i="2"/>
  <c r="W536" i="2"/>
  <c r="W537" i="2"/>
  <c r="W538" i="2"/>
  <c r="W539" i="2"/>
  <c r="W540" i="2"/>
  <c r="W541" i="2"/>
  <c r="W542" i="2"/>
  <c r="W543" i="2"/>
  <c r="W544" i="2"/>
  <c r="W545" i="2"/>
  <c r="W546" i="2"/>
  <c r="W547" i="2"/>
  <c r="W548" i="2"/>
  <c r="W549" i="2"/>
  <c r="W550" i="2"/>
  <c r="W551" i="2"/>
  <c r="W552" i="2"/>
  <c r="W553" i="2"/>
  <c r="W554" i="2"/>
  <c r="W555" i="2"/>
  <c r="W556" i="2"/>
  <c r="W557" i="2"/>
  <c r="W558" i="2"/>
  <c r="W559" i="2"/>
  <c r="W560" i="2"/>
  <c r="W561" i="2"/>
  <c r="W562" i="2"/>
  <c r="W563" i="2"/>
  <c r="W564" i="2"/>
  <c r="W565" i="2"/>
  <c r="W566" i="2"/>
  <c r="W567" i="2"/>
  <c r="W568" i="2"/>
  <c r="W569" i="2"/>
  <c r="W570" i="2"/>
  <c r="W571" i="2"/>
  <c r="W572" i="2"/>
  <c r="W573" i="2"/>
  <c r="W574" i="2"/>
  <c r="W575" i="2"/>
  <c r="W576" i="2"/>
  <c r="W577" i="2"/>
  <c r="W578" i="2"/>
  <c r="W579" i="2"/>
  <c r="W580" i="2"/>
  <c r="W581" i="2"/>
  <c r="W582" i="2"/>
  <c r="W583" i="2"/>
  <c r="W584" i="2"/>
  <c r="W585" i="2"/>
  <c r="W586" i="2"/>
  <c r="W587" i="2"/>
  <c r="W588" i="2"/>
  <c r="W589" i="2"/>
  <c r="W590" i="2"/>
  <c r="W591" i="2"/>
  <c r="W592" i="2"/>
  <c r="W593" i="2"/>
  <c r="W594" i="2"/>
  <c r="W595" i="2"/>
  <c r="W596" i="2"/>
  <c r="W597" i="2"/>
  <c r="W598" i="2"/>
  <c r="W599" i="2"/>
  <c r="W600" i="2"/>
  <c r="W601" i="2"/>
  <c r="W602" i="2"/>
  <c r="W603" i="2"/>
  <c r="W604" i="2"/>
  <c r="W605" i="2"/>
  <c r="W606" i="2"/>
  <c r="W607" i="2"/>
  <c r="W608" i="2"/>
  <c r="W609" i="2"/>
  <c r="W610" i="2"/>
  <c r="W611" i="2"/>
  <c r="W612" i="2"/>
  <c r="W613" i="2"/>
  <c r="W614" i="2"/>
  <c r="W615" i="2"/>
  <c r="W616" i="2"/>
  <c r="W617" i="2"/>
  <c r="W618" i="2"/>
  <c r="W619" i="2"/>
  <c r="W620" i="2"/>
  <c r="W621" i="2"/>
  <c r="W622" i="2"/>
  <c r="W623" i="2"/>
  <c r="W624" i="2"/>
  <c r="W625" i="2"/>
  <c r="W626" i="2"/>
  <c r="W627" i="2"/>
  <c r="W628" i="2"/>
  <c r="W629" i="2"/>
  <c r="W630" i="2"/>
  <c r="W631" i="2"/>
  <c r="W632" i="2"/>
  <c r="W633" i="2"/>
  <c r="W634" i="2"/>
  <c r="W635" i="2"/>
  <c r="W636" i="2"/>
  <c r="W637" i="2"/>
  <c r="W638" i="2"/>
  <c r="W639" i="2"/>
  <c r="W640" i="2"/>
  <c r="W641" i="2"/>
  <c r="W642" i="2"/>
  <c r="W643" i="2"/>
  <c r="W644" i="2"/>
  <c r="W645" i="2"/>
  <c r="W646" i="2"/>
  <c r="W647" i="2"/>
  <c r="W648" i="2"/>
  <c r="W649" i="2"/>
  <c r="W650" i="2"/>
  <c r="W651" i="2"/>
  <c r="W652" i="2"/>
  <c r="W653" i="2"/>
  <c r="W654" i="2"/>
  <c r="W655" i="2"/>
  <c r="W656" i="2"/>
  <c r="W657" i="2"/>
  <c r="W658" i="2"/>
  <c r="W659" i="2"/>
  <c r="W660" i="2"/>
  <c r="W661" i="2"/>
  <c r="W662" i="2"/>
  <c r="W663" i="2"/>
  <c r="W664" i="2"/>
  <c r="W665" i="2"/>
  <c r="W666" i="2"/>
  <c r="W667" i="2"/>
  <c r="W668" i="2"/>
  <c r="W669" i="2"/>
  <c r="W670" i="2"/>
  <c r="W671" i="2"/>
  <c r="W672" i="2"/>
  <c r="W673" i="2"/>
  <c r="W674" i="2"/>
  <c r="W675" i="2"/>
  <c r="W676" i="2"/>
  <c r="W677" i="2"/>
  <c r="W678" i="2"/>
  <c r="W679" i="2"/>
  <c r="W680" i="2"/>
  <c r="W681" i="2"/>
  <c r="W682" i="2"/>
  <c r="W683" i="2"/>
  <c r="W684" i="2"/>
  <c r="W685" i="2"/>
  <c r="W686" i="2"/>
  <c r="W687" i="2"/>
  <c r="W688" i="2"/>
  <c r="W689" i="2"/>
  <c r="W690" i="2"/>
  <c r="W691" i="2"/>
  <c r="W692" i="2"/>
  <c r="W693" i="2"/>
  <c r="W694" i="2"/>
  <c r="W695" i="2"/>
  <c r="W696" i="2"/>
  <c r="W697" i="2"/>
  <c r="W698" i="2"/>
  <c r="W699" i="2"/>
  <c r="W700" i="2"/>
  <c r="W701" i="2"/>
  <c r="W702" i="2"/>
  <c r="W703" i="2"/>
  <c r="W704" i="2"/>
  <c r="W705" i="2"/>
  <c r="W706" i="2"/>
  <c r="W707" i="2"/>
  <c r="W708" i="2"/>
  <c r="W709" i="2"/>
  <c r="W710" i="2"/>
  <c r="W711" i="2"/>
  <c r="W712" i="2"/>
  <c r="W713" i="2"/>
  <c r="W714" i="2"/>
  <c r="W715" i="2"/>
  <c r="W716" i="2"/>
  <c r="W717" i="2"/>
  <c r="W718" i="2"/>
  <c r="W719" i="2"/>
  <c r="W720" i="2"/>
  <c r="W721" i="2"/>
  <c r="W722" i="2"/>
  <c r="W723" i="2"/>
  <c r="W724" i="2"/>
  <c r="W725" i="2"/>
  <c r="W726" i="2"/>
  <c r="W727" i="2"/>
  <c r="W728" i="2"/>
  <c r="W729" i="2"/>
  <c r="W730" i="2"/>
  <c r="W731" i="2"/>
  <c r="W732" i="2"/>
  <c r="W733" i="2"/>
  <c r="W734" i="2"/>
  <c r="W735" i="2"/>
  <c r="W736" i="2"/>
  <c r="W737" i="2"/>
  <c r="W738" i="2"/>
  <c r="W739" i="2"/>
  <c r="W740" i="2"/>
  <c r="W741" i="2"/>
  <c r="W742" i="2"/>
  <c r="W743" i="2"/>
  <c r="W744" i="2"/>
  <c r="W745" i="2"/>
  <c r="W746" i="2"/>
  <c r="W747" i="2"/>
  <c r="W748" i="2"/>
  <c r="W749" i="2"/>
  <c r="W750" i="2"/>
  <c r="W751" i="2"/>
  <c r="W752" i="2"/>
  <c r="W753" i="2"/>
  <c r="W754" i="2"/>
  <c r="W755" i="2"/>
  <c r="W756" i="2"/>
  <c r="W757" i="2"/>
  <c r="W758" i="2"/>
  <c r="W759" i="2"/>
  <c r="W760" i="2"/>
  <c r="W761" i="2"/>
  <c r="W762" i="2"/>
  <c r="W763" i="2"/>
  <c r="W764" i="2"/>
  <c r="W765" i="2"/>
  <c r="W766" i="2"/>
  <c r="W767" i="2"/>
  <c r="W768" i="2"/>
  <c r="W769" i="2"/>
  <c r="W770" i="2"/>
  <c r="W771" i="2"/>
  <c r="W772" i="2"/>
  <c r="W773" i="2"/>
  <c r="W774" i="2"/>
  <c r="W775" i="2"/>
  <c r="W776" i="2"/>
  <c r="W777" i="2"/>
  <c r="W778" i="2"/>
  <c r="W779" i="2"/>
  <c r="W780" i="2"/>
  <c r="W781" i="2"/>
  <c r="W782" i="2"/>
  <c r="W783" i="2"/>
  <c r="W784" i="2"/>
  <c r="W785" i="2"/>
  <c r="W786" i="2"/>
  <c r="W787" i="2"/>
  <c r="W788" i="2"/>
  <c r="W789" i="2"/>
  <c r="W790" i="2"/>
  <c r="W791" i="2"/>
  <c r="W792" i="2"/>
  <c r="W793" i="2"/>
  <c r="W794" i="2"/>
  <c r="W795" i="2"/>
  <c r="W796" i="2"/>
  <c r="W797" i="2"/>
  <c r="W798" i="2"/>
  <c r="W799" i="2"/>
  <c r="W800" i="2"/>
  <c r="W801" i="2"/>
  <c r="W802" i="2"/>
  <c r="W803" i="2"/>
  <c r="W804" i="2"/>
  <c r="W805" i="2"/>
  <c r="W806" i="2"/>
  <c r="W807" i="2"/>
  <c r="W808" i="2"/>
  <c r="W809" i="2"/>
  <c r="W810" i="2"/>
  <c r="W811" i="2"/>
  <c r="W812" i="2"/>
  <c r="W813" i="2"/>
  <c r="W814" i="2"/>
  <c r="W815" i="2"/>
  <c r="W816" i="2"/>
  <c r="W817" i="2"/>
  <c r="W818" i="2"/>
  <c r="W819" i="2"/>
  <c r="W820" i="2"/>
  <c r="W821" i="2"/>
  <c r="W822" i="2"/>
  <c r="W823" i="2"/>
  <c r="W824" i="2"/>
  <c r="W825" i="2"/>
  <c r="W826" i="2"/>
  <c r="W827" i="2"/>
  <c r="W828" i="2"/>
  <c r="W829" i="2"/>
  <c r="W830" i="2"/>
  <c r="W831" i="2"/>
  <c r="W832" i="2"/>
  <c r="W833" i="2"/>
  <c r="W834" i="2"/>
  <c r="W835" i="2"/>
  <c r="W836" i="2"/>
  <c r="W837" i="2"/>
  <c r="W838" i="2"/>
  <c r="W839" i="2"/>
  <c r="W840" i="2"/>
  <c r="W841" i="2"/>
  <c r="W842" i="2"/>
  <c r="W843" i="2"/>
  <c r="W844" i="2"/>
  <c r="W845" i="2"/>
  <c r="W846" i="2"/>
  <c r="W847" i="2"/>
  <c r="W848" i="2"/>
  <c r="W849" i="2"/>
  <c r="W850" i="2"/>
  <c r="W851" i="2"/>
  <c r="W852" i="2"/>
  <c r="W853" i="2"/>
  <c r="W854" i="2"/>
  <c r="W855" i="2"/>
  <c r="W856" i="2"/>
  <c r="W857" i="2"/>
  <c r="W858" i="2"/>
  <c r="W859" i="2"/>
  <c r="W860" i="2"/>
  <c r="W861" i="2"/>
  <c r="W862" i="2"/>
  <c r="W863" i="2"/>
  <c r="W864" i="2"/>
  <c r="W865" i="2"/>
  <c r="W866" i="2"/>
  <c r="W867" i="2"/>
  <c r="W868" i="2"/>
  <c r="W869" i="2"/>
  <c r="W870" i="2"/>
  <c r="W871" i="2"/>
  <c r="W872" i="2"/>
  <c r="W873" i="2"/>
  <c r="W874" i="2"/>
  <c r="W875" i="2"/>
  <c r="W876" i="2"/>
  <c r="W877" i="2"/>
  <c r="W878" i="2"/>
  <c r="W879" i="2"/>
  <c r="W880" i="2"/>
  <c r="W881" i="2"/>
  <c r="W882" i="2"/>
  <c r="W883" i="2"/>
  <c r="W884" i="2"/>
  <c r="W885" i="2"/>
  <c r="W886" i="2"/>
  <c r="W887" i="2"/>
  <c r="W888" i="2"/>
  <c r="W889" i="2"/>
  <c r="W890" i="2"/>
  <c r="W891" i="2"/>
  <c r="W892" i="2"/>
  <c r="W893" i="2"/>
  <c r="W894" i="2"/>
  <c r="W895" i="2"/>
  <c r="W896" i="2"/>
  <c r="W897" i="2"/>
  <c r="W898" i="2"/>
  <c r="W899" i="2"/>
  <c r="W900" i="2"/>
  <c r="W901" i="2"/>
  <c r="W902" i="2"/>
  <c r="W903" i="2"/>
  <c r="W904" i="2"/>
  <c r="W905" i="2"/>
  <c r="W906" i="2"/>
  <c r="W907" i="2"/>
  <c r="W908" i="2"/>
  <c r="W909" i="2"/>
  <c r="W910" i="2"/>
  <c r="W911" i="2"/>
  <c r="W912" i="2"/>
  <c r="W913" i="2"/>
  <c r="W914" i="2"/>
  <c r="W915" i="2"/>
  <c r="W916" i="2"/>
  <c r="W917" i="2"/>
  <c r="W918" i="2"/>
  <c r="W919" i="2"/>
  <c r="W920" i="2"/>
  <c r="W921" i="2"/>
  <c r="W922" i="2"/>
  <c r="W923" i="2"/>
  <c r="W924" i="2"/>
  <c r="W925" i="2"/>
  <c r="W926" i="2"/>
  <c r="W927" i="2"/>
  <c r="W928" i="2"/>
  <c r="W929" i="2"/>
  <c r="W930" i="2"/>
  <c r="W931" i="2"/>
  <c r="W932" i="2"/>
  <c r="W933" i="2"/>
  <c r="W934" i="2"/>
  <c r="W935" i="2"/>
  <c r="W936" i="2"/>
  <c r="W937" i="2"/>
  <c r="W938" i="2"/>
  <c r="W939" i="2"/>
  <c r="W940" i="2"/>
  <c r="W941" i="2"/>
  <c r="W942" i="2"/>
  <c r="W943" i="2"/>
  <c r="W944" i="2"/>
  <c r="W945" i="2"/>
  <c r="W946" i="2"/>
  <c r="W947" i="2"/>
  <c r="W948" i="2"/>
  <c r="W949" i="2"/>
  <c r="W950" i="2"/>
  <c r="W951" i="2"/>
  <c r="W952" i="2"/>
  <c r="W953" i="2"/>
  <c r="W954" i="2"/>
  <c r="W955" i="2"/>
  <c r="W956" i="2"/>
  <c r="W957" i="2"/>
  <c r="W958" i="2"/>
  <c r="W959" i="2"/>
  <c r="W960" i="2"/>
  <c r="W961" i="2"/>
  <c r="W962" i="2"/>
  <c r="W963" i="2"/>
  <c r="W964" i="2"/>
  <c r="W965" i="2"/>
  <c r="W966" i="2"/>
  <c r="W967" i="2"/>
  <c r="W968" i="2"/>
  <c r="W969" i="2"/>
  <c r="W970" i="2"/>
  <c r="W971" i="2"/>
  <c r="W972" i="2"/>
  <c r="W973" i="2"/>
  <c r="W974" i="2"/>
  <c r="W975" i="2"/>
  <c r="W976" i="2"/>
  <c r="W977" i="2"/>
  <c r="W978" i="2"/>
  <c r="W979" i="2"/>
  <c r="W980" i="2"/>
  <c r="W981" i="2"/>
  <c r="W982" i="2"/>
  <c r="W983" i="2"/>
  <c r="W984" i="2"/>
  <c r="W985" i="2"/>
  <c r="W986" i="2"/>
  <c r="W987" i="2"/>
  <c r="W988" i="2"/>
  <c r="W989" i="2"/>
  <c r="W990" i="2"/>
  <c r="W991" i="2"/>
  <c r="W992" i="2"/>
  <c r="W993" i="2"/>
  <c r="W994" i="2"/>
  <c r="W995" i="2"/>
  <c r="W996" i="2"/>
  <c r="W997" i="2"/>
  <c r="W998" i="2"/>
  <c r="W999" i="2"/>
  <c r="W1000" i="2"/>
  <c r="W1001" i="2"/>
  <c r="W1002" i="2"/>
  <c r="W1003" i="2"/>
  <c r="W1004" i="2"/>
  <c r="W1005" i="2"/>
  <c r="W1006" i="2"/>
  <c r="W1007" i="2"/>
  <c r="W1008" i="2"/>
  <c r="W1009" i="2"/>
  <c r="W1010" i="2"/>
  <c r="W1011" i="2"/>
  <c r="W1012" i="2"/>
  <c r="W1013" i="2"/>
  <c r="W1014" i="2"/>
  <c r="W1015" i="2"/>
  <c r="W1016" i="2"/>
  <c r="W1017" i="2"/>
  <c r="W1018" i="2"/>
  <c r="W1019" i="2"/>
  <c r="W1020" i="2"/>
  <c r="W1021" i="2"/>
  <c r="W1022" i="2"/>
  <c r="W1023" i="2"/>
  <c r="W1024" i="2"/>
  <c r="W1025" i="2"/>
  <c r="W1026" i="2"/>
  <c r="W1027" i="2"/>
  <c r="W1028" i="2"/>
  <c r="W1029" i="2"/>
  <c r="W1030" i="2"/>
  <c r="W1031" i="2"/>
  <c r="W1032" i="2"/>
  <c r="W1033" i="2"/>
  <c r="W1034" i="2"/>
  <c r="W1035" i="2"/>
  <c r="W1036" i="2"/>
  <c r="W1037" i="2"/>
  <c r="W1038" i="2"/>
  <c r="W1039" i="2"/>
  <c r="W1040" i="2"/>
  <c r="W1041" i="2"/>
  <c r="W1042" i="2"/>
  <c r="W1043" i="2"/>
  <c r="W1044" i="2"/>
  <c r="W1045" i="2"/>
  <c r="W1046" i="2"/>
  <c r="W1047" i="2"/>
  <c r="W1048" i="2"/>
  <c r="W1049" i="2"/>
  <c r="W1050" i="2"/>
  <c r="W1051" i="2"/>
  <c r="W1052" i="2"/>
  <c r="W1053" i="2"/>
  <c r="W1054" i="2"/>
  <c r="W1055" i="2"/>
  <c r="W1056" i="2"/>
  <c r="W1057" i="2"/>
  <c r="W1058" i="2"/>
  <c r="W1059" i="2"/>
  <c r="W1060" i="2"/>
  <c r="W1061" i="2"/>
  <c r="W1062" i="2"/>
  <c r="W1063" i="2"/>
  <c r="W1064" i="2"/>
  <c r="W1065" i="2"/>
  <c r="W1066" i="2"/>
  <c r="W1067" i="2"/>
  <c r="W1068" i="2"/>
  <c r="W1069" i="2"/>
  <c r="W1070" i="2"/>
  <c r="W1071" i="2"/>
  <c r="W1072" i="2"/>
  <c r="W1073" i="2"/>
  <c r="W1074" i="2"/>
  <c r="W1075" i="2"/>
  <c r="W1076" i="2"/>
  <c r="W1077" i="2"/>
  <c r="W1078" i="2"/>
  <c r="W1079" i="2"/>
  <c r="W1080" i="2"/>
  <c r="W1081" i="2"/>
  <c r="W1082" i="2"/>
  <c r="W1083" i="2"/>
  <c r="W1084" i="2"/>
  <c r="W1085" i="2"/>
  <c r="W1086" i="2"/>
  <c r="W1087" i="2"/>
  <c r="W1088" i="2"/>
  <c r="W1089" i="2"/>
  <c r="W1090" i="2"/>
  <c r="W1091" i="2"/>
  <c r="W1092" i="2"/>
  <c r="W1093" i="2"/>
  <c r="W1094" i="2"/>
  <c r="W1095" i="2"/>
  <c r="W1096" i="2"/>
  <c r="W1097" i="2"/>
  <c r="W1098" i="2"/>
  <c r="W1099" i="2"/>
  <c r="W1100" i="2"/>
  <c r="W1101" i="2"/>
  <c r="W1102" i="2"/>
  <c r="W1103" i="2"/>
  <c r="W1104" i="2"/>
  <c r="W1105" i="2"/>
  <c r="W1106" i="2"/>
  <c r="W1107" i="2"/>
  <c r="W1108" i="2"/>
  <c r="W1109" i="2"/>
  <c r="W1110" i="2"/>
  <c r="W1111" i="2"/>
  <c r="W1112" i="2"/>
  <c r="W1113" i="2"/>
  <c r="W1114" i="2"/>
  <c r="W1115" i="2"/>
  <c r="W1116" i="2"/>
  <c r="W1117" i="2"/>
  <c r="W1118" i="2"/>
  <c r="W1119" i="2"/>
  <c r="W1120" i="2"/>
  <c r="W1121" i="2"/>
  <c r="W1122" i="2"/>
  <c r="W1123" i="2"/>
  <c r="W1124" i="2"/>
  <c r="W1125" i="2"/>
  <c r="W1126" i="2"/>
  <c r="W1127" i="2"/>
  <c r="W1128" i="2"/>
  <c r="W1129" i="2"/>
  <c r="W1130" i="2"/>
  <c r="W1131" i="2"/>
  <c r="W1132" i="2"/>
  <c r="W1133" i="2"/>
  <c r="W1134" i="2"/>
  <c r="W1135" i="2"/>
  <c r="W1136" i="2"/>
  <c r="W1137" i="2"/>
  <c r="W1138" i="2"/>
  <c r="W1139" i="2"/>
  <c r="W1140" i="2"/>
  <c r="W1141" i="2"/>
  <c r="W1142" i="2"/>
  <c r="W1143" i="2"/>
  <c r="W1144" i="2"/>
  <c r="W1145" i="2"/>
  <c r="W1146" i="2"/>
  <c r="W1147" i="2"/>
  <c r="W1148" i="2"/>
  <c r="W1149" i="2"/>
  <c r="W1150" i="2"/>
  <c r="W1151" i="2"/>
  <c r="W1152" i="2"/>
  <c r="W1153" i="2"/>
  <c r="W1154" i="2"/>
  <c r="W1155" i="2"/>
  <c r="W1156" i="2"/>
  <c r="W1157" i="2"/>
  <c r="W1158" i="2"/>
  <c r="W1159" i="2"/>
  <c r="W1160" i="2"/>
  <c r="W1161" i="2"/>
  <c r="W1162" i="2"/>
  <c r="W1163" i="2"/>
  <c r="W1164" i="2"/>
  <c r="W1165" i="2"/>
  <c r="W1166" i="2"/>
  <c r="W1167" i="2"/>
  <c r="W1168" i="2"/>
  <c r="W1169" i="2"/>
  <c r="W1170" i="2"/>
  <c r="W1171" i="2"/>
  <c r="W1172" i="2"/>
  <c r="W1173" i="2"/>
  <c r="W1174" i="2"/>
  <c r="W1175" i="2"/>
  <c r="W1176" i="2"/>
  <c r="W1177" i="2"/>
  <c r="W1178" i="2"/>
  <c r="W1179" i="2"/>
  <c r="W1180" i="2"/>
  <c r="W1181" i="2"/>
  <c r="W1182" i="2"/>
  <c r="W1183" i="2"/>
  <c r="W1184" i="2"/>
  <c r="W1185" i="2"/>
  <c r="W1186" i="2"/>
  <c r="W1187" i="2"/>
  <c r="W1188" i="2"/>
  <c r="W1189" i="2"/>
  <c r="W1190" i="2"/>
  <c r="W1191" i="2"/>
  <c r="W1192" i="2"/>
  <c r="W1193" i="2"/>
  <c r="W1194" i="2"/>
  <c r="W1195" i="2"/>
  <c r="W1196" i="2"/>
  <c r="W1197" i="2"/>
  <c r="W1198" i="2"/>
  <c r="W1199" i="2"/>
  <c r="W1200" i="2"/>
  <c r="W1201" i="2"/>
  <c r="W1202" i="2"/>
  <c r="W1203" i="2"/>
  <c r="W1204" i="2"/>
  <c r="W1205" i="2"/>
  <c r="W1206" i="2"/>
  <c r="W1207" i="2"/>
  <c r="W1208" i="2"/>
  <c r="W1209" i="2"/>
  <c r="W1210" i="2"/>
  <c r="W1211" i="2"/>
  <c r="W1212" i="2"/>
  <c r="W1213" i="2"/>
  <c r="W1214" i="2"/>
  <c r="W1215" i="2"/>
  <c r="W1216" i="2"/>
  <c r="W1217" i="2"/>
  <c r="W1218" i="2"/>
  <c r="W1219" i="2"/>
  <c r="W1220" i="2"/>
  <c r="W1221" i="2"/>
  <c r="W1222" i="2"/>
  <c r="W1223" i="2"/>
  <c r="W1224" i="2"/>
  <c r="W1225" i="2"/>
  <c r="W1226" i="2"/>
  <c r="W1227" i="2"/>
  <c r="W1228" i="2"/>
  <c r="W1229" i="2"/>
  <c r="W1230" i="2"/>
  <c r="W1231" i="2"/>
  <c r="W1232" i="2"/>
  <c r="W1233" i="2"/>
  <c r="W1234" i="2"/>
  <c r="W1235" i="2"/>
  <c r="W1236" i="2"/>
  <c r="W1237" i="2"/>
  <c r="W1238" i="2"/>
  <c r="W1239" i="2"/>
  <c r="W1240" i="2"/>
  <c r="W1241" i="2"/>
  <c r="W1242" i="2"/>
  <c r="W1243" i="2"/>
  <c r="W1244" i="2"/>
  <c r="W1245" i="2"/>
  <c r="W1246" i="2"/>
  <c r="W1247" i="2"/>
  <c r="W1248" i="2"/>
  <c r="W1249" i="2"/>
  <c r="W1250" i="2"/>
  <c r="W1251" i="2"/>
  <c r="W1252" i="2"/>
  <c r="W1253" i="2"/>
  <c r="W1254" i="2"/>
  <c r="W1255" i="2"/>
  <c r="W1256" i="2"/>
  <c r="W1257" i="2"/>
  <c r="W1258" i="2"/>
  <c r="W1259" i="2"/>
  <c r="W1260" i="2"/>
  <c r="W1261" i="2"/>
  <c r="W1262" i="2"/>
  <c r="W1263" i="2"/>
  <c r="W1264" i="2"/>
  <c r="W1265" i="2"/>
  <c r="W1266" i="2"/>
  <c r="W1267" i="2"/>
  <c r="W1268" i="2"/>
  <c r="W1269" i="2"/>
  <c r="W1270" i="2"/>
  <c r="W1271" i="2"/>
  <c r="W1272" i="2"/>
  <c r="W1273" i="2"/>
  <c r="W1274" i="2"/>
  <c r="W1275" i="2"/>
  <c r="W1276" i="2"/>
  <c r="W1277" i="2"/>
  <c r="W1278" i="2"/>
  <c r="W1279" i="2"/>
  <c r="W1280" i="2"/>
  <c r="W1281" i="2"/>
  <c r="W1282" i="2"/>
  <c r="W1283" i="2"/>
  <c r="W1284" i="2"/>
  <c r="W1285" i="2"/>
  <c r="W1286" i="2"/>
  <c r="W1287" i="2"/>
  <c r="W1288" i="2"/>
  <c r="W1289" i="2"/>
  <c r="W1290" i="2"/>
  <c r="W1291" i="2"/>
  <c r="W1292" i="2"/>
  <c r="W1293" i="2"/>
  <c r="W1294" i="2"/>
  <c r="W1295" i="2"/>
  <c r="W1296" i="2"/>
  <c r="W1297" i="2"/>
  <c r="W1298" i="2"/>
  <c r="W1299" i="2"/>
  <c r="W1300" i="2"/>
  <c r="W1301" i="2"/>
  <c r="W1302" i="2"/>
  <c r="W1303" i="2"/>
  <c r="W1304" i="2"/>
  <c r="W1305" i="2"/>
  <c r="W1306" i="2"/>
  <c r="W1307" i="2"/>
  <c r="W1308" i="2"/>
  <c r="W1309" i="2"/>
  <c r="W1310" i="2"/>
  <c r="W1311" i="2"/>
  <c r="W1312" i="2"/>
  <c r="W1313" i="2"/>
  <c r="W1314" i="2"/>
  <c r="W1315" i="2"/>
  <c r="W1316" i="2"/>
  <c r="W1317" i="2"/>
  <c r="W1318" i="2"/>
  <c r="W1319" i="2"/>
  <c r="W1320" i="2"/>
  <c r="W1321" i="2"/>
  <c r="W1322" i="2"/>
  <c r="W1323" i="2"/>
  <c r="W1324" i="2"/>
  <c r="W1325" i="2"/>
  <c r="W1326" i="2"/>
  <c r="W1327" i="2"/>
  <c r="W1328" i="2"/>
  <c r="W1329" i="2"/>
  <c r="W1330" i="2"/>
  <c r="W1331" i="2"/>
  <c r="W1332" i="2"/>
  <c r="W1333" i="2"/>
  <c r="W1334" i="2"/>
  <c r="W1335" i="2"/>
  <c r="W1336" i="2"/>
  <c r="W1337" i="2"/>
  <c r="W1338" i="2"/>
  <c r="W1339" i="2"/>
  <c r="W1340" i="2"/>
  <c r="W1341" i="2"/>
  <c r="W1342" i="2"/>
  <c r="W1343" i="2"/>
  <c r="W1344" i="2"/>
  <c r="W1345" i="2"/>
  <c r="W1346" i="2"/>
  <c r="W1347" i="2"/>
  <c r="W1348" i="2"/>
  <c r="W1349" i="2"/>
  <c r="W1350" i="2"/>
  <c r="W1351" i="2"/>
  <c r="W1352" i="2"/>
  <c r="W1353" i="2"/>
  <c r="W1354" i="2"/>
  <c r="W1355" i="2"/>
  <c r="W1356" i="2"/>
  <c r="W1357" i="2"/>
  <c r="W1358" i="2"/>
  <c r="W1359" i="2"/>
  <c r="W1360" i="2"/>
  <c r="W1361" i="2"/>
  <c r="W1362" i="2"/>
  <c r="W1363" i="2"/>
  <c r="W1364" i="2"/>
  <c r="W1365" i="2"/>
  <c r="W1366" i="2"/>
  <c r="W1367" i="2"/>
  <c r="W1368" i="2"/>
  <c r="W1369" i="2"/>
  <c r="W1370" i="2"/>
  <c r="W1371" i="2"/>
  <c r="W1372" i="2"/>
  <c r="W1373" i="2"/>
  <c r="W1374" i="2"/>
  <c r="W1375" i="2"/>
  <c r="W1376" i="2"/>
  <c r="W1377" i="2"/>
  <c r="W1378" i="2"/>
  <c r="W1379" i="2"/>
  <c r="W1380" i="2"/>
  <c r="W1381" i="2"/>
  <c r="W1382" i="2"/>
  <c r="W1383" i="2"/>
  <c r="W1384" i="2"/>
  <c r="W1385" i="2"/>
  <c r="W1386" i="2"/>
  <c r="W1387" i="2"/>
  <c r="W1388" i="2"/>
  <c r="W1389" i="2"/>
  <c r="W1390" i="2"/>
  <c r="W1391" i="2"/>
  <c r="W1392" i="2"/>
  <c r="W1393" i="2"/>
  <c r="W1394" i="2"/>
  <c r="W1395" i="2"/>
  <c r="W1396" i="2"/>
  <c r="W1397" i="2"/>
  <c r="W1398" i="2"/>
  <c r="W1399" i="2"/>
  <c r="W1400" i="2"/>
  <c r="W1401" i="2"/>
  <c r="W1402" i="2"/>
  <c r="W1403" i="2"/>
  <c r="W1404" i="2"/>
  <c r="W1405" i="2"/>
  <c r="W1406" i="2"/>
  <c r="W1407" i="2"/>
  <c r="W1408" i="2"/>
  <c r="W1409" i="2"/>
  <c r="W1410" i="2"/>
  <c r="W1411" i="2"/>
  <c r="W1412" i="2"/>
  <c r="W1413" i="2"/>
  <c r="W1414" i="2"/>
  <c r="W1415" i="2"/>
  <c r="W1416" i="2"/>
  <c r="W1417" i="2"/>
  <c r="W1418" i="2"/>
  <c r="W1419" i="2"/>
  <c r="W1420" i="2"/>
  <c r="W1421" i="2"/>
  <c r="W1422" i="2"/>
  <c r="W1423" i="2"/>
  <c r="W1424" i="2"/>
  <c r="W1425" i="2"/>
  <c r="W1426" i="2"/>
  <c r="W1427" i="2"/>
  <c r="W1428" i="2"/>
  <c r="W1429" i="2"/>
  <c r="W1430" i="2"/>
  <c r="W1431" i="2"/>
  <c r="W1432" i="2"/>
  <c r="W1433" i="2"/>
  <c r="W1434" i="2"/>
  <c r="W1435" i="2"/>
  <c r="W1436" i="2"/>
  <c r="W1437" i="2"/>
  <c r="W1438" i="2"/>
  <c r="W1439" i="2"/>
  <c r="W1440" i="2"/>
  <c r="W1441" i="2"/>
  <c r="W1442" i="2"/>
  <c r="W1443" i="2"/>
  <c r="W1444" i="2"/>
  <c r="W1445" i="2"/>
  <c r="W1446" i="2"/>
  <c r="W1447" i="2"/>
  <c r="W1448" i="2"/>
  <c r="W1449" i="2"/>
  <c r="W1450" i="2"/>
  <c r="W1451" i="2"/>
  <c r="W1452" i="2"/>
  <c r="W1453" i="2"/>
  <c r="W1454" i="2"/>
  <c r="W1455" i="2"/>
  <c r="W1456" i="2"/>
  <c r="W1457" i="2"/>
  <c r="W1458" i="2"/>
  <c r="W1459" i="2"/>
  <c r="W1460" i="2"/>
  <c r="W1461" i="2"/>
  <c r="W1462" i="2"/>
  <c r="W1463" i="2"/>
  <c r="W1464" i="2"/>
  <c r="W1465" i="2"/>
  <c r="W1466" i="2"/>
  <c r="W1467" i="2"/>
  <c r="W1468" i="2"/>
  <c r="W1469" i="2"/>
  <c r="W1470" i="2"/>
  <c r="W1471" i="2"/>
  <c r="W1472" i="2"/>
  <c r="W1473" i="2"/>
  <c r="W1474" i="2"/>
  <c r="W1475" i="2"/>
  <c r="W1476" i="2"/>
  <c r="W1477" i="2"/>
  <c r="W1478" i="2"/>
  <c r="W1479" i="2"/>
  <c r="W1480" i="2"/>
  <c r="W1481" i="2"/>
  <c r="W1482" i="2"/>
  <c r="W1483" i="2"/>
  <c r="W1484" i="2"/>
  <c r="W1485" i="2"/>
  <c r="W1486" i="2"/>
  <c r="W1487" i="2"/>
  <c r="W1488" i="2"/>
  <c r="W1489" i="2"/>
  <c r="W1490" i="2"/>
  <c r="W1491" i="2"/>
  <c r="W1492" i="2"/>
  <c r="W1493" i="2"/>
  <c r="W1494" i="2"/>
  <c r="W1495" i="2"/>
  <c r="W1496" i="2"/>
  <c r="W1497" i="2"/>
  <c r="W1498" i="2"/>
  <c r="W1499" i="2"/>
  <c r="W1500" i="2"/>
  <c r="W1501" i="2"/>
  <c r="W1502" i="2"/>
  <c r="W1503" i="2"/>
  <c r="W1504" i="2"/>
  <c r="W1505" i="2"/>
  <c r="W1506" i="2"/>
  <c r="W1507" i="2"/>
  <c r="W1508" i="2"/>
  <c r="W1509" i="2"/>
  <c r="W1510" i="2"/>
  <c r="W1511" i="2"/>
  <c r="W1512" i="2"/>
  <c r="W1513" i="2"/>
  <c r="W1514" i="2"/>
  <c r="W1515" i="2"/>
  <c r="W1516" i="2"/>
  <c r="W1517" i="2"/>
  <c r="W1518" i="2"/>
  <c r="W1519" i="2"/>
  <c r="W1520" i="2"/>
  <c r="W1521" i="2"/>
  <c r="W1522" i="2"/>
  <c r="W1523" i="2"/>
  <c r="W1524" i="2"/>
  <c r="W1525" i="2"/>
  <c r="W1526" i="2"/>
  <c r="W1527" i="2"/>
  <c r="W1528" i="2"/>
  <c r="W1529" i="2"/>
  <c r="W1530" i="2"/>
  <c r="W1531" i="2"/>
  <c r="W1532" i="2"/>
  <c r="W1533" i="2"/>
  <c r="W1534" i="2"/>
  <c r="W1535" i="2"/>
  <c r="W1536" i="2"/>
  <c r="W1537" i="2"/>
  <c r="W1538" i="2"/>
  <c r="W1539" i="2"/>
  <c r="W1540" i="2"/>
  <c r="W1541" i="2"/>
  <c r="W1542" i="2"/>
  <c r="W1543" i="2"/>
  <c r="W1544" i="2"/>
  <c r="W1545" i="2"/>
  <c r="W1546" i="2"/>
  <c r="W1547" i="2"/>
  <c r="W1548" i="2"/>
  <c r="W1549" i="2"/>
  <c r="W1550" i="2"/>
  <c r="W1551" i="2"/>
  <c r="W1552" i="2"/>
  <c r="W1553" i="2"/>
  <c r="W1554" i="2"/>
  <c r="W1555" i="2"/>
  <c r="W1556" i="2"/>
  <c r="W1557" i="2"/>
  <c r="W1558" i="2"/>
  <c r="W1559" i="2"/>
  <c r="W1560" i="2"/>
  <c r="W1561" i="2"/>
  <c r="W1562" i="2"/>
  <c r="W1563" i="2"/>
  <c r="W1564" i="2"/>
  <c r="W1565" i="2"/>
  <c r="W1566" i="2"/>
  <c r="W1567" i="2"/>
  <c r="W1568" i="2"/>
  <c r="W1569" i="2"/>
  <c r="W1570" i="2"/>
  <c r="W1571" i="2"/>
  <c r="W1572" i="2"/>
  <c r="W1573" i="2"/>
  <c r="W1574" i="2"/>
  <c r="W1575" i="2"/>
  <c r="W1576" i="2"/>
  <c r="W1577" i="2"/>
  <c r="W1578" i="2"/>
  <c r="W1579" i="2"/>
  <c r="W1580" i="2"/>
  <c r="W1581" i="2"/>
  <c r="W1582" i="2"/>
  <c r="W1583" i="2"/>
  <c r="W1584" i="2"/>
  <c r="W1585" i="2"/>
  <c r="W1586" i="2"/>
  <c r="W1587" i="2"/>
  <c r="W1588" i="2"/>
  <c r="W1589" i="2"/>
  <c r="W1590" i="2"/>
  <c r="W1591" i="2"/>
  <c r="W1592" i="2"/>
  <c r="W1593" i="2"/>
  <c r="W1594" i="2"/>
  <c r="W1595" i="2"/>
  <c r="W1596" i="2"/>
  <c r="W1597" i="2"/>
  <c r="W1598" i="2"/>
  <c r="W1599" i="2"/>
  <c r="W1600" i="2"/>
  <c r="W3" i="2"/>
  <c r="W4" i="2"/>
  <c r="W5" i="2"/>
  <c r="W6" i="2"/>
  <c r="W7" i="2"/>
  <c r="W8" i="2"/>
  <c r="W9" i="2"/>
  <c r="W10" i="2"/>
  <c r="W11" i="2"/>
  <c r="W12" i="2"/>
  <c r="W13" i="2"/>
  <c r="W14" i="2"/>
  <c r="X2" i="2"/>
  <c r="W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001" i="2"/>
  <c r="V1002" i="2"/>
  <c r="V1003" i="2"/>
  <c r="V1004" i="2"/>
  <c r="V1005" i="2"/>
  <c r="V1006" i="2"/>
  <c r="V1007" i="2"/>
  <c r="V1008" i="2"/>
  <c r="V1009" i="2"/>
  <c r="V1010" i="2"/>
  <c r="V1011" i="2"/>
  <c r="V1012" i="2"/>
  <c r="V1013" i="2"/>
  <c r="V1014" i="2"/>
  <c r="V1015" i="2"/>
  <c r="V1016" i="2"/>
  <c r="V1017" i="2"/>
  <c r="V1018" i="2"/>
  <c r="V1019" i="2"/>
  <c r="V1020" i="2"/>
  <c r="V1021" i="2"/>
  <c r="V1022" i="2"/>
  <c r="V1023" i="2"/>
  <c r="V1024" i="2"/>
  <c r="V1025" i="2"/>
  <c r="V1026" i="2"/>
  <c r="V1027" i="2"/>
  <c r="V1028" i="2"/>
  <c r="V1029" i="2"/>
  <c r="V1030" i="2"/>
  <c r="V1031" i="2"/>
  <c r="V1032" i="2"/>
  <c r="V1033" i="2"/>
  <c r="V1034" i="2"/>
  <c r="V1035" i="2"/>
  <c r="V1036" i="2"/>
  <c r="V1037" i="2"/>
  <c r="V1038" i="2"/>
  <c r="V1039" i="2"/>
  <c r="V1040" i="2"/>
  <c r="V1041" i="2"/>
  <c r="V1042" i="2"/>
  <c r="V1043" i="2"/>
  <c r="V1044" i="2"/>
  <c r="V1045" i="2"/>
  <c r="V1046" i="2"/>
  <c r="V1047" i="2"/>
  <c r="V1048" i="2"/>
  <c r="V1049" i="2"/>
  <c r="V1050" i="2"/>
  <c r="V1051" i="2"/>
  <c r="V1052" i="2"/>
  <c r="V1053" i="2"/>
  <c r="V1054" i="2"/>
  <c r="V1055" i="2"/>
  <c r="V1056" i="2"/>
  <c r="V1057" i="2"/>
  <c r="V1058" i="2"/>
  <c r="V1059" i="2"/>
  <c r="V1060" i="2"/>
  <c r="V1061" i="2"/>
  <c r="V1062" i="2"/>
  <c r="V1063" i="2"/>
  <c r="V1064" i="2"/>
  <c r="V1065" i="2"/>
  <c r="V1066" i="2"/>
  <c r="V1067" i="2"/>
  <c r="V1068" i="2"/>
  <c r="V1069" i="2"/>
  <c r="V1070" i="2"/>
  <c r="V1071" i="2"/>
  <c r="V1072" i="2"/>
  <c r="V1073" i="2"/>
  <c r="V1074" i="2"/>
  <c r="V1075" i="2"/>
  <c r="V1076" i="2"/>
  <c r="V1077" i="2"/>
  <c r="V1078" i="2"/>
  <c r="V1079" i="2"/>
  <c r="V1080" i="2"/>
  <c r="V1081" i="2"/>
  <c r="V1082" i="2"/>
  <c r="V1083" i="2"/>
  <c r="V1084" i="2"/>
  <c r="V1085" i="2"/>
  <c r="V1086" i="2"/>
  <c r="V1087" i="2"/>
  <c r="V1088" i="2"/>
  <c r="V1089" i="2"/>
  <c r="V1090" i="2"/>
  <c r="V1091" i="2"/>
  <c r="V1092" i="2"/>
  <c r="V1093" i="2"/>
  <c r="V1094" i="2"/>
  <c r="V1095" i="2"/>
  <c r="V1096" i="2"/>
  <c r="V1097" i="2"/>
  <c r="V1098" i="2"/>
  <c r="V1099" i="2"/>
  <c r="V1100" i="2"/>
  <c r="V1101" i="2"/>
  <c r="V1102" i="2"/>
  <c r="V1103" i="2"/>
  <c r="V1104" i="2"/>
  <c r="V1105" i="2"/>
  <c r="V1106" i="2"/>
  <c r="V1107" i="2"/>
  <c r="V1108" i="2"/>
  <c r="V1109" i="2"/>
  <c r="V1110" i="2"/>
  <c r="V1111" i="2"/>
  <c r="V1112" i="2"/>
  <c r="V1113" i="2"/>
  <c r="V1114" i="2"/>
  <c r="V1115" i="2"/>
  <c r="V1116" i="2"/>
  <c r="V1117" i="2"/>
  <c r="V1118" i="2"/>
  <c r="V1119" i="2"/>
  <c r="V1120" i="2"/>
  <c r="V1121" i="2"/>
  <c r="V1122" i="2"/>
  <c r="V1123" i="2"/>
  <c r="V1124" i="2"/>
  <c r="V1125" i="2"/>
  <c r="V1126" i="2"/>
  <c r="V1127" i="2"/>
  <c r="V1128" i="2"/>
  <c r="V1129" i="2"/>
  <c r="V1130" i="2"/>
  <c r="V1131" i="2"/>
  <c r="V1132" i="2"/>
  <c r="V1133" i="2"/>
  <c r="V1134" i="2"/>
  <c r="V1135" i="2"/>
  <c r="V1136" i="2"/>
  <c r="V1137" i="2"/>
  <c r="V1138" i="2"/>
  <c r="V1139" i="2"/>
  <c r="V1140" i="2"/>
  <c r="V1141" i="2"/>
  <c r="V1142" i="2"/>
  <c r="V1143" i="2"/>
  <c r="V1144" i="2"/>
  <c r="V1145" i="2"/>
  <c r="V1146" i="2"/>
  <c r="V1147" i="2"/>
  <c r="V1148" i="2"/>
  <c r="V1149" i="2"/>
  <c r="V1150" i="2"/>
  <c r="V1151" i="2"/>
  <c r="V1152" i="2"/>
  <c r="V1153" i="2"/>
  <c r="V1154" i="2"/>
  <c r="V1155" i="2"/>
  <c r="V1156" i="2"/>
  <c r="V1157" i="2"/>
  <c r="V1158" i="2"/>
  <c r="V1159" i="2"/>
  <c r="V1160" i="2"/>
  <c r="V1161" i="2"/>
  <c r="V1162" i="2"/>
  <c r="V1163" i="2"/>
  <c r="V1164" i="2"/>
  <c r="V1165" i="2"/>
  <c r="V1166" i="2"/>
  <c r="V1167" i="2"/>
  <c r="V1168" i="2"/>
  <c r="V1169" i="2"/>
  <c r="V1170" i="2"/>
  <c r="V1171" i="2"/>
  <c r="V1172" i="2"/>
  <c r="V1173" i="2"/>
  <c r="V1174" i="2"/>
  <c r="V1175" i="2"/>
  <c r="V1176" i="2"/>
  <c r="V1177" i="2"/>
  <c r="V1178" i="2"/>
  <c r="V1179" i="2"/>
  <c r="V1180" i="2"/>
  <c r="V1181" i="2"/>
  <c r="V1182" i="2"/>
  <c r="V1183" i="2"/>
  <c r="V1184" i="2"/>
  <c r="V1185" i="2"/>
  <c r="V1186" i="2"/>
  <c r="V1187" i="2"/>
  <c r="V1188" i="2"/>
  <c r="V1189" i="2"/>
  <c r="V1190" i="2"/>
  <c r="V1191" i="2"/>
  <c r="V1192" i="2"/>
  <c r="V1193" i="2"/>
  <c r="V1194" i="2"/>
  <c r="V1195" i="2"/>
  <c r="V1196" i="2"/>
  <c r="V1197" i="2"/>
  <c r="V1198" i="2"/>
  <c r="V1199" i="2"/>
  <c r="V1200" i="2"/>
  <c r="V1201" i="2"/>
  <c r="V1202" i="2"/>
  <c r="V1203" i="2"/>
  <c r="V1204" i="2"/>
  <c r="V1205" i="2"/>
  <c r="V1206" i="2"/>
  <c r="V1207" i="2"/>
  <c r="V1208" i="2"/>
  <c r="V1209" i="2"/>
  <c r="V1210" i="2"/>
  <c r="V1211" i="2"/>
  <c r="V1212" i="2"/>
  <c r="V1213" i="2"/>
  <c r="V1214" i="2"/>
  <c r="V1215" i="2"/>
  <c r="V1216" i="2"/>
  <c r="V1217" i="2"/>
  <c r="V1218" i="2"/>
  <c r="V1219" i="2"/>
  <c r="V1220" i="2"/>
  <c r="V1221" i="2"/>
  <c r="V1222" i="2"/>
  <c r="V1223" i="2"/>
  <c r="V1224" i="2"/>
  <c r="V1225" i="2"/>
  <c r="V1226" i="2"/>
  <c r="V1227" i="2"/>
  <c r="V1228" i="2"/>
  <c r="V1229" i="2"/>
  <c r="V1230" i="2"/>
  <c r="V1231" i="2"/>
  <c r="V1232" i="2"/>
  <c r="V1233" i="2"/>
  <c r="V1234" i="2"/>
  <c r="V1235" i="2"/>
  <c r="V1236" i="2"/>
  <c r="V1237" i="2"/>
  <c r="V1238" i="2"/>
  <c r="V1239" i="2"/>
  <c r="V1240" i="2"/>
  <c r="V1241" i="2"/>
  <c r="V1242" i="2"/>
  <c r="V1243" i="2"/>
  <c r="V1244" i="2"/>
  <c r="V1245" i="2"/>
  <c r="V1246" i="2"/>
  <c r="V1247" i="2"/>
  <c r="V1248" i="2"/>
  <c r="V1249" i="2"/>
  <c r="V1250" i="2"/>
  <c r="V1251" i="2"/>
  <c r="V1252" i="2"/>
  <c r="V1253" i="2"/>
  <c r="V1254" i="2"/>
  <c r="V1255" i="2"/>
  <c r="V1256" i="2"/>
  <c r="V1257" i="2"/>
  <c r="V1258" i="2"/>
  <c r="V1259" i="2"/>
  <c r="V1260" i="2"/>
  <c r="V1261" i="2"/>
  <c r="V1262" i="2"/>
  <c r="V1263" i="2"/>
  <c r="V1264" i="2"/>
  <c r="V1265" i="2"/>
  <c r="V1266" i="2"/>
  <c r="V1267" i="2"/>
  <c r="V1268" i="2"/>
  <c r="V1269" i="2"/>
  <c r="V1270" i="2"/>
  <c r="V1271" i="2"/>
  <c r="V1272" i="2"/>
  <c r="V1273" i="2"/>
  <c r="V1274" i="2"/>
  <c r="V1275" i="2"/>
  <c r="V1276" i="2"/>
  <c r="V1277" i="2"/>
  <c r="V1278" i="2"/>
  <c r="V1279" i="2"/>
  <c r="V1280" i="2"/>
  <c r="V1281" i="2"/>
  <c r="V1282" i="2"/>
  <c r="V1283" i="2"/>
  <c r="V1284" i="2"/>
  <c r="V1285" i="2"/>
  <c r="V1286" i="2"/>
  <c r="V1287" i="2"/>
  <c r="V1288" i="2"/>
  <c r="V1289" i="2"/>
  <c r="V1290" i="2"/>
  <c r="V1291" i="2"/>
  <c r="V1292" i="2"/>
  <c r="V1293" i="2"/>
  <c r="V1294" i="2"/>
  <c r="V1295" i="2"/>
  <c r="V1296" i="2"/>
  <c r="V1297" i="2"/>
  <c r="V1298" i="2"/>
  <c r="V1299" i="2"/>
  <c r="V1300" i="2"/>
  <c r="V1301" i="2"/>
  <c r="V1302" i="2"/>
  <c r="V1303" i="2"/>
  <c r="V1304" i="2"/>
  <c r="V1305" i="2"/>
  <c r="V1306" i="2"/>
  <c r="V1307" i="2"/>
  <c r="V1308" i="2"/>
  <c r="V1309" i="2"/>
  <c r="V1310" i="2"/>
  <c r="V1311" i="2"/>
  <c r="V1312" i="2"/>
  <c r="V1313" i="2"/>
  <c r="V1314" i="2"/>
  <c r="V1315" i="2"/>
  <c r="V1316" i="2"/>
  <c r="V1317" i="2"/>
  <c r="V1318" i="2"/>
  <c r="V1319" i="2"/>
  <c r="V1320" i="2"/>
  <c r="V1321" i="2"/>
  <c r="V1322" i="2"/>
  <c r="V1323" i="2"/>
  <c r="V1324" i="2"/>
  <c r="V1325" i="2"/>
  <c r="V1326" i="2"/>
  <c r="V1327" i="2"/>
  <c r="V1328" i="2"/>
  <c r="V1329" i="2"/>
  <c r="V1330" i="2"/>
  <c r="V1331" i="2"/>
  <c r="V1332" i="2"/>
  <c r="V1333" i="2"/>
  <c r="V1334" i="2"/>
  <c r="V1335" i="2"/>
  <c r="V1336" i="2"/>
  <c r="V1337" i="2"/>
  <c r="V1338" i="2"/>
  <c r="V1339" i="2"/>
  <c r="V1340" i="2"/>
  <c r="V1341" i="2"/>
  <c r="V1342" i="2"/>
  <c r="V1343" i="2"/>
  <c r="V1344" i="2"/>
  <c r="V1345" i="2"/>
  <c r="V1346" i="2"/>
  <c r="V1347" i="2"/>
  <c r="V1348" i="2"/>
  <c r="V1349" i="2"/>
  <c r="V1350" i="2"/>
  <c r="V1351" i="2"/>
  <c r="V1352" i="2"/>
  <c r="V1353" i="2"/>
  <c r="V1354" i="2"/>
  <c r="V1355" i="2"/>
  <c r="V1356" i="2"/>
  <c r="V1357" i="2"/>
  <c r="V1358" i="2"/>
  <c r="V1359" i="2"/>
  <c r="V1360" i="2"/>
  <c r="V1361" i="2"/>
  <c r="V1362" i="2"/>
  <c r="V1363" i="2"/>
  <c r="V1364" i="2"/>
  <c r="V1365" i="2"/>
  <c r="V1366" i="2"/>
  <c r="V1367" i="2"/>
  <c r="V1368" i="2"/>
  <c r="V1369" i="2"/>
  <c r="V1370" i="2"/>
  <c r="V1371" i="2"/>
  <c r="V1372" i="2"/>
  <c r="V1373" i="2"/>
  <c r="V1374" i="2"/>
  <c r="V1375" i="2"/>
  <c r="V1376" i="2"/>
  <c r="V1377" i="2"/>
  <c r="V1378" i="2"/>
  <c r="V1379" i="2"/>
  <c r="V1380" i="2"/>
  <c r="V1381" i="2"/>
  <c r="V1382" i="2"/>
  <c r="V1383" i="2"/>
  <c r="V1384" i="2"/>
  <c r="V1385" i="2"/>
  <c r="V1386" i="2"/>
  <c r="V1387" i="2"/>
  <c r="V1388" i="2"/>
  <c r="V1389" i="2"/>
  <c r="V1390" i="2"/>
  <c r="V1391" i="2"/>
  <c r="V1392" i="2"/>
  <c r="V1393" i="2"/>
  <c r="V1394" i="2"/>
  <c r="V1395" i="2"/>
  <c r="V1396" i="2"/>
  <c r="V1397" i="2"/>
  <c r="V1398" i="2"/>
  <c r="V1399" i="2"/>
  <c r="V1400" i="2"/>
  <c r="V1401" i="2"/>
  <c r="V1402" i="2"/>
  <c r="V1403" i="2"/>
  <c r="V1404" i="2"/>
  <c r="V1405" i="2"/>
  <c r="V1406" i="2"/>
  <c r="V1407" i="2"/>
  <c r="V1408" i="2"/>
  <c r="V1409" i="2"/>
  <c r="V1410" i="2"/>
  <c r="V1411" i="2"/>
  <c r="V1412" i="2"/>
  <c r="V1413" i="2"/>
  <c r="V1414" i="2"/>
  <c r="V1415" i="2"/>
  <c r="V1416" i="2"/>
  <c r="V1417" i="2"/>
  <c r="V1418" i="2"/>
  <c r="V1419" i="2"/>
  <c r="V1420" i="2"/>
  <c r="V1421" i="2"/>
  <c r="V1422" i="2"/>
  <c r="V1423" i="2"/>
  <c r="V1424" i="2"/>
  <c r="V1425" i="2"/>
  <c r="V1426" i="2"/>
  <c r="V1427" i="2"/>
  <c r="V1428" i="2"/>
  <c r="V1429" i="2"/>
  <c r="V1430" i="2"/>
  <c r="V1431" i="2"/>
  <c r="V1432" i="2"/>
  <c r="V1433" i="2"/>
  <c r="V1434" i="2"/>
  <c r="V1435" i="2"/>
  <c r="V1436" i="2"/>
  <c r="V1437" i="2"/>
  <c r="V1438" i="2"/>
  <c r="V1439" i="2"/>
  <c r="V1440" i="2"/>
  <c r="V1441" i="2"/>
  <c r="V1442" i="2"/>
  <c r="V1443" i="2"/>
  <c r="V1444" i="2"/>
  <c r="V1445" i="2"/>
  <c r="V1446" i="2"/>
  <c r="V1447" i="2"/>
  <c r="V1448" i="2"/>
  <c r="V1449" i="2"/>
  <c r="V1450" i="2"/>
  <c r="V1451" i="2"/>
  <c r="V1452" i="2"/>
  <c r="V1453" i="2"/>
  <c r="V1454" i="2"/>
  <c r="V1455" i="2"/>
  <c r="V1456" i="2"/>
  <c r="V1457" i="2"/>
  <c r="V1458" i="2"/>
  <c r="V1459" i="2"/>
  <c r="V1460" i="2"/>
  <c r="V1461" i="2"/>
  <c r="V1462" i="2"/>
  <c r="V1463" i="2"/>
  <c r="V1464" i="2"/>
  <c r="V1465" i="2"/>
  <c r="V1466" i="2"/>
  <c r="V1467" i="2"/>
  <c r="V1468" i="2"/>
  <c r="V1469" i="2"/>
  <c r="V1470" i="2"/>
  <c r="V1471" i="2"/>
  <c r="V1472" i="2"/>
  <c r="V1473" i="2"/>
  <c r="V1474" i="2"/>
  <c r="V1475" i="2"/>
  <c r="V1476" i="2"/>
  <c r="V1477" i="2"/>
  <c r="V1478" i="2"/>
  <c r="V1479" i="2"/>
  <c r="V1480" i="2"/>
  <c r="V1481" i="2"/>
  <c r="V1482" i="2"/>
  <c r="V1483" i="2"/>
  <c r="V1484" i="2"/>
  <c r="V1485" i="2"/>
  <c r="V1486" i="2"/>
  <c r="V1487" i="2"/>
  <c r="V1488" i="2"/>
  <c r="V1489" i="2"/>
  <c r="V1490" i="2"/>
  <c r="V1491" i="2"/>
  <c r="V1492" i="2"/>
  <c r="V1493" i="2"/>
  <c r="V1494" i="2"/>
  <c r="V1495" i="2"/>
  <c r="V1496" i="2"/>
  <c r="V1497" i="2"/>
  <c r="V1498" i="2"/>
  <c r="V1499" i="2"/>
  <c r="V1500" i="2"/>
  <c r="V1501" i="2"/>
  <c r="V1502" i="2"/>
  <c r="V1503" i="2"/>
  <c r="V1504" i="2"/>
  <c r="V1505" i="2"/>
  <c r="V1506" i="2"/>
  <c r="V1507" i="2"/>
  <c r="V1508" i="2"/>
  <c r="V1509" i="2"/>
  <c r="V1510" i="2"/>
  <c r="V1511" i="2"/>
  <c r="V1512" i="2"/>
  <c r="V1513" i="2"/>
  <c r="V1514" i="2"/>
  <c r="V1515" i="2"/>
  <c r="V1516" i="2"/>
  <c r="V1517" i="2"/>
  <c r="V1518" i="2"/>
  <c r="V1519" i="2"/>
  <c r="V1520" i="2"/>
  <c r="V1521" i="2"/>
  <c r="V1522" i="2"/>
  <c r="V1523" i="2"/>
  <c r="V1524" i="2"/>
  <c r="V1525" i="2"/>
  <c r="V1526" i="2"/>
  <c r="V1527" i="2"/>
  <c r="V1528" i="2"/>
  <c r="V1529" i="2"/>
  <c r="V1530" i="2"/>
  <c r="V1531" i="2"/>
  <c r="V1532" i="2"/>
  <c r="V1533" i="2"/>
  <c r="V1534" i="2"/>
  <c r="V1535" i="2"/>
  <c r="V1536" i="2"/>
  <c r="V1537" i="2"/>
  <c r="V1538" i="2"/>
  <c r="V1539" i="2"/>
  <c r="V1540" i="2"/>
  <c r="V1541" i="2"/>
  <c r="V1542" i="2"/>
  <c r="V1543" i="2"/>
  <c r="V1544" i="2"/>
  <c r="V1545" i="2"/>
  <c r="V1546" i="2"/>
  <c r="V1547" i="2"/>
  <c r="V1548" i="2"/>
  <c r="V1549" i="2"/>
  <c r="V1550" i="2"/>
  <c r="V1551" i="2"/>
  <c r="V1552" i="2"/>
  <c r="V1553" i="2"/>
  <c r="V1554" i="2"/>
  <c r="V1555" i="2"/>
  <c r="V1556" i="2"/>
  <c r="V1557" i="2"/>
  <c r="V1558" i="2"/>
  <c r="V1559" i="2"/>
  <c r="V1560" i="2"/>
  <c r="V1561" i="2"/>
  <c r="V1562" i="2"/>
  <c r="V1563" i="2"/>
  <c r="V1564" i="2"/>
  <c r="V1565" i="2"/>
  <c r="V1566" i="2"/>
  <c r="V1567" i="2"/>
  <c r="V1568" i="2"/>
  <c r="V1569" i="2"/>
  <c r="V1570" i="2"/>
  <c r="V1571" i="2"/>
  <c r="V1572" i="2"/>
  <c r="V1573" i="2"/>
  <c r="V1574" i="2"/>
  <c r="V1575" i="2"/>
  <c r="V1576" i="2"/>
  <c r="V1577" i="2"/>
  <c r="V1578" i="2"/>
  <c r="V1579" i="2"/>
  <c r="V1580" i="2"/>
  <c r="V1581" i="2"/>
  <c r="V1582" i="2"/>
  <c r="V1583" i="2"/>
  <c r="V1584" i="2"/>
  <c r="V1585" i="2"/>
  <c r="V1586" i="2"/>
  <c r="V1587" i="2"/>
  <c r="V1588" i="2"/>
  <c r="V1589" i="2"/>
  <c r="V1590" i="2"/>
  <c r="V1591" i="2"/>
  <c r="V1592" i="2"/>
  <c r="V1593" i="2"/>
  <c r="V1594" i="2"/>
  <c r="V1595" i="2"/>
  <c r="V1596" i="2"/>
  <c r="V1597" i="2"/>
  <c r="V1598" i="2"/>
  <c r="V1599" i="2"/>
  <c r="V1600"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510" i="2"/>
  <c r="U511" i="2"/>
  <c r="U512" i="2"/>
  <c r="U513" i="2"/>
  <c r="U514" i="2"/>
  <c r="U515" i="2"/>
  <c r="U516" i="2"/>
  <c r="U517" i="2"/>
  <c r="U518" i="2"/>
  <c r="U519" i="2"/>
  <c r="U520" i="2"/>
  <c r="U521" i="2"/>
  <c r="U522" i="2"/>
  <c r="U523" i="2"/>
  <c r="U524" i="2"/>
  <c r="U525" i="2"/>
  <c r="U526" i="2"/>
  <c r="U527" i="2"/>
  <c r="U528" i="2"/>
  <c r="U529" i="2"/>
  <c r="U530" i="2"/>
  <c r="U531" i="2"/>
  <c r="U532" i="2"/>
  <c r="U533" i="2"/>
  <c r="U534" i="2"/>
  <c r="U535" i="2"/>
  <c r="U536" i="2"/>
  <c r="U537" i="2"/>
  <c r="U538" i="2"/>
  <c r="U539" i="2"/>
  <c r="U540" i="2"/>
  <c r="U541" i="2"/>
  <c r="U542" i="2"/>
  <c r="U543" i="2"/>
  <c r="U544" i="2"/>
  <c r="U545" i="2"/>
  <c r="U546" i="2"/>
  <c r="U547" i="2"/>
  <c r="U548" i="2"/>
  <c r="U549" i="2"/>
  <c r="U550" i="2"/>
  <c r="U551" i="2"/>
  <c r="U552" i="2"/>
  <c r="U553" i="2"/>
  <c r="U554" i="2"/>
  <c r="U555" i="2"/>
  <c r="U556" i="2"/>
  <c r="U557" i="2"/>
  <c r="U558" i="2"/>
  <c r="U559" i="2"/>
  <c r="U560" i="2"/>
  <c r="U561" i="2"/>
  <c r="U562" i="2"/>
  <c r="U563" i="2"/>
  <c r="U564" i="2"/>
  <c r="U565" i="2"/>
  <c r="U566" i="2"/>
  <c r="U567" i="2"/>
  <c r="U568" i="2"/>
  <c r="U569" i="2"/>
  <c r="U570" i="2"/>
  <c r="U571" i="2"/>
  <c r="U572" i="2"/>
  <c r="U573" i="2"/>
  <c r="U574" i="2"/>
  <c r="U575" i="2"/>
  <c r="U576" i="2"/>
  <c r="U577" i="2"/>
  <c r="U578" i="2"/>
  <c r="U579" i="2"/>
  <c r="U580" i="2"/>
  <c r="U581" i="2"/>
  <c r="U582" i="2"/>
  <c r="U583" i="2"/>
  <c r="U584" i="2"/>
  <c r="U585" i="2"/>
  <c r="U586" i="2"/>
  <c r="U587" i="2"/>
  <c r="U588" i="2"/>
  <c r="U589" i="2"/>
  <c r="U590" i="2"/>
  <c r="U591" i="2"/>
  <c r="U592" i="2"/>
  <c r="U593" i="2"/>
  <c r="U594" i="2"/>
  <c r="U595" i="2"/>
  <c r="U596" i="2"/>
  <c r="U597" i="2"/>
  <c r="U598" i="2"/>
  <c r="U599" i="2"/>
  <c r="U600" i="2"/>
  <c r="U601" i="2"/>
  <c r="U602" i="2"/>
  <c r="U603" i="2"/>
  <c r="U604" i="2"/>
  <c r="U605" i="2"/>
  <c r="U606" i="2"/>
  <c r="U607" i="2"/>
  <c r="U608" i="2"/>
  <c r="U609" i="2"/>
  <c r="U610" i="2"/>
  <c r="U611" i="2"/>
  <c r="U612" i="2"/>
  <c r="U613" i="2"/>
  <c r="U614" i="2"/>
  <c r="U615" i="2"/>
  <c r="U616" i="2"/>
  <c r="U617" i="2"/>
  <c r="U618" i="2"/>
  <c r="U619" i="2"/>
  <c r="U620" i="2"/>
  <c r="U621" i="2"/>
  <c r="U622" i="2"/>
  <c r="U623" i="2"/>
  <c r="U624" i="2"/>
  <c r="U625" i="2"/>
  <c r="U626" i="2"/>
  <c r="U627" i="2"/>
  <c r="U628" i="2"/>
  <c r="U629" i="2"/>
  <c r="U630" i="2"/>
  <c r="U631" i="2"/>
  <c r="U632" i="2"/>
  <c r="U633" i="2"/>
  <c r="U634" i="2"/>
  <c r="U635" i="2"/>
  <c r="U636" i="2"/>
  <c r="U637" i="2"/>
  <c r="U638" i="2"/>
  <c r="U639" i="2"/>
  <c r="U640" i="2"/>
  <c r="U641" i="2"/>
  <c r="U642" i="2"/>
  <c r="U643" i="2"/>
  <c r="U644" i="2"/>
  <c r="U645" i="2"/>
  <c r="U646" i="2"/>
  <c r="U647" i="2"/>
  <c r="U648" i="2"/>
  <c r="U649" i="2"/>
  <c r="U650" i="2"/>
  <c r="U651" i="2"/>
  <c r="U652" i="2"/>
  <c r="U653" i="2"/>
  <c r="U654" i="2"/>
  <c r="U655" i="2"/>
  <c r="U656" i="2"/>
  <c r="U657" i="2"/>
  <c r="U658" i="2"/>
  <c r="U659" i="2"/>
  <c r="U660" i="2"/>
  <c r="U661" i="2"/>
  <c r="U662" i="2"/>
  <c r="U663" i="2"/>
  <c r="U664" i="2"/>
  <c r="U665" i="2"/>
  <c r="U666" i="2"/>
  <c r="U667" i="2"/>
  <c r="U668" i="2"/>
  <c r="U669" i="2"/>
  <c r="U670" i="2"/>
  <c r="U671" i="2"/>
  <c r="U672" i="2"/>
  <c r="U673" i="2"/>
  <c r="U674" i="2"/>
  <c r="U675" i="2"/>
  <c r="U676" i="2"/>
  <c r="U677" i="2"/>
  <c r="U678" i="2"/>
  <c r="U679" i="2"/>
  <c r="U680" i="2"/>
  <c r="U681" i="2"/>
  <c r="U682" i="2"/>
  <c r="U683" i="2"/>
  <c r="U684" i="2"/>
  <c r="U685" i="2"/>
  <c r="U686" i="2"/>
  <c r="U687" i="2"/>
  <c r="U688" i="2"/>
  <c r="U689" i="2"/>
  <c r="U690" i="2"/>
  <c r="U691" i="2"/>
  <c r="U692" i="2"/>
  <c r="U693" i="2"/>
  <c r="U694" i="2"/>
  <c r="U695" i="2"/>
  <c r="U696" i="2"/>
  <c r="U697" i="2"/>
  <c r="U698" i="2"/>
  <c r="U699" i="2"/>
  <c r="U700" i="2"/>
  <c r="U701" i="2"/>
  <c r="U702" i="2"/>
  <c r="U703" i="2"/>
  <c r="U704" i="2"/>
  <c r="U705" i="2"/>
  <c r="U706" i="2"/>
  <c r="U707" i="2"/>
  <c r="U708" i="2"/>
  <c r="U709" i="2"/>
  <c r="U710" i="2"/>
  <c r="U711" i="2"/>
  <c r="U712" i="2"/>
  <c r="U713" i="2"/>
  <c r="U714" i="2"/>
  <c r="U715" i="2"/>
  <c r="U716" i="2"/>
  <c r="U717" i="2"/>
  <c r="U718" i="2"/>
  <c r="U719" i="2"/>
  <c r="U720" i="2"/>
  <c r="U721" i="2"/>
  <c r="U722" i="2"/>
  <c r="U723" i="2"/>
  <c r="U724" i="2"/>
  <c r="U725" i="2"/>
  <c r="U726" i="2"/>
  <c r="U727" i="2"/>
  <c r="U728" i="2"/>
  <c r="U729" i="2"/>
  <c r="U730" i="2"/>
  <c r="U731" i="2"/>
  <c r="U732" i="2"/>
  <c r="U733" i="2"/>
  <c r="U734" i="2"/>
  <c r="U735" i="2"/>
  <c r="U736" i="2"/>
  <c r="U737" i="2"/>
  <c r="U738" i="2"/>
  <c r="U739" i="2"/>
  <c r="U740" i="2"/>
  <c r="U741" i="2"/>
  <c r="U742" i="2"/>
  <c r="U743" i="2"/>
  <c r="U744" i="2"/>
  <c r="U745" i="2"/>
  <c r="U746" i="2"/>
  <c r="U747" i="2"/>
  <c r="U748" i="2"/>
  <c r="U749" i="2"/>
  <c r="U750" i="2"/>
  <c r="U751" i="2"/>
  <c r="U752" i="2"/>
  <c r="U753" i="2"/>
  <c r="U754" i="2"/>
  <c r="U755" i="2"/>
  <c r="U756" i="2"/>
  <c r="U757" i="2"/>
  <c r="U758" i="2"/>
  <c r="U759" i="2"/>
  <c r="U760" i="2"/>
  <c r="U761" i="2"/>
  <c r="U762" i="2"/>
  <c r="U763" i="2"/>
  <c r="U764" i="2"/>
  <c r="U765" i="2"/>
  <c r="U766" i="2"/>
  <c r="U767" i="2"/>
  <c r="U768" i="2"/>
  <c r="U769" i="2"/>
  <c r="U770" i="2"/>
  <c r="U771" i="2"/>
  <c r="U772" i="2"/>
  <c r="U773" i="2"/>
  <c r="U774" i="2"/>
  <c r="U775" i="2"/>
  <c r="U776" i="2"/>
  <c r="U777" i="2"/>
  <c r="U778" i="2"/>
  <c r="U779" i="2"/>
  <c r="U780" i="2"/>
  <c r="U781" i="2"/>
  <c r="U782" i="2"/>
  <c r="U783" i="2"/>
  <c r="U784" i="2"/>
  <c r="U785" i="2"/>
  <c r="U786" i="2"/>
  <c r="U787" i="2"/>
  <c r="U788" i="2"/>
  <c r="U789" i="2"/>
  <c r="U790" i="2"/>
  <c r="U791" i="2"/>
  <c r="U792" i="2"/>
  <c r="U793" i="2"/>
  <c r="U794" i="2"/>
  <c r="U795" i="2"/>
  <c r="U796" i="2"/>
  <c r="U797" i="2"/>
  <c r="U798" i="2"/>
  <c r="U799" i="2"/>
  <c r="U800" i="2"/>
  <c r="U801" i="2"/>
  <c r="U802" i="2"/>
  <c r="U803" i="2"/>
  <c r="U804" i="2"/>
  <c r="U805" i="2"/>
  <c r="U806" i="2"/>
  <c r="U807" i="2"/>
  <c r="U808" i="2"/>
  <c r="U809" i="2"/>
  <c r="U810" i="2"/>
  <c r="U811" i="2"/>
  <c r="U812" i="2"/>
  <c r="U813" i="2"/>
  <c r="U814" i="2"/>
  <c r="U815" i="2"/>
  <c r="U816" i="2"/>
  <c r="U817" i="2"/>
  <c r="U818" i="2"/>
  <c r="U819" i="2"/>
  <c r="U820" i="2"/>
  <c r="U821" i="2"/>
  <c r="U822" i="2"/>
  <c r="U823" i="2"/>
  <c r="U824" i="2"/>
  <c r="U825" i="2"/>
  <c r="U826" i="2"/>
  <c r="U827" i="2"/>
  <c r="U828" i="2"/>
  <c r="U829" i="2"/>
  <c r="U830" i="2"/>
  <c r="U831" i="2"/>
  <c r="U832" i="2"/>
  <c r="U833" i="2"/>
  <c r="U834" i="2"/>
  <c r="U835" i="2"/>
  <c r="U836" i="2"/>
  <c r="U837" i="2"/>
  <c r="U838" i="2"/>
  <c r="U839" i="2"/>
  <c r="U840" i="2"/>
  <c r="U841" i="2"/>
  <c r="U842" i="2"/>
  <c r="U843" i="2"/>
  <c r="U844" i="2"/>
  <c r="U845" i="2"/>
  <c r="U846" i="2"/>
  <c r="U847" i="2"/>
  <c r="U848" i="2"/>
  <c r="U849" i="2"/>
  <c r="U850" i="2"/>
  <c r="U851" i="2"/>
  <c r="U852" i="2"/>
  <c r="U853" i="2"/>
  <c r="U854" i="2"/>
  <c r="U855" i="2"/>
  <c r="U856" i="2"/>
  <c r="U857" i="2"/>
  <c r="U858" i="2"/>
  <c r="U859" i="2"/>
  <c r="U860" i="2"/>
  <c r="U861" i="2"/>
  <c r="U862" i="2"/>
  <c r="U863" i="2"/>
  <c r="U864" i="2"/>
  <c r="U865" i="2"/>
  <c r="U866" i="2"/>
  <c r="U867" i="2"/>
  <c r="U868" i="2"/>
  <c r="U869" i="2"/>
  <c r="U870" i="2"/>
  <c r="U871" i="2"/>
  <c r="U872" i="2"/>
  <c r="U873" i="2"/>
  <c r="U874" i="2"/>
  <c r="U875" i="2"/>
  <c r="U876" i="2"/>
  <c r="U877" i="2"/>
  <c r="U878" i="2"/>
  <c r="U879" i="2"/>
  <c r="U880" i="2"/>
  <c r="U881" i="2"/>
  <c r="U882" i="2"/>
  <c r="U883" i="2"/>
  <c r="U884" i="2"/>
  <c r="U885" i="2"/>
  <c r="U886" i="2"/>
  <c r="U887" i="2"/>
  <c r="U888" i="2"/>
  <c r="U889" i="2"/>
  <c r="U890" i="2"/>
  <c r="U891" i="2"/>
  <c r="U892" i="2"/>
  <c r="U893" i="2"/>
  <c r="U894" i="2"/>
  <c r="U895" i="2"/>
  <c r="U896" i="2"/>
  <c r="U897" i="2"/>
  <c r="U898" i="2"/>
  <c r="U899" i="2"/>
  <c r="U900" i="2"/>
  <c r="U901" i="2"/>
  <c r="U902" i="2"/>
  <c r="U903" i="2"/>
  <c r="U904" i="2"/>
  <c r="U905" i="2"/>
  <c r="U906" i="2"/>
  <c r="U907" i="2"/>
  <c r="U908" i="2"/>
  <c r="U909" i="2"/>
  <c r="U910" i="2"/>
  <c r="U911" i="2"/>
  <c r="U912" i="2"/>
  <c r="U913" i="2"/>
  <c r="U914" i="2"/>
  <c r="U915" i="2"/>
  <c r="U916" i="2"/>
  <c r="U917" i="2"/>
  <c r="U918" i="2"/>
  <c r="U919" i="2"/>
  <c r="U920" i="2"/>
  <c r="U921" i="2"/>
  <c r="U922" i="2"/>
  <c r="U923" i="2"/>
  <c r="U924" i="2"/>
  <c r="U925" i="2"/>
  <c r="U926" i="2"/>
  <c r="U927" i="2"/>
  <c r="U928" i="2"/>
  <c r="U929" i="2"/>
  <c r="U930" i="2"/>
  <c r="U931" i="2"/>
  <c r="U932" i="2"/>
  <c r="U933" i="2"/>
  <c r="U934" i="2"/>
  <c r="U935" i="2"/>
  <c r="U936" i="2"/>
  <c r="U937" i="2"/>
  <c r="U938" i="2"/>
  <c r="U939" i="2"/>
  <c r="U940" i="2"/>
  <c r="U941" i="2"/>
  <c r="U942" i="2"/>
  <c r="U943" i="2"/>
  <c r="U944" i="2"/>
  <c r="U945" i="2"/>
  <c r="U946" i="2"/>
  <c r="U947" i="2"/>
  <c r="U948" i="2"/>
  <c r="U949" i="2"/>
  <c r="U950" i="2"/>
  <c r="U951" i="2"/>
  <c r="U952" i="2"/>
  <c r="U953" i="2"/>
  <c r="U954" i="2"/>
  <c r="U955" i="2"/>
  <c r="U956" i="2"/>
  <c r="U957" i="2"/>
  <c r="U958" i="2"/>
  <c r="U959" i="2"/>
  <c r="U960" i="2"/>
  <c r="U961" i="2"/>
  <c r="U962" i="2"/>
  <c r="U963" i="2"/>
  <c r="U964" i="2"/>
  <c r="U965" i="2"/>
  <c r="U966" i="2"/>
  <c r="U967" i="2"/>
  <c r="U968" i="2"/>
  <c r="U969" i="2"/>
  <c r="U970" i="2"/>
  <c r="U971" i="2"/>
  <c r="U972" i="2"/>
  <c r="U973" i="2"/>
  <c r="U974" i="2"/>
  <c r="U975" i="2"/>
  <c r="U976" i="2"/>
  <c r="U977" i="2"/>
  <c r="U978" i="2"/>
  <c r="U979" i="2"/>
  <c r="U980" i="2"/>
  <c r="U981" i="2"/>
  <c r="U982" i="2"/>
  <c r="U983" i="2"/>
  <c r="U984" i="2"/>
  <c r="U985" i="2"/>
  <c r="U986" i="2"/>
  <c r="U987" i="2"/>
  <c r="U988" i="2"/>
  <c r="U989" i="2"/>
  <c r="U990" i="2"/>
  <c r="U991" i="2"/>
  <c r="U992" i="2"/>
  <c r="U993" i="2"/>
  <c r="U994" i="2"/>
  <c r="U995" i="2"/>
  <c r="U996" i="2"/>
  <c r="U997" i="2"/>
  <c r="U998" i="2"/>
  <c r="U999" i="2"/>
  <c r="U1000" i="2"/>
  <c r="U1001" i="2"/>
  <c r="U1002" i="2"/>
  <c r="U1003" i="2"/>
  <c r="U1004" i="2"/>
  <c r="U1005" i="2"/>
  <c r="U1006" i="2"/>
  <c r="U1007" i="2"/>
  <c r="U1008" i="2"/>
  <c r="U1009" i="2"/>
  <c r="U1010" i="2"/>
  <c r="U1011" i="2"/>
  <c r="U1012" i="2"/>
  <c r="U1013" i="2"/>
  <c r="U1014" i="2"/>
  <c r="U1015" i="2"/>
  <c r="U1016" i="2"/>
  <c r="U1017" i="2"/>
  <c r="U1018" i="2"/>
  <c r="U1019" i="2"/>
  <c r="U1020" i="2"/>
  <c r="U1021" i="2"/>
  <c r="U1022" i="2"/>
  <c r="U1023" i="2"/>
  <c r="U1024" i="2"/>
  <c r="U1025" i="2"/>
  <c r="U1026" i="2"/>
  <c r="U1027" i="2"/>
  <c r="U1028" i="2"/>
  <c r="U1029" i="2"/>
  <c r="U1030" i="2"/>
  <c r="U1031" i="2"/>
  <c r="U1032" i="2"/>
  <c r="U1033" i="2"/>
  <c r="U1034" i="2"/>
  <c r="U1035" i="2"/>
  <c r="U1036" i="2"/>
  <c r="U1037" i="2"/>
  <c r="U1038" i="2"/>
  <c r="U1039" i="2"/>
  <c r="U1040" i="2"/>
  <c r="U1041" i="2"/>
  <c r="U1042" i="2"/>
  <c r="U1043" i="2"/>
  <c r="U1044" i="2"/>
  <c r="U1045" i="2"/>
  <c r="U1046" i="2"/>
  <c r="U1047" i="2"/>
  <c r="U1048" i="2"/>
  <c r="U1049" i="2"/>
  <c r="U1050" i="2"/>
  <c r="U1051" i="2"/>
  <c r="U1052" i="2"/>
  <c r="U1053" i="2"/>
  <c r="U1054" i="2"/>
  <c r="U1055" i="2"/>
  <c r="U1056" i="2"/>
  <c r="U1057" i="2"/>
  <c r="U1058" i="2"/>
  <c r="U1059" i="2"/>
  <c r="U1060" i="2"/>
  <c r="U1061" i="2"/>
  <c r="U1062" i="2"/>
  <c r="U1063" i="2"/>
  <c r="U1064" i="2"/>
  <c r="U1065" i="2"/>
  <c r="U1066" i="2"/>
  <c r="U1067" i="2"/>
  <c r="U1068" i="2"/>
  <c r="U1069" i="2"/>
  <c r="U1070" i="2"/>
  <c r="U1071" i="2"/>
  <c r="U1072" i="2"/>
  <c r="U1073" i="2"/>
  <c r="U1074" i="2"/>
  <c r="U1075" i="2"/>
  <c r="U1076" i="2"/>
  <c r="U1077" i="2"/>
  <c r="U1078" i="2"/>
  <c r="U1079" i="2"/>
  <c r="U1080" i="2"/>
  <c r="U1081" i="2"/>
  <c r="U1082" i="2"/>
  <c r="U1083" i="2"/>
  <c r="U1084" i="2"/>
  <c r="U1085" i="2"/>
  <c r="U1086" i="2"/>
  <c r="U1087" i="2"/>
  <c r="U1088" i="2"/>
  <c r="U1089" i="2"/>
  <c r="U1090" i="2"/>
  <c r="U1091" i="2"/>
  <c r="U1092" i="2"/>
  <c r="U1093" i="2"/>
  <c r="U1094" i="2"/>
  <c r="U1095" i="2"/>
  <c r="U1096" i="2"/>
  <c r="U1097" i="2"/>
  <c r="U1098" i="2"/>
  <c r="U1099" i="2"/>
  <c r="U1100" i="2"/>
  <c r="U1101" i="2"/>
  <c r="U1102" i="2"/>
  <c r="U1103" i="2"/>
  <c r="U1104" i="2"/>
  <c r="U1105" i="2"/>
  <c r="U1106" i="2"/>
  <c r="U1107" i="2"/>
  <c r="U1108" i="2"/>
  <c r="U1109" i="2"/>
  <c r="U1110" i="2"/>
  <c r="U1111" i="2"/>
  <c r="U1112" i="2"/>
  <c r="U1113" i="2"/>
  <c r="U1114" i="2"/>
  <c r="U1115" i="2"/>
  <c r="U1116" i="2"/>
  <c r="U1117" i="2"/>
  <c r="U1118" i="2"/>
  <c r="U1119" i="2"/>
  <c r="U1120" i="2"/>
  <c r="U1121" i="2"/>
  <c r="U1122" i="2"/>
  <c r="U1123" i="2"/>
  <c r="U1124" i="2"/>
  <c r="U1125" i="2"/>
  <c r="U1126" i="2"/>
  <c r="U1127" i="2"/>
  <c r="U1128" i="2"/>
  <c r="U1129" i="2"/>
  <c r="U1130" i="2"/>
  <c r="U1131" i="2"/>
  <c r="U1132" i="2"/>
  <c r="U1133" i="2"/>
  <c r="U1134" i="2"/>
  <c r="U1135" i="2"/>
  <c r="U1136" i="2"/>
  <c r="U1137" i="2"/>
  <c r="U1138" i="2"/>
  <c r="U1139" i="2"/>
  <c r="U1140" i="2"/>
  <c r="U1141" i="2"/>
  <c r="U1142" i="2"/>
  <c r="U1143" i="2"/>
  <c r="U1144" i="2"/>
  <c r="U1145" i="2"/>
  <c r="U1146" i="2"/>
  <c r="U1147" i="2"/>
  <c r="U1148" i="2"/>
  <c r="U1149" i="2"/>
  <c r="U1150" i="2"/>
  <c r="U1151" i="2"/>
  <c r="U1152" i="2"/>
  <c r="U1153" i="2"/>
  <c r="U1154" i="2"/>
  <c r="U1155" i="2"/>
  <c r="U1156" i="2"/>
  <c r="U1157" i="2"/>
  <c r="U1158" i="2"/>
  <c r="U1159" i="2"/>
  <c r="U1160" i="2"/>
  <c r="U1161" i="2"/>
  <c r="U1162" i="2"/>
  <c r="U1163" i="2"/>
  <c r="U1164" i="2"/>
  <c r="U1165" i="2"/>
  <c r="U1166" i="2"/>
  <c r="U1167" i="2"/>
  <c r="U1168" i="2"/>
  <c r="U1169" i="2"/>
  <c r="U1170" i="2"/>
  <c r="U1171" i="2"/>
  <c r="U1172" i="2"/>
  <c r="U1173" i="2"/>
  <c r="U1174" i="2"/>
  <c r="U1175" i="2"/>
  <c r="U1176" i="2"/>
  <c r="U1177" i="2"/>
  <c r="U1178" i="2"/>
  <c r="U1179" i="2"/>
  <c r="U1180" i="2"/>
  <c r="U1181" i="2"/>
  <c r="U1182" i="2"/>
  <c r="U1183" i="2"/>
  <c r="U1184" i="2"/>
  <c r="U1185" i="2"/>
  <c r="U1186" i="2"/>
  <c r="U1187" i="2"/>
  <c r="U1188" i="2"/>
  <c r="U1189" i="2"/>
  <c r="U1190" i="2"/>
  <c r="U1191" i="2"/>
  <c r="U1192" i="2"/>
  <c r="U1193" i="2"/>
  <c r="U1194" i="2"/>
  <c r="U1195" i="2"/>
  <c r="U1196" i="2"/>
  <c r="U1197" i="2"/>
  <c r="U1198" i="2"/>
  <c r="U1199" i="2"/>
  <c r="U1200" i="2"/>
  <c r="U1201" i="2"/>
  <c r="U1202" i="2"/>
  <c r="U1203" i="2"/>
  <c r="U1204" i="2"/>
  <c r="U1205" i="2"/>
  <c r="U1206" i="2"/>
  <c r="U1207" i="2"/>
  <c r="U1208" i="2"/>
  <c r="U1209" i="2"/>
  <c r="U1210" i="2"/>
  <c r="U1211" i="2"/>
  <c r="U1212" i="2"/>
  <c r="U1213" i="2"/>
  <c r="U1214" i="2"/>
  <c r="U1215" i="2"/>
  <c r="U1216" i="2"/>
  <c r="U1217" i="2"/>
  <c r="U1218" i="2"/>
  <c r="U1219" i="2"/>
  <c r="U1220" i="2"/>
  <c r="U1221" i="2"/>
  <c r="U1222" i="2"/>
  <c r="U1223" i="2"/>
  <c r="U1224" i="2"/>
  <c r="U1225" i="2"/>
  <c r="U1226" i="2"/>
  <c r="U1227" i="2"/>
  <c r="U1228" i="2"/>
  <c r="U1229" i="2"/>
  <c r="U1230" i="2"/>
  <c r="U1231" i="2"/>
  <c r="U1232" i="2"/>
  <c r="U1233" i="2"/>
  <c r="U1234" i="2"/>
  <c r="U1235" i="2"/>
  <c r="U1236" i="2"/>
  <c r="U1237" i="2"/>
  <c r="U1238" i="2"/>
  <c r="U1239" i="2"/>
  <c r="U1240" i="2"/>
  <c r="U1241" i="2"/>
  <c r="U1242" i="2"/>
  <c r="U1243" i="2"/>
  <c r="U1244" i="2"/>
  <c r="U1245" i="2"/>
  <c r="U1246" i="2"/>
  <c r="U1247" i="2"/>
  <c r="U1248" i="2"/>
  <c r="U1249" i="2"/>
  <c r="U1250" i="2"/>
  <c r="U1251" i="2"/>
  <c r="U1252" i="2"/>
  <c r="U1253" i="2"/>
  <c r="U1254" i="2"/>
  <c r="U1255" i="2"/>
  <c r="U1256" i="2"/>
  <c r="U1257" i="2"/>
  <c r="U1258" i="2"/>
  <c r="U1259" i="2"/>
  <c r="U1260" i="2"/>
  <c r="U1261" i="2"/>
  <c r="U1262" i="2"/>
  <c r="U1263" i="2"/>
  <c r="U1264" i="2"/>
  <c r="U1265" i="2"/>
  <c r="U1266" i="2"/>
  <c r="U1267" i="2"/>
  <c r="U1268" i="2"/>
  <c r="U1269" i="2"/>
  <c r="U1270" i="2"/>
  <c r="U1271" i="2"/>
  <c r="U1272" i="2"/>
  <c r="U1273" i="2"/>
  <c r="U1274" i="2"/>
  <c r="U1275" i="2"/>
  <c r="U1276" i="2"/>
  <c r="U1277" i="2"/>
  <c r="U1278" i="2"/>
  <c r="U1279" i="2"/>
  <c r="U1280" i="2"/>
  <c r="U1281" i="2"/>
  <c r="U1282" i="2"/>
  <c r="U1283" i="2"/>
  <c r="U1284" i="2"/>
  <c r="U1285" i="2"/>
  <c r="U1286" i="2"/>
  <c r="U1287" i="2"/>
  <c r="U1288" i="2"/>
  <c r="U1289" i="2"/>
  <c r="U1290" i="2"/>
  <c r="U1291" i="2"/>
  <c r="U1292" i="2"/>
  <c r="U1293" i="2"/>
  <c r="U1294" i="2"/>
  <c r="U1295" i="2"/>
  <c r="U1296" i="2"/>
  <c r="U1297" i="2"/>
  <c r="U1298" i="2"/>
  <c r="U1299" i="2"/>
  <c r="U1300" i="2"/>
  <c r="U1301" i="2"/>
  <c r="U1302" i="2"/>
  <c r="U1303" i="2"/>
  <c r="U1304" i="2"/>
  <c r="U1305" i="2"/>
  <c r="U1306" i="2"/>
  <c r="U1307" i="2"/>
  <c r="U1308" i="2"/>
  <c r="U1309" i="2"/>
  <c r="U1310" i="2"/>
  <c r="U1311" i="2"/>
  <c r="U1312" i="2"/>
  <c r="U1313" i="2"/>
  <c r="U1314" i="2"/>
  <c r="U1315" i="2"/>
  <c r="U1316" i="2"/>
  <c r="U1317" i="2"/>
  <c r="U1318" i="2"/>
  <c r="U1319" i="2"/>
  <c r="U1320" i="2"/>
  <c r="U1321" i="2"/>
  <c r="U1322" i="2"/>
  <c r="U1323" i="2"/>
  <c r="U1324" i="2"/>
  <c r="U1325" i="2"/>
  <c r="U1326" i="2"/>
  <c r="U1327" i="2"/>
  <c r="U1328" i="2"/>
  <c r="U1329" i="2"/>
  <c r="U1330" i="2"/>
  <c r="U1331" i="2"/>
  <c r="U1332" i="2"/>
  <c r="U1333" i="2"/>
  <c r="U1334" i="2"/>
  <c r="U1335" i="2"/>
  <c r="U1336" i="2"/>
  <c r="U1337" i="2"/>
  <c r="U1338" i="2"/>
  <c r="U1339" i="2"/>
  <c r="U1340" i="2"/>
  <c r="U1341" i="2"/>
  <c r="U1342" i="2"/>
  <c r="U1343" i="2"/>
  <c r="U1344" i="2"/>
  <c r="U1345" i="2"/>
  <c r="U1346" i="2"/>
  <c r="U1347" i="2"/>
  <c r="U1348" i="2"/>
  <c r="U1349" i="2"/>
  <c r="U1350" i="2"/>
  <c r="U1351" i="2"/>
  <c r="U1352" i="2"/>
  <c r="U1353" i="2"/>
  <c r="U1354" i="2"/>
  <c r="U1355" i="2"/>
  <c r="U1356" i="2"/>
  <c r="U1357" i="2"/>
  <c r="U1358" i="2"/>
  <c r="U1359" i="2"/>
  <c r="U1360" i="2"/>
  <c r="U1361" i="2"/>
  <c r="U1362" i="2"/>
  <c r="U1363" i="2"/>
  <c r="U1364" i="2"/>
  <c r="U1365" i="2"/>
  <c r="U1366" i="2"/>
  <c r="U1367" i="2"/>
  <c r="U1368" i="2"/>
  <c r="U1369" i="2"/>
  <c r="U1370" i="2"/>
  <c r="U1371" i="2"/>
  <c r="U1372" i="2"/>
  <c r="U1373" i="2"/>
  <c r="U1374" i="2"/>
  <c r="U1375" i="2"/>
  <c r="U1376" i="2"/>
  <c r="U1377" i="2"/>
  <c r="U1378" i="2"/>
  <c r="U1379" i="2"/>
  <c r="U1380" i="2"/>
  <c r="U1381" i="2"/>
  <c r="U1382" i="2"/>
  <c r="U1383" i="2"/>
  <c r="U1384" i="2"/>
  <c r="U1385" i="2"/>
  <c r="U1386" i="2"/>
  <c r="U1387" i="2"/>
  <c r="U1388" i="2"/>
  <c r="U1389" i="2"/>
  <c r="U1390" i="2"/>
  <c r="U1391" i="2"/>
  <c r="U1392" i="2"/>
  <c r="U1393" i="2"/>
  <c r="U1394" i="2"/>
  <c r="U1395" i="2"/>
  <c r="U1396" i="2"/>
  <c r="U1397" i="2"/>
  <c r="U1398" i="2"/>
  <c r="U1399" i="2"/>
  <c r="U1400" i="2"/>
  <c r="U1401" i="2"/>
  <c r="U1402" i="2"/>
  <c r="U1403" i="2"/>
  <c r="U1404" i="2"/>
  <c r="U1405" i="2"/>
  <c r="U1406" i="2"/>
  <c r="U1407" i="2"/>
  <c r="U1408" i="2"/>
  <c r="U1409" i="2"/>
  <c r="U1410" i="2"/>
  <c r="U1411" i="2"/>
  <c r="U1412" i="2"/>
  <c r="U1413" i="2"/>
  <c r="U1414" i="2"/>
  <c r="U1415" i="2"/>
  <c r="U1416" i="2"/>
  <c r="U1417" i="2"/>
  <c r="U1418" i="2"/>
  <c r="U1419" i="2"/>
  <c r="U1420" i="2"/>
  <c r="U1421" i="2"/>
  <c r="U1422" i="2"/>
  <c r="U1423" i="2"/>
  <c r="U1424" i="2"/>
  <c r="U1425" i="2"/>
  <c r="U1426" i="2"/>
  <c r="U1427" i="2"/>
  <c r="U1428" i="2"/>
  <c r="U1429" i="2"/>
  <c r="U1430" i="2"/>
  <c r="U1431" i="2"/>
  <c r="U1432" i="2"/>
  <c r="U1433" i="2"/>
  <c r="U1434" i="2"/>
  <c r="U1435" i="2"/>
  <c r="U1436" i="2"/>
  <c r="U1437" i="2"/>
  <c r="U1438" i="2"/>
  <c r="U1439" i="2"/>
  <c r="U1440" i="2"/>
  <c r="U1441" i="2"/>
  <c r="U1442" i="2"/>
  <c r="U1443" i="2"/>
  <c r="U1444" i="2"/>
  <c r="U1445" i="2"/>
  <c r="U1446" i="2"/>
  <c r="U1447" i="2"/>
  <c r="U1448" i="2"/>
  <c r="U1449" i="2"/>
  <c r="U1450" i="2"/>
  <c r="U1451" i="2"/>
  <c r="U1452" i="2"/>
  <c r="U1453" i="2"/>
  <c r="U1454" i="2"/>
  <c r="U1455" i="2"/>
  <c r="U1456" i="2"/>
  <c r="U1457" i="2"/>
  <c r="U1458" i="2"/>
  <c r="U1459" i="2"/>
  <c r="U1460" i="2"/>
  <c r="U1461" i="2"/>
  <c r="U1462" i="2"/>
  <c r="U1463" i="2"/>
  <c r="U1464" i="2"/>
  <c r="U1465" i="2"/>
  <c r="U1466" i="2"/>
  <c r="U1467" i="2"/>
  <c r="U1468" i="2"/>
  <c r="U1469" i="2"/>
  <c r="U1470" i="2"/>
  <c r="U1471" i="2"/>
  <c r="U1472" i="2"/>
  <c r="U1473" i="2"/>
  <c r="U1474" i="2"/>
  <c r="U1475" i="2"/>
  <c r="U1476" i="2"/>
  <c r="U1477" i="2"/>
  <c r="U1478" i="2"/>
  <c r="U1479" i="2"/>
  <c r="U1480" i="2"/>
  <c r="U1481" i="2"/>
  <c r="U1482" i="2"/>
  <c r="U1483" i="2"/>
  <c r="U1484" i="2"/>
  <c r="U1485" i="2"/>
  <c r="U1486" i="2"/>
  <c r="U1487" i="2"/>
  <c r="U1488" i="2"/>
  <c r="U1489" i="2"/>
  <c r="U1490" i="2"/>
  <c r="U1491" i="2"/>
  <c r="U1492" i="2"/>
  <c r="U1493" i="2"/>
  <c r="U1494" i="2"/>
  <c r="U1495" i="2"/>
  <c r="U1496" i="2"/>
  <c r="U1497" i="2"/>
  <c r="U1498" i="2"/>
  <c r="U1499" i="2"/>
  <c r="U1500" i="2"/>
  <c r="U1501" i="2"/>
  <c r="U1502" i="2"/>
  <c r="U1503" i="2"/>
  <c r="U1504" i="2"/>
  <c r="U1505" i="2"/>
  <c r="U1506" i="2"/>
  <c r="U1507" i="2"/>
  <c r="U1508" i="2"/>
  <c r="U1509" i="2"/>
  <c r="U1510" i="2"/>
  <c r="U1511" i="2"/>
  <c r="U1512" i="2"/>
  <c r="U1513" i="2"/>
  <c r="U1514" i="2"/>
  <c r="U1515" i="2"/>
  <c r="U1516" i="2"/>
  <c r="U1517" i="2"/>
  <c r="U1518" i="2"/>
  <c r="U1519" i="2"/>
  <c r="U1520" i="2"/>
  <c r="U1521" i="2"/>
  <c r="U1522" i="2"/>
  <c r="U1523" i="2"/>
  <c r="U1524" i="2"/>
  <c r="U1525" i="2"/>
  <c r="U1526" i="2"/>
  <c r="U1527" i="2"/>
  <c r="U1528" i="2"/>
  <c r="U1529" i="2"/>
  <c r="U1530" i="2"/>
  <c r="U1531" i="2"/>
  <c r="U1532" i="2"/>
  <c r="U1533" i="2"/>
  <c r="U1534" i="2"/>
  <c r="U1535" i="2"/>
  <c r="U1536" i="2"/>
  <c r="U1537" i="2"/>
  <c r="U1538" i="2"/>
  <c r="U1539" i="2"/>
  <c r="U1540" i="2"/>
  <c r="U1541" i="2"/>
  <c r="U1542" i="2"/>
  <c r="U1543" i="2"/>
  <c r="U1544" i="2"/>
  <c r="U1545" i="2"/>
  <c r="U1546" i="2"/>
  <c r="U1547" i="2"/>
  <c r="U1548" i="2"/>
  <c r="U1549" i="2"/>
  <c r="U1550" i="2"/>
  <c r="U1551" i="2"/>
  <c r="U1552" i="2"/>
  <c r="U1553" i="2"/>
  <c r="U1554" i="2"/>
  <c r="U1555" i="2"/>
  <c r="U1556" i="2"/>
  <c r="U1557" i="2"/>
  <c r="U1558" i="2"/>
  <c r="U1559" i="2"/>
  <c r="U1560" i="2"/>
  <c r="U1561" i="2"/>
  <c r="U1562" i="2"/>
  <c r="U1563" i="2"/>
  <c r="U1564" i="2"/>
  <c r="U1565" i="2"/>
  <c r="U1566" i="2"/>
  <c r="U1567" i="2"/>
  <c r="U1568" i="2"/>
  <c r="U1569" i="2"/>
  <c r="U1570" i="2"/>
  <c r="U1571" i="2"/>
  <c r="U1572" i="2"/>
  <c r="U1573" i="2"/>
  <c r="U1574" i="2"/>
  <c r="U1575" i="2"/>
  <c r="U1576" i="2"/>
  <c r="U1577" i="2"/>
  <c r="U1578" i="2"/>
  <c r="U1579" i="2"/>
  <c r="U1580" i="2"/>
  <c r="U1581" i="2"/>
  <c r="U1582" i="2"/>
  <c r="U1583" i="2"/>
  <c r="U1584" i="2"/>
  <c r="U1585" i="2"/>
  <c r="U1586" i="2"/>
  <c r="U1587" i="2"/>
  <c r="U1588" i="2"/>
  <c r="U1589" i="2"/>
  <c r="U1590" i="2"/>
  <c r="U1591" i="2"/>
  <c r="U1592" i="2"/>
  <c r="U1593" i="2"/>
  <c r="U1594" i="2"/>
  <c r="U1595" i="2"/>
  <c r="U1596" i="2"/>
  <c r="U1597" i="2"/>
  <c r="U1598" i="2"/>
  <c r="U1599" i="2"/>
  <c r="U1600" i="2"/>
  <c r="U3" i="2"/>
  <c r="U4" i="2"/>
  <c r="U5" i="2"/>
  <c r="U6" i="2"/>
  <c r="U7" i="2"/>
  <c r="U8" i="2"/>
  <c r="U9" i="2"/>
  <c r="U10" i="2"/>
  <c r="U11" i="2"/>
  <c r="U12" i="2"/>
  <c r="V2" i="2"/>
  <c r="U2"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T928" i="2"/>
  <c r="T929" i="2"/>
  <c r="T930" i="2"/>
  <c r="T931" i="2"/>
  <c r="T932" i="2"/>
  <c r="T933" i="2"/>
  <c r="T934" i="2"/>
  <c r="T935" i="2"/>
  <c r="T936" i="2"/>
  <c r="T937" i="2"/>
  <c r="T938" i="2"/>
  <c r="T939" i="2"/>
  <c r="T940" i="2"/>
  <c r="T941" i="2"/>
  <c r="T942" i="2"/>
  <c r="T943" i="2"/>
  <c r="T944" i="2"/>
  <c r="T945" i="2"/>
  <c r="T946" i="2"/>
  <c r="T947" i="2"/>
  <c r="T948" i="2"/>
  <c r="T949" i="2"/>
  <c r="T950" i="2"/>
  <c r="T951" i="2"/>
  <c r="T952" i="2"/>
  <c r="T953" i="2"/>
  <c r="T954" i="2"/>
  <c r="T955" i="2"/>
  <c r="T956" i="2"/>
  <c r="T957" i="2"/>
  <c r="T958" i="2"/>
  <c r="T959" i="2"/>
  <c r="T960" i="2"/>
  <c r="T961" i="2"/>
  <c r="T962" i="2"/>
  <c r="T963" i="2"/>
  <c r="T964" i="2"/>
  <c r="T965" i="2"/>
  <c r="T966" i="2"/>
  <c r="T967" i="2"/>
  <c r="T968" i="2"/>
  <c r="T969" i="2"/>
  <c r="T970" i="2"/>
  <c r="T971" i="2"/>
  <c r="T972" i="2"/>
  <c r="T973" i="2"/>
  <c r="T974" i="2"/>
  <c r="T975" i="2"/>
  <c r="T976" i="2"/>
  <c r="T977" i="2"/>
  <c r="T978" i="2"/>
  <c r="T979" i="2"/>
  <c r="T980" i="2"/>
  <c r="T981" i="2"/>
  <c r="T982" i="2"/>
  <c r="T983" i="2"/>
  <c r="T984" i="2"/>
  <c r="T985" i="2"/>
  <c r="T986" i="2"/>
  <c r="T987" i="2"/>
  <c r="T988" i="2"/>
  <c r="T989" i="2"/>
  <c r="T990" i="2"/>
  <c r="T991" i="2"/>
  <c r="T992" i="2"/>
  <c r="T993" i="2"/>
  <c r="T994" i="2"/>
  <c r="T995" i="2"/>
  <c r="T996" i="2"/>
  <c r="T997" i="2"/>
  <c r="T998" i="2"/>
  <c r="T999" i="2"/>
  <c r="T1000" i="2"/>
  <c r="T1001" i="2"/>
  <c r="T1002" i="2"/>
  <c r="T1003" i="2"/>
  <c r="T1004" i="2"/>
  <c r="T1005" i="2"/>
  <c r="T1006" i="2"/>
  <c r="T1007" i="2"/>
  <c r="T1008" i="2"/>
  <c r="T1009" i="2"/>
  <c r="T1010" i="2"/>
  <c r="T1011" i="2"/>
  <c r="T1012" i="2"/>
  <c r="T1013" i="2"/>
  <c r="T1014" i="2"/>
  <c r="T1015" i="2"/>
  <c r="T1016" i="2"/>
  <c r="T1017" i="2"/>
  <c r="T1018" i="2"/>
  <c r="T1019" i="2"/>
  <c r="T1020" i="2"/>
  <c r="T1021" i="2"/>
  <c r="T1022" i="2"/>
  <c r="T1023" i="2"/>
  <c r="T1024" i="2"/>
  <c r="T1025" i="2"/>
  <c r="T1026" i="2"/>
  <c r="T1027" i="2"/>
  <c r="T1028" i="2"/>
  <c r="T1029" i="2"/>
  <c r="T1030" i="2"/>
  <c r="T1031" i="2"/>
  <c r="T1032" i="2"/>
  <c r="T1033" i="2"/>
  <c r="T1034" i="2"/>
  <c r="T1035" i="2"/>
  <c r="T1036" i="2"/>
  <c r="T1037" i="2"/>
  <c r="T1038" i="2"/>
  <c r="T1039" i="2"/>
  <c r="T1040" i="2"/>
  <c r="T1041" i="2"/>
  <c r="T1042" i="2"/>
  <c r="T1043" i="2"/>
  <c r="T1044" i="2"/>
  <c r="T1045" i="2"/>
  <c r="T1046" i="2"/>
  <c r="T1047" i="2"/>
  <c r="T1048" i="2"/>
  <c r="T1049" i="2"/>
  <c r="T1050" i="2"/>
  <c r="T1051" i="2"/>
  <c r="T1052" i="2"/>
  <c r="T1053" i="2"/>
  <c r="T1054" i="2"/>
  <c r="T1055" i="2"/>
  <c r="T1056" i="2"/>
  <c r="T1057" i="2"/>
  <c r="T1058" i="2"/>
  <c r="T1059" i="2"/>
  <c r="T1060" i="2"/>
  <c r="T1061" i="2"/>
  <c r="T1062" i="2"/>
  <c r="T1063" i="2"/>
  <c r="T1064" i="2"/>
  <c r="T1065" i="2"/>
  <c r="T1066" i="2"/>
  <c r="T1067" i="2"/>
  <c r="T1068" i="2"/>
  <c r="T1069" i="2"/>
  <c r="T1070" i="2"/>
  <c r="T1071" i="2"/>
  <c r="T1072" i="2"/>
  <c r="T1073" i="2"/>
  <c r="T1074" i="2"/>
  <c r="T1075" i="2"/>
  <c r="T1076" i="2"/>
  <c r="T1077" i="2"/>
  <c r="T1078" i="2"/>
  <c r="T1079" i="2"/>
  <c r="T1080" i="2"/>
  <c r="T1081" i="2"/>
  <c r="T1082" i="2"/>
  <c r="T1083" i="2"/>
  <c r="T1084" i="2"/>
  <c r="T1085" i="2"/>
  <c r="T1086" i="2"/>
  <c r="T1087" i="2"/>
  <c r="T1088" i="2"/>
  <c r="T1089" i="2"/>
  <c r="T1090" i="2"/>
  <c r="T1091" i="2"/>
  <c r="T1092" i="2"/>
  <c r="T1093" i="2"/>
  <c r="T1094" i="2"/>
  <c r="T1095" i="2"/>
  <c r="T1096" i="2"/>
  <c r="T1097" i="2"/>
  <c r="T1098" i="2"/>
  <c r="T1099" i="2"/>
  <c r="T1100" i="2"/>
  <c r="T1101" i="2"/>
  <c r="T1102" i="2"/>
  <c r="T1103" i="2"/>
  <c r="T1104" i="2"/>
  <c r="T1105" i="2"/>
  <c r="T1106" i="2"/>
  <c r="T1107" i="2"/>
  <c r="T1108" i="2"/>
  <c r="T1109" i="2"/>
  <c r="T1110" i="2"/>
  <c r="T1111" i="2"/>
  <c r="T1112" i="2"/>
  <c r="T1113" i="2"/>
  <c r="T1114" i="2"/>
  <c r="T1115" i="2"/>
  <c r="T1116" i="2"/>
  <c r="T1117" i="2"/>
  <c r="T1118" i="2"/>
  <c r="T1119" i="2"/>
  <c r="T1120" i="2"/>
  <c r="T1121" i="2"/>
  <c r="T1122" i="2"/>
  <c r="T1123" i="2"/>
  <c r="T1124" i="2"/>
  <c r="T1125" i="2"/>
  <c r="T1126" i="2"/>
  <c r="T1127" i="2"/>
  <c r="T1128" i="2"/>
  <c r="T1129" i="2"/>
  <c r="T1130" i="2"/>
  <c r="T1131" i="2"/>
  <c r="T1132" i="2"/>
  <c r="T1133" i="2"/>
  <c r="T1134" i="2"/>
  <c r="T1135" i="2"/>
  <c r="T1136" i="2"/>
  <c r="T1137" i="2"/>
  <c r="T1138" i="2"/>
  <c r="T1139" i="2"/>
  <c r="T1140" i="2"/>
  <c r="T1141" i="2"/>
  <c r="T1142" i="2"/>
  <c r="T1143" i="2"/>
  <c r="T1144" i="2"/>
  <c r="T1145" i="2"/>
  <c r="T1146" i="2"/>
  <c r="T1147" i="2"/>
  <c r="T1148" i="2"/>
  <c r="T1149" i="2"/>
  <c r="T1150" i="2"/>
  <c r="T1151" i="2"/>
  <c r="T1152" i="2"/>
  <c r="T1153" i="2"/>
  <c r="T1154" i="2"/>
  <c r="T1155" i="2"/>
  <c r="T1156" i="2"/>
  <c r="T1157" i="2"/>
  <c r="T1158" i="2"/>
  <c r="T1159" i="2"/>
  <c r="T1160" i="2"/>
  <c r="T1161" i="2"/>
  <c r="T1162" i="2"/>
  <c r="T1163" i="2"/>
  <c r="T1164" i="2"/>
  <c r="T1165" i="2"/>
  <c r="T1166" i="2"/>
  <c r="T1167" i="2"/>
  <c r="T1168" i="2"/>
  <c r="T1169" i="2"/>
  <c r="T1170" i="2"/>
  <c r="T1171" i="2"/>
  <c r="T1172" i="2"/>
  <c r="T1173" i="2"/>
  <c r="T1174" i="2"/>
  <c r="T1175" i="2"/>
  <c r="T1176" i="2"/>
  <c r="T1177" i="2"/>
  <c r="T1178" i="2"/>
  <c r="T1179" i="2"/>
  <c r="T1180" i="2"/>
  <c r="T1181" i="2"/>
  <c r="T1182" i="2"/>
  <c r="T1183" i="2"/>
  <c r="T1184" i="2"/>
  <c r="T1185" i="2"/>
  <c r="T1186" i="2"/>
  <c r="T1187" i="2"/>
  <c r="T1188" i="2"/>
  <c r="T1189" i="2"/>
  <c r="T1190" i="2"/>
  <c r="T1191" i="2"/>
  <c r="T1192" i="2"/>
  <c r="T1193" i="2"/>
  <c r="T1194" i="2"/>
  <c r="T1195" i="2"/>
  <c r="T1196" i="2"/>
  <c r="T1197" i="2"/>
  <c r="T1198" i="2"/>
  <c r="T1199" i="2"/>
  <c r="T1200" i="2"/>
  <c r="T1201" i="2"/>
  <c r="T1202" i="2"/>
  <c r="T1203" i="2"/>
  <c r="T1204" i="2"/>
  <c r="T1205" i="2"/>
  <c r="T1206" i="2"/>
  <c r="T1207" i="2"/>
  <c r="T1208" i="2"/>
  <c r="T1209" i="2"/>
  <c r="T1210" i="2"/>
  <c r="T1211" i="2"/>
  <c r="T1212" i="2"/>
  <c r="T1213" i="2"/>
  <c r="T1214" i="2"/>
  <c r="T1215" i="2"/>
  <c r="T1216" i="2"/>
  <c r="T1217" i="2"/>
  <c r="T1218" i="2"/>
  <c r="T1219" i="2"/>
  <c r="T1220" i="2"/>
  <c r="T1221" i="2"/>
  <c r="T1222" i="2"/>
  <c r="T1223" i="2"/>
  <c r="T1224" i="2"/>
  <c r="T1225" i="2"/>
  <c r="T1226" i="2"/>
  <c r="T1227" i="2"/>
  <c r="T1228" i="2"/>
  <c r="T1229" i="2"/>
  <c r="T1230" i="2"/>
  <c r="T1231" i="2"/>
  <c r="T1232" i="2"/>
  <c r="T1233" i="2"/>
  <c r="T1234" i="2"/>
  <c r="T1235" i="2"/>
  <c r="T1236" i="2"/>
  <c r="T1237" i="2"/>
  <c r="T1238" i="2"/>
  <c r="T1239" i="2"/>
  <c r="T1240" i="2"/>
  <c r="T1241" i="2"/>
  <c r="T1242" i="2"/>
  <c r="T1243" i="2"/>
  <c r="T1244" i="2"/>
  <c r="T1245" i="2"/>
  <c r="T1246" i="2"/>
  <c r="T1247" i="2"/>
  <c r="T1248" i="2"/>
  <c r="T1249" i="2"/>
  <c r="T1250" i="2"/>
  <c r="T1251" i="2"/>
  <c r="T1252" i="2"/>
  <c r="T1253" i="2"/>
  <c r="T1254" i="2"/>
  <c r="T1255" i="2"/>
  <c r="T1256" i="2"/>
  <c r="T1257" i="2"/>
  <c r="T1258" i="2"/>
  <c r="T1259" i="2"/>
  <c r="T1260" i="2"/>
  <c r="T1261" i="2"/>
  <c r="T1262" i="2"/>
  <c r="T1263" i="2"/>
  <c r="T1264" i="2"/>
  <c r="T1265" i="2"/>
  <c r="T1266" i="2"/>
  <c r="T1267" i="2"/>
  <c r="T1268" i="2"/>
  <c r="T1269" i="2"/>
  <c r="T1270" i="2"/>
  <c r="T1271" i="2"/>
  <c r="T1272" i="2"/>
  <c r="T1273" i="2"/>
  <c r="T1274" i="2"/>
  <c r="T1275" i="2"/>
  <c r="T1276" i="2"/>
  <c r="T1277" i="2"/>
  <c r="T1278" i="2"/>
  <c r="T1279" i="2"/>
  <c r="T1280" i="2"/>
  <c r="T1281" i="2"/>
  <c r="T1282" i="2"/>
  <c r="T1283" i="2"/>
  <c r="T1284" i="2"/>
  <c r="T1285" i="2"/>
  <c r="T1286" i="2"/>
  <c r="T1287" i="2"/>
  <c r="T1288" i="2"/>
  <c r="T1289" i="2"/>
  <c r="T1290" i="2"/>
  <c r="T1291" i="2"/>
  <c r="T1292" i="2"/>
  <c r="T1293" i="2"/>
  <c r="T1294" i="2"/>
  <c r="T1295" i="2"/>
  <c r="T1296" i="2"/>
  <c r="T1297" i="2"/>
  <c r="T1298" i="2"/>
  <c r="T1299" i="2"/>
  <c r="T1300" i="2"/>
  <c r="T1301" i="2"/>
  <c r="T1302" i="2"/>
  <c r="T1303" i="2"/>
  <c r="T1304" i="2"/>
  <c r="T1305" i="2"/>
  <c r="T1306" i="2"/>
  <c r="T1307" i="2"/>
  <c r="T1308" i="2"/>
  <c r="T1309" i="2"/>
  <c r="T1310" i="2"/>
  <c r="T1311" i="2"/>
  <c r="T1312" i="2"/>
  <c r="T1313" i="2"/>
  <c r="T1314" i="2"/>
  <c r="T1315" i="2"/>
  <c r="T1316" i="2"/>
  <c r="T1317" i="2"/>
  <c r="T1318" i="2"/>
  <c r="T1319" i="2"/>
  <c r="T1320" i="2"/>
  <c r="T1321" i="2"/>
  <c r="T1322" i="2"/>
  <c r="T1323" i="2"/>
  <c r="T1324" i="2"/>
  <c r="T1325" i="2"/>
  <c r="T1326" i="2"/>
  <c r="T1327" i="2"/>
  <c r="T1328" i="2"/>
  <c r="T1329" i="2"/>
  <c r="T1330" i="2"/>
  <c r="T1331" i="2"/>
  <c r="T1332" i="2"/>
  <c r="T1333" i="2"/>
  <c r="T1334" i="2"/>
  <c r="T1335" i="2"/>
  <c r="T1336" i="2"/>
  <c r="T1337" i="2"/>
  <c r="T1338" i="2"/>
  <c r="T1339" i="2"/>
  <c r="T1340" i="2"/>
  <c r="T1341" i="2"/>
  <c r="T1342" i="2"/>
  <c r="T1343" i="2"/>
  <c r="T1344" i="2"/>
  <c r="T1345" i="2"/>
  <c r="T1346" i="2"/>
  <c r="T1347" i="2"/>
  <c r="T1348" i="2"/>
  <c r="T1349" i="2"/>
  <c r="T1350" i="2"/>
  <c r="T1351" i="2"/>
  <c r="T1352" i="2"/>
  <c r="T1353" i="2"/>
  <c r="T1354" i="2"/>
  <c r="T1355" i="2"/>
  <c r="T1356" i="2"/>
  <c r="T1357" i="2"/>
  <c r="T1358" i="2"/>
  <c r="T1359" i="2"/>
  <c r="T1360" i="2"/>
  <c r="T1361" i="2"/>
  <c r="T1362" i="2"/>
  <c r="T1363" i="2"/>
  <c r="T1364" i="2"/>
  <c r="T1365" i="2"/>
  <c r="T1366" i="2"/>
  <c r="T1367" i="2"/>
  <c r="T1368" i="2"/>
  <c r="T1369" i="2"/>
  <c r="T1370" i="2"/>
  <c r="T1371" i="2"/>
  <c r="T1372" i="2"/>
  <c r="T1373" i="2"/>
  <c r="T1374" i="2"/>
  <c r="T1375" i="2"/>
  <c r="T1376" i="2"/>
  <c r="T1377" i="2"/>
  <c r="T1378" i="2"/>
  <c r="T1379" i="2"/>
  <c r="T1380" i="2"/>
  <c r="T1381" i="2"/>
  <c r="T1382" i="2"/>
  <c r="T1383" i="2"/>
  <c r="T1384" i="2"/>
  <c r="T1385" i="2"/>
  <c r="T1386" i="2"/>
  <c r="T1387" i="2"/>
  <c r="T1388" i="2"/>
  <c r="T1389" i="2"/>
  <c r="T1390" i="2"/>
  <c r="T1391" i="2"/>
  <c r="T1392" i="2"/>
  <c r="T1393" i="2"/>
  <c r="T1394" i="2"/>
  <c r="T1395" i="2"/>
  <c r="T1396" i="2"/>
  <c r="T1397" i="2"/>
  <c r="T1398" i="2"/>
  <c r="T1399" i="2"/>
  <c r="T1400" i="2"/>
  <c r="T1401" i="2"/>
  <c r="T1402" i="2"/>
  <c r="T1403" i="2"/>
  <c r="T1404" i="2"/>
  <c r="T1405" i="2"/>
  <c r="T1406" i="2"/>
  <c r="T1407" i="2"/>
  <c r="T1408" i="2"/>
  <c r="T1409" i="2"/>
  <c r="T1410" i="2"/>
  <c r="T1411" i="2"/>
  <c r="T1412" i="2"/>
  <c r="T1413" i="2"/>
  <c r="T1414" i="2"/>
  <c r="T1415" i="2"/>
  <c r="T1416" i="2"/>
  <c r="T1417" i="2"/>
  <c r="T1418" i="2"/>
  <c r="T1419" i="2"/>
  <c r="T1420" i="2"/>
  <c r="T1421" i="2"/>
  <c r="T1422" i="2"/>
  <c r="T1423" i="2"/>
  <c r="T1424" i="2"/>
  <c r="T1425" i="2"/>
  <c r="T1426" i="2"/>
  <c r="T1427" i="2"/>
  <c r="T1428" i="2"/>
  <c r="T1429" i="2"/>
  <c r="T1430" i="2"/>
  <c r="T1431" i="2"/>
  <c r="T1432" i="2"/>
  <c r="T1433" i="2"/>
  <c r="T1434" i="2"/>
  <c r="T1435" i="2"/>
  <c r="T1436" i="2"/>
  <c r="T1437" i="2"/>
  <c r="T1438" i="2"/>
  <c r="T1439" i="2"/>
  <c r="T1440" i="2"/>
  <c r="T1441" i="2"/>
  <c r="T1442" i="2"/>
  <c r="T1443" i="2"/>
  <c r="T1444" i="2"/>
  <c r="T1445" i="2"/>
  <c r="T1446" i="2"/>
  <c r="T1447" i="2"/>
  <c r="T1448" i="2"/>
  <c r="T1449" i="2"/>
  <c r="T1450" i="2"/>
  <c r="T1451" i="2"/>
  <c r="T1452" i="2"/>
  <c r="T1453" i="2"/>
  <c r="T1454" i="2"/>
  <c r="T1455" i="2"/>
  <c r="T1456" i="2"/>
  <c r="T1457" i="2"/>
  <c r="T1458" i="2"/>
  <c r="T1459" i="2"/>
  <c r="T1460" i="2"/>
  <c r="T1461" i="2"/>
  <c r="T1462" i="2"/>
  <c r="T1463" i="2"/>
  <c r="T1464" i="2"/>
  <c r="T1465" i="2"/>
  <c r="T1466" i="2"/>
  <c r="T1467" i="2"/>
  <c r="T1468" i="2"/>
  <c r="T1469" i="2"/>
  <c r="T1470" i="2"/>
  <c r="T1471" i="2"/>
  <c r="T1472" i="2"/>
  <c r="T1473" i="2"/>
  <c r="T1474" i="2"/>
  <c r="T1475" i="2"/>
  <c r="T1476" i="2"/>
  <c r="T1477" i="2"/>
  <c r="T1478" i="2"/>
  <c r="T1479" i="2"/>
  <c r="T1480" i="2"/>
  <c r="T1481" i="2"/>
  <c r="T1482" i="2"/>
  <c r="T1483" i="2"/>
  <c r="T1484" i="2"/>
  <c r="T1485" i="2"/>
  <c r="T1486" i="2"/>
  <c r="T1487" i="2"/>
  <c r="T1488" i="2"/>
  <c r="T1489" i="2"/>
  <c r="T1490" i="2"/>
  <c r="T1491" i="2"/>
  <c r="T1492" i="2"/>
  <c r="T1493" i="2"/>
  <c r="T1494" i="2"/>
  <c r="T1495" i="2"/>
  <c r="T1496" i="2"/>
  <c r="T1497" i="2"/>
  <c r="T1498" i="2"/>
  <c r="T1499" i="2"/>
  <c r="T1500" i="2"/>
  <c r="T1501" i="2"/>
  <c r="T1502" i="2"/>
  <c r="T1503" i="2"/>
  <c r="T1504" i="2"/>
  <c r="T1505" i="2"/>
  <c r="T1506" i="2"/>
  <c r="T1507" i="2"/>
  <c r="T1508" i="2"/>
  <c r="T1509" i="2"/>
  <c r="T1510" i="2"/>
  <c r="T1511" i="2"/>
  <c r="T1512" i="2"/>
  <c r="T1513" i="2"/>
  <c r="T1514" i="2"/>
  <c r="T1515" i="2"/>
  <c r="T1516" i="2"/>
  <c r="T1517" i="2"/>
  <c r="T1518" i="2"/>
  <c r="T1519" i="2"/>
  <c r="T1520" i="2"/>
  <c r="T1521" i="2"/>
  <c r="T1522" i="2"/>
  <c r="T1523" i="2"/>
  <c r="T1524" i="2"/>
  <c r="T1525" i="2"/>
  <c r="T1526" i="2"/>
  <c r="T1527" i="2"/>
  <c r="T1528" i="2"/>
  <c r="T1529" i="2"/>
  <c r="T1530" i="2"/>
  <c r="T1531" i="2"/>
  <c r="T1532" i="2"/>
  <c r="T1533" i="2"/>
  <c r="T1534" i="2"/>
  <c r="T1535" i="2"/>
  <c r="T1536" i="2"/>
  <c r="T1537" i="2"/>
  <c r="T1538" i="2"/>
  <c r="T1539" i="2"/>
  <c r="T1540" i="2"/>
  <c r="T1541" i="2"/>
  <c r="T1542" i="2"/>
  <c r="T1543" i="2"/>
  <c r="T1544" i="2"/>
  <c r="T1545" i="2"/>
  <c r="T1546" i="2"/>
  <c r="T1547" i="2"/>
  <c r="T1548" i="2"/>
  <c r="T1549" i="2"/>
  <c r="T1550" i="2"/>
  <c r="T1551" i="2"/>
  <c r="T1552" i="2"/>
  <c r="T1553" i="2"/>
  <c r="T1554" i="2"/>
  <c r="T1555" i="2"/>
  <c r="T1556" i="2"/>
  <c r="T1557" i="2"/>
  <c r="T1558" i="2"/>
  <c r="T1559" i="2"/>
  <c r="T1560" i="2"/>
  <c r="T1561" i="2"/>
  <c r="T1562" i="2"/>
  <c r="T1563" i="2"/>
  <c r="T1564" i="2"/>
  <c r="T1565" i="2"/>
  <c r="T1566" i="2"/>
  <c r="T1567" i="2"/>
  <c r="T1568" i="2"/>
  <c r="T1569" i="2"/>
  <c r="T1570" i="2"/>
  <c r="T1571" i="2"/>
  <c r="T1572" i="2"/>
  <c r="T1573" i="2"/>
  <c r="T1574" i="2"/>
  <c r="T1575" i="2"/>
  <c r="T1576" i="2"/>
  <c r="T1577" i="2"/>
  <c r="T1578" i="2"/>
  <c r="T1579" i="2"/>
  <c r="T1580" i="2"/>
  <c r="T1581" i="2"/>
  <c r="T1582" i="2"/>
  <c r="T1583" i="2"/>
  <c r="T1584" i="2"/>
  <c r="T1585" i="2"/>
  <c r="T1586" i="2"/>
  <c r="T1587" i="2"/>
  <c r="T1588" i="2"/>
  <c r="T1589" i="2"/>
  <c r="T1590" i="2"/>
  <c r="T1591" i="2"/>
  <c r="T1592" i="2"/>
  <c r="T1593" i="2"/>
  <c r="T1594" i="2"/>
  <c r="T1595" i="2"/>
  <c r="T1596" i="2"/>
  <c r="T1597" i="2"/>
  <c r="T1598" i="2"/>
  <c r="T1599" i="2"/>
  <c r="T1600" i="2"/>
  <c r="T15" i="2"/>
  <c r="T16" i="2"/>
  <c r="T17" i="2"/>
  <c r="T18" i="2"/>
  <c r="T19" i="2"/>
  <c r="T20" i="2"/>
  <c r="T3" i="2"/>
  <c r="T4" i="2"/>
  <c r="T5" i="2"/>
  <c r="T6" i="2"/>
  <c r="T7" i="2"/>
  <c r="T8" i="2"/>
  <c r="T9" i="2"/>
  <c r="T10" i="2"/>
  <c r="T11" i="2"/>
  <c r="T12" i="2"/>
  <c r="T13" i="2"/>
  <c r="T14" i="2"/>
  <c r="T2" i="2"/>
  <c r="S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1002" i="2"/>
  <c r="S1003" i="2"/>
  <c r="S1004" i="2"/>
  <c r="S1005" i="2"/>
  <c r="S1006" i="2"/>
  <c r="S1007" i="2"/>
  <c r="S1008" i="2"/>
  <c r="S1009" i="2"/>
  <c r="S1010" i="2"/>
  <c r="S1011" i="2"/>
  <c r="S1012" i="2"/>
  <c r="S1013" i="2"/>
  <c r="S1014" i="2"/>
  <c r="S1015" i="2"/>
  <c r="S1016" i="2"/>
  <c r="S1017" i="2"/>
  <c r="S1018" i="2"/>
  <c r="S1019" i="2"/>
  <c r="S1020" i="2"/>
  <c r="S1021" i="2"/>
  <c r="S1022" i="2"/>
  <c r="S1023" i="2"/>
  <c r="S1024" i="2"/>
  <c r="S1025" i="2"/>
  <c r="S1026" i="2"/>
  <c r="S1027" i="2"/>
  <c r="S1028" i="2"/>
  <c r="S1029" i="2"/>
  <c r="S1030" i="2"/>
  <c r="S1031" i="2"/>
  <c r="S1032" i="2"/>
  <c r="S1033" i="2"/>
  <c r="S1034" i="2"/>
  <c r="S1035" i="2"/>
  <c r="S1036" i="2"/>
  <c r="S1037" i="2"/>
  <c r="S1038" i="2"/>
  <c r="S1039" i="2"/>
  <c r="S1040" i="2"/>
  <c r="S1041" i="2"/>
  <c r="S1042" i="2"/>
  <c r="S1043" i="2"/>
  <c r="S1044" i="2"/>
  <c r="S1045" i="2"/>
  <c r="S1046" i="2"/>
  <c r="S1047" i="2"/>
  <c r="S1048" i="2"/>
  <c r="S1049" i="2"/>
  <c r="S1050" i="2"/>
  <c r="S1051" i="2"/>
  <c r="S1052" i="2"/>
  <c r="S1053" i="2"/>
  <c r="S1054" i="2"/>
  <c r="S1055" i="2"/>
  <c r="S1056" i="2"/>
  <c r="S1057" i="2"/>
  <c r="S1058" i="2"/>
  <c r="S1059" i="2"/>
  <c r="S1060" i="2"/>
  <c r="S1061" i="2"/>
  <c r="S1062" i="2"/>
  <c r="S1063" i="2"/>
  <c r="S1064" i="2"/>
  <c r="S1065" i="2"/>
  <c r="S1066" i="2"/>
  <c r="S1067" i="2"/>
  <c r="S1068" i="2"/>
  <c r="S1069" i="2"/>
  <c r="S1070" i="2"/>
  <c r="S1071" i="2"/>
  <c r="S1072" i="2"/>
  <c r="S1073" i="2"/>
  <c r="S1074" i="2"/>
  <c r="S1075" i="2"/>
  <c r="S1076" i="2"/>
  <c r="S1077" i="2"/>
  <c r="S1078" i="2"/>
  <c r="S1079" i="2"/>
  <c r="S1080" i="2"/>
  <c r="S1081" i="2"/>
  <c r="S1082" i="2"/>
  <c r="S1083" i="2"/>
  <c r="S1084" i="2"/>
  <c r="S1085" i="2"/>
  <c r="S1086" i="2"/>
  <c r="S1087" i="2"/>
  <c r="S1088" i="2"/>
  <c r="S1089" i="2"/>
  <c r="S1090" i="2"/>
  <c r="S1091" i="2"/>
  <c r="S1092" i="2"/>
  <c r="S1093" i="2"/>
  <c r="S1094" i="2"/>
  <c r="S1095" i="2"/>
  <c r="S1096" i="2"/>
  <c r="S1097" i="2"/>
  <c r="S1098" i="2"/>
  <c r="S1099" i="2"/>
  <c r="S1100" i="2"/>
  <c r="S1101" i="2"/>
  <c r="S1102" i="2"/>
  <c r="S1103" i="2"/>
  <c r="S1104" i="2"/>
  <c r="S1105" i="2"/>
  <c r="S1106" i="2"/>
  <c r="S1107" i="2"/>
  <c r="S1108" i="2"/>
  <c r="S1109" i="2"/>
  <c r="S1110" i="2"/>
  <c r="S1111" i="2"/>
  <c r="S1112" i="2"/>
  <c r="S1113" i="2"/>
  <c r="S1114" i="2"/>
  <c r="S1115" i="2"/>
  <c r="S1116" i="2"/>
  <c r="S1117" i="2"/>
  <c r="S1118" i="2"/>
  <c r="S1119" i="2"/>
  <c r="S1120" i="2"/>
  <c r="S1121" i="2"/>
  <c r="S1122" i="2"/>
  <c r="S1123" i="2"/>
  <c r="S1124" i="2"/>
  <c r="S1125" i="2"/>
  <c r="S1126" i="2"/>
  <c r="S1127" i="2"/>
  <c r="S1128" i="2"/>
  <c r="S1129" i="2"/>
  <c r="S1130" i="2"/>
  <c r="S1131" i="2"/>
  <c r="S1132" i="2"/>
  <c r="S1133" i="2"/>
  <c r="S1134" i="2"/>
  <c r="S1135" i="2"/>
  <c r="S1136" i="2"/>
  <c r="S1137" i="2"/>
  <c r="S1138" i="2"/>
  <c r="S1139" i="2"/>
  <c r="S1140" i="2"/>
  <c r="S1141" i="2"/>
  <c r="S1142" i="2"/>
  <c r="S1143" i="2"/>
  <c r="S1144" i="2"/>
  <c r="S1145" i="2"/>
  <c r="S1146" i="2"/>
  <c r="S1147" i="2"/>
  <c r="S1148" i="2"/>
  <c r="S1149" i="2"/>
  <c r="S1150" i="2"/>
  <c r="S1151" i="2"/>
  <c r="S1152" i="2"/>
  <c r="S1153" i="2"/>
  <c r="S1154" i="2"/>
  <c r="S1155" i="2"/>
  <c r="S1156" i="2"/>
  <c r="S1157" i="2"/>
  <c r="S1158" i="2"/>
  <c r="S1159" i="2"/>
  <c r="S1160" i="2"/>
  <c r="S1161" i="2"/>
  <c r="S1162" i="2"/>
  <c r="S1163" i="2"/>
  <c r="S1164" i="2"/>
  <c r="S1165" i="2"/>
  <c r="S1166" i="2"/>
  <c r="S1167" i="2"/>
  <c r="S1168" i="2"/>
  <c r="S1169" i="2"/>
  <c r="S1170" i="2"/>
  <c r="S1171" i="2"/>
  <c r="S1172" i="2"/>
  <c r="S1173" i="2"/>
  <c r="S1174" i="2"/>
  <c r="S1175" i="2"/>
  <c r="S1176" i="2"/>
  <c r="S1177" i="2"/>
  <c r="S1178" i="2"/>
  <c r="S1179" i="2"/>
  <c r="S1180" i="2"/>
  <c r="S1181" i="2"/>
  <c r="S1182" i="2"/>
  <c r="S1183" i="2"/>
  <c r="S1184" i="2"/>
  <c r="S1185" i="2"/>
  <c r="S1186" i="2"/>
  <c r="S1187" i="2"/>
  <c r="S1188" i="2"/>
  <c r="S1189" i="2"/>
  <c r="S1190" i="2"/>
  <c r="S1191" i="2"/>
  <c r="S1192" i="2"/>
  <c r="S1193" i="2"/>
  <c r="S1194" i="2"/>
  <c r="S1195" i="2"/>
  <c r="S1196" i="2"/>
  <c r="S1197" i="2"/>
  <c r="S1198" i="2"/>
  <c r="S1199" i="2"/>
  <c r="S1200" i="2"/>
  <c r="S1201" i="2"/>
  <c r="S1202" i="2"/>
  <c r="S1203" i="2"/>
  <c r="S1204" i="2"/>
  <c r="S1205" i="2"/>
  <c r="S1206" i="2"/>
  <c r="S1207" i="2"/>
  <c r="S1208" i="2"/>
  <c r="S1209" i="2"/>
  <c r="S1210" i="2"/>
  <c r="S1211" i="2"/>
  <c r="S1212" i="2"/>
  <c r="S1213" i="2"/>
  <c r="S1214" i="2"/>
  <c r="S1215" i="2"/>
  <c r="S1216" i="2"/>
  <c r="S1217" i="2"/>
  <c r="S1218" i="2"/>
  <c r="S1219" i="2"/>
  <c r="S1220" i="2"/>
  <c r="S1221" i="2"/>
  <c r="S1222" i="2"/>
  <c r="S1223" i="2"/>
  <c r="S1224" i="2"/>
  <c r="S1225" i="2"/>
  <c r="S1226" i="2"/>
  <c r="S1227" i="2"/>
  <c r="S1228" i="2"/>
  <c r="S1229" i="2"/>
  <c r="S1230" i="2"/>
  <c r="S1231" i="2"/>
  <c r="S1232" i="2"/>
  <c r="S1233" i="2"/>
  <c r="S1234" i="2"/>
  <c r="S1235" i="2"/>
  <c r="S1236" i="2"/>
  <c r="S1237" i="2"/>
  <c r="S1238" i="2"/>
  <c r="S1239" i="2"/>
  <c r="S1240" i="2"/>
  <c r="S1241" i="2"/>
  <c r="S1242" i="2"/>
  <c r="S1243" i="2"/>
  <c r="S1244" i="2"/>
  <c r="S1245" i="2"/>
  <c r="S1246" i="2"/>
  <c r="S1247" i="2"/>
  <c r="S1248" i="2"/>
  <c r="S1249" i="2"/>
  <c r="S1250" i="2"/>
  <c r="S1251" i="2"/>
  <c r="S1252" i="2"/>
  <c r="S1253" i="2"/>
  <c r="S1254" i="2"/>
  <c r="S1255" i="2"/>
  <c r="S1256" i="2"/>
  <c r="S1257" i="2"/>
  <c r="S1258" i="2"/>
  <c r="S1259" i="2"/>
  <c r="S1260" i="2"/>
  <c r="S1261" i="2"/>
  <c r="S1262" i="2"/>
  <c r="S1263" i="2"/>
  <c r="S1264" i="2"/>
  <c r="S1265" i="2"/>
  <c r="S1266" i="2"/>
  <c r="S1267" i="2"/>
  <c r="S1268" i="2"/>
  <c r="S1269" i="2"/>
  <c r="S1270" i="2"/>
  <c r="S1271" i="2"/>
  <c r="S1272" i="2"/>
  <c r="S1273" i="2"/>
  <c r="S1274" i="2"/>
  <c r="S1275" i="2"/>
  <c r="S1276" i="2"/>
  <c r="S1277" i="2"/>
  <c r="S1278" i="2"/>
  <c r="S1279" i="2"/>
  <c r="S1280" i="2"/>
  <c r="S1281" i="2"/>
  <c r="S1282" i="2"/>
  <c r="S1283" i="2"/>
  <c r="S1284" i="2"/>
  <c r="S1285" i="2"/>
  <c r="S1286" i="2"/>
  <c r="S1287" i="2"/>
  <c r="S1288" i="2"/>
  <c r="S1289" i="2"/>
  <c r="S1290" i="2"/>
  <c r="S1291" i="2"/>
  <c r="S1292" i="2"/>
  <c r="S1293" i="2"/>
  <c r="S1294" i="2"/>
  <c r="S1295" i="2"/>
  <c r="S1296" i="2"/>
  <c r="S1297" i="2"/>
  <c r="S1298" i="2"/>
  <c r="S1299" i="2"/>
  <c r="S1300" i="2"/>
  <c r="S1301" i="2"/>
  <c r="S1302" i="2"/>
  <c r="S1303" i="2"/>
  <c r="S1304" i="2"/>
  <c r="S1305" i="2"/>
  <c r="S1306" i="2"/>
  <c r="S1307" i="2"/>
  <c r="S1308" i="2"/>
  <c r="S1309" i="2"/>
  <c r="S1310" i="2"/>
  <c r="S1311" i="2"/>
  <c r="S1312" i="2"/>
  <c r="S1313" i="2"/>
  <c r="S1314" i="2"/>
  <c r="S1315" i="2"/>
  <c r="S1316" i="2"/>
  <c r="S1317" i="2"/>
  <c r="S1318" i="2"/>
  <c r="S1319" i="2"/>
  <c r="S1320" i="2"/>
  <c r="S1321" i="2"/>
  <c r="S1322" i="2"/>
  <c r="S1323" i="2"/>
  <c r="S1324" i="2"/>
  <c r="S1325" i="2"/>
  <c r="S1326" i="2"/>
  <c r="S1327" i="2"/>
  <c r="S1328" i="2"/>
  <c r="S1329" i="2"/>
  <c r="S1330" i="2"/>
  <c r="S1331" i="2"/>
  <c r="S1332" i="2"/>
  <c r="S1333" i="2"/>
  <c r="S1334" i="2"/>
  <c r="S1335" i="2"/>
  <c r="S1336" i="2"/>
  <c r="S1337" i="2"/>
  <c r="S1338" i="2"/>
  <c r="S1339" i="2"/>
  <c r="S1340" i="2"/>
  <c r="S1341" i="2"/>
  <c r="S1342" i="2"/>
  <c r="S1343" i="2"/>
  <c r="S1344" i="2"/>
  <c r="S1345" i="2"/>
  <c r="S1346" i="2"/>
  <c r="S1347" i="2"/>
  <c r="S1348" i="2"/>
  <c r="S1349" i="2"/>
  <c r="S1350" i="2"/>
  <c r="S1351" i="2"/>
  <c r="S1352" i="2"/>
  <c r="S1353" i="2"/>
  <c r="S1354" i="2"/>
  <c r="S1355" i="2"/>
  <c r="S1356" i="2"/>
  <c r="S1357" i="2"/>
  <c r="S1358" i="2"/>
  <c r="S1359" i="2"/>
  <c r="S1360" i="2"/>
  <c r="S1361" i="2"/>
  <c r="S1362" i="2"/>
  <c r="S1363" i="2"/>
  <c r="S1364" i="2"/>
  <c r="S1365" i="2"/>
  <c r="S1366" i="2"/>
  <c r="S1367" i="2"/>
  <c r="S1368" i="2"/>
  <c r="S1369" i="2"/>
  <c r="S1370" i="2"/>
  <c r="S1371" i="2"/>
  <c r="S1372" i="2"/>
  <c r="S1373" i="2"/>
  <c r="S1374" i="2"/>
  <c r="S1375" i="2"/>
  <c r="S1376" i="2"/>
  <c r="S1377" i="2"/>
  <c r="S1378" i="2"/>
  <c r="S1379" i="2"/>
  <c r="S1380" i="2"/>
  <c r="S1381" i="2"/>
  <c r="S1382" i="2"/>
  <c r="S1383" i="2"/>
  <c r="S1384" i="2"/>
  <c r="S1385" i="2"/>
  <c r="S1386" i="2"/>
  <c r="S1387" i="2"/>
  <c r="S1388" i="2"/>
  <c r="S1389" i="2"/>
  <c r="S1390" i="2"/>
  <c r="S1391" i="2"/>
  <c r="S1392" i="2"/>
  <c r="S1393" i="2"/>
  <c r="S1394" i="2"/>
  <c r="S1395" i="2"/>
  <c r="S1396" i="2"/>
  <c r="S1397" i="2"/>
  <c r="S1398" i="2"/>
  <c r="S1399" i="2"/>
  <c r="S1400" i="2"/>
  <c r="S1401" i="2"/>
  <c r="S1402" i="2"/>
  <c r="S1403" i="2"/>
  <c r="S1404" i="2"/>
  <c r="S1405" i="2"/>
  <c r="S1406" i="2"/>
  <c r="S1407" i="2"/>
  <c r="S1408" i="2"/>
  <c r="S1409" i="2"/>
  <c r="S1410" i="2"/>
  <c r="S1411" i="2"/>
  <c r="S1412" i="2"/>
  <c r="S1413" i="2"/>
  <c r="S1414" i="2"/>
  <c r="S1415" i="2"/>
  <c r="S1416" i="2"/>
  <c r="S1417" i="2"/>
  <c r="S1418" i="2"/>
  <c r="S1419" i="2"/>
  <c r="S1420" i="2"/>
  <c r="S1421" i="2"/>
  <c r="S1422" i="2"/>
  <c r="S1423" i="2"/>
  <c r="S1424" i="2"/>
  <c r="S1425" i="2"/>
  <c r="S1426" i="2"/>
  <c r="S1427" i="2"/>
  <c r="S1428" i="2"/>
  <c r="S1429" i="2"/>
  <c r="S1430" i="2"/>
  <c r="S1431" i="2"/>
  <c r="S1432" i="2"/>
  <c r="S1433" i="2"/>
  <c r="S1434" i="2"/>
  <c r="S1435" i="2"/>
  <c r="S1436" i="2"/>
  <c r="S1437" i="2"/>
  <c r="S1438" i="2"/>
  <c r="S1439" i="2"/>
  <c r="S1440" i="2"/>
  <c r="S1441" i="2"/>
  <c r="S1442" i="2"/>
  <c r="S1443" i="2"/>
  <c r="S1444" i="2"/>
  <c r="S1445" i="2"/>
  <c r="S1446" i="2"/>
  <c r="S1447" i="2"/>
  <c r="S1448" i="2"/>
  <c r="S1449" i="2"/>
  <c r="S1450" i="2"/>
  <c r="S1451" i="2"/>
  <c r="S1452" i="2"/>
  <c r="S1453" i="2"/>
  <c r="S1454" i="2"/>
  <c r="S1455" i="2"/>
  <c r="S1456" i="2"/>
  <c r="S1457" i="2"/>
  <c r="S1458" i="2"/>
  <c r="S1459" i="2"/>
  <c r="S1460" i="2"/>
  <c r="S1461" i="2"/>
  <c r="S1462" i="2"/>
  <c r="S1463" i="2"/>
  <c r="S1464" i="2"/>
  <c r="S1465" i="2"/>
  <c r="S1466" i="2"/>
  <c r="S1467" i="2"/>
  <c r="S1468" i="2"/>
  <c r="S1469" i="2"/>
  <c r="S1470" i="2"/>
  <c r="S1471" i="2"/>
  <c r="S1472" i="2"/>
  <c r="S1473" i="2"/>
  <c r="S1474" i="2"/>
  <c r="S1475" i="2"/>
  <c r="S1476" i="2"/>
  <c r="S1477" i="2"/>
  <c r="S1478" i="2"/>
  <c r="S1479" i="2"/>
  <c r="S1480" i="2"/>
  <c r="S1481" i="2"/>
  <c r="S1482" i="2"/>
  <c r="S1483" i="2"/>
  <c r="S1484" i="2"/>
  <c r="S1485" i="2"/>
  <c r="S1486" i="2"/>
  <c r="S1487" i="2"/>
  <c r="S1488" i="2"/>
  <c r="S1489" i="2"/>
  <c r="S1490" i="2"/>
  <c r="S1491" i="2"/>
  <c r="S1492" i="2"/>
  <c r="S1493" i="2"/>
  <c r="S1494" i="2"/>
  <c r="S1495" i="2"/>
  <c r="S1496" i="2"/>
  <c r="S1497" i="2"/>
  <c r="S1498" i="2"/>
  <c r="S1499" i="2"/>
  <c r="S1500" i="2"/>
  <c r="S1501" i="2"/>
  <c r="S1502" i="2"/>
  <c r="S1503" i="2"/>
  <c r="S1504" i="2"/>
  <c r="S1505" i="2"/>
  <c r="S1506" i="2"/>
  <c r="S1507" i="2"/>
  <c r="S1508" i="2"/>
  <c r="S1509" i="2"/>
  <c r="S1510" i="2"/>
  <c r="S1511" i="2"/>
  <c r="S1512" i="2"/>
  <c r="S1513" i="2"/>
  <c r="S1514" i="2"/>
  <c r="S1515" i="2"/>
  <c r="S1516" i="2"/>
  <c r="S1517" i="2"/>
  <c r="S1518" i="2"/>
  <c r="S1519" i="2"/>
  <c r="S1520" i="2"/>
  <c r="S1521" i="2"/>
  <c r="S1522" i="2"/>
  <c r="S1523" i="2"/>
  <c r="S1524" i="2"/>
  <c r="S1525" i="2"/>
  <c r="S1526" i="2"/>
  <c r="S1527" i="2"/>
  <c r="S1528" i="2"/>
  <c r="S1529" i="2"/>
  <c r="S1530" i="2"/>
  <c r="S1531" i="2"/>
  <c r="S1532" i="2"/>
  <c r="S1533" i="2"/>
  <c r="S1534" i="2"/>
  <c r="S1535" i="2"/>
  <c r="S1536" i="2"/>
  <c r="S1537" i="2"/>
  <c r="S1538" i="2"/>
  <c r="S1539" i="2"/>
  <c r="S1540" i="2"/>
  <c r="S1541" i="2"/>
  <c r="S1542" i="2"/>
  <c r="S1543" i="2"/>
  <c r="S1544" i="2"/>
  <c r="S1545" i="2"/>
  <c r="S1546" i="2"/>
  <c r="S1547" i="2"/>
  <c r="S1548" i="2"/>
  <c r="S1549" i="2"/>
  <c r="S1550" i="2"/>
  <c r="S1551" i="2"/>
  <c r="S1552" i="2"/>
  <c r="S1553" i="2"/>
  <c r="S1554" i="2"/>
  <c r="S1555" i="2"/>
  <c r="S1556" i="2"/>
  <c r="S1557" i="2"/>
  <c r="S1558" i="2"/>
  <c r="S1559" i="2"/>
  <c r="S1560" i="2"/>
  <c r="S1561" i="2"/>
  <c r="S1562" i="2"/>
  <c r="S1563" i="2"/>
  <c r="S1564" i="2"/>
  <c r="S1565" i="2"/>
  <c r="S1566" i="2"/>
  <c r="S1567" i="2"/>
  <c r="S1568" i="2"/>
  <c r="S1569" i="2"/>
  <c r="S1570" i="2"/>
  <c r="S1571" i="2"/>
  <c r="S1572" i="2"/>
  <c r="S1573" i="2"/>
  <c r="S1574" i="2"/>
  <c r="S1575" i="2"/>
  <c r="S1576" i="2"/>
  <c r="S1577" i="2"/>
  <c r="S1578" i="2"/>
  <c r="S1579" i="2"/>
  <c r="S1580" i="2"/>
  <c r="S1581" i="2"/>
  <c r="S1582" i="2"/>
  <c r="S1583" i="2"/>
  <c r="S1584" i="2"/>
  <c r="S1585" i="2"/>
  <c r="S1586" i="2"/>
  <c r="S1587" i="2"/>
  <c r="S1588" i="2"/>
  <c r="S1589" i="2"/>
  <c r="S1590" i="2"/>
  <c r="S1591" i="2"/>
  <c r="S1592" i="2"/>
  <c r="S1593" i="2"/>
  <c r="S1594" i="2"/>
  <c r="S1595" i="2"/>
  <c r="S1596" i="2"/>
  <c r="S1597" i="2"/>
  <c r="S1598" i="2"/>
  <c r="S1599" i="2"/>
  <c r="S1600" i="2"/>
  <c r="S15" i="2"/>
  <c r="S16" i="2"/>
  <c r="S17" i="2"/>
  <c r="S18" i="2"/>
  <c r="S19" i="2"/>
  <c r="S20" i="2"/>
  <c r="S21" i="2"/>
  <c r="S22" i="2"/>
  <c r="S3" i="2"/>
  <c r="S4" i="2"/>
  <c r="S5" i="2"/>
  <c r="S6" i="2"/>
  <c r="S7" i="2"/>
  <c r="S8" i="2"/>
  <c r="S9" i="2"/>
  <c r="S10" i="2"/>
  <c r="S11" i="2"/>
  <c r="S12" i="2"/>
  <c r="S13" i="2"/>
  <c r="S14"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N1283" i="2"/>
  <c r="N1284" i="2"/>
  <c r="N1285" i="2"/>
  <c r="N1286" i="2"/>
  <c r="N1287" i="2"/>
  <c r="N1288" i="2"/>
  <c r="N1289" i="2"/>
  <c r="N1290" i="2"/>
  <c r="N1291" i="2"/>
  <c r="N1292" i="2"/>
  <c r="N1293" i="2"/>
  <c r="N1294" i="2"/>
  <c r="N1295" i="2"/>
  <c r="N1296" i="2"/>
  <c r="N1297" i="2"/>
  <c r="N1298" i="2"/>
  <c r="N1299" i="2"/>
  <c r="N1300" i="2"/>
  <c r="N1301" i="2"/>
  <c r="N1302" i="2"/>
  <c r="N1303" i="2"/>
  <c r="N1304" i="2"/>
  <c r="N1305" i="2"/>
  <c r="N1306" i="2"/>
  <c r="N1307" i="2"/>
  <c r="N1308" i="2"/>
  <c r="N1309" i="2"/>
  <c r="N1310" i="2"/>
  <c r="N1311" i="2"/>
  <c r="N1312" i="2"/>
  <c r="N1313" i="2"/>
  <c r="N1314" i="2"/>
  <c r="N1315" i="2"/>
  <c r="N1316" i="2"/>
  <c r="N1317" i="2"/>
  <c r="N1318" i="2"/>
  <c r="N1319" i="2"/>
  <c r="N1320" i="2"/>
  <c r="N1321" i="2"/>
  <c r="N1322" i="2"/>
  <c r="N1323" i="2"/>
  <c r="N1324" i="2"/>
  <c r="N1325" i="2"/>
  <c r="N1326" i="2"/>
  <c r="N1327" i="2"/>
  <c r="N1328" i="2"/>
  <c r="N1329" i="2"/>
  <c r="N1330" i="2"/>
  <c r="N1331" i="2"/>
  <c r="N1332" i="2"/>
  <c r="N1333" i="2"/>
  <c r="N1334" i="2"/>
  <c r="N1335" i="2"/>
  <c r="N1336" i="2"/>
  <c r="N1337" i="2"/>
  <c r="N1338" i="2"/>
  <c r="N1339" i="2"/>
  <c r="N1340" i="2"/>
  <c r="N1341" i="2"/>
  <c r="N1342" i="2"/>
  <c r="N1343" i="2"/>
  <c r="N1344" i="2"/>
  <c r="N1345" i="2"/>
  <c r="N1346" i="2"/>
  <c r="N1347" i="2"/>
  <c r="N1348" i="2"/>
  <c r="N1349" i="2"/>
  <c r="N1350" i="2"/>
  <c r="N1351" i="2"/>
  <c r="N1352" i="2"/>
  <c r="N1353" i="2"/>
  <c r="N1354" i="2"/>
  <c r="N1355" i="2"/>
  <c r="N1356" i="2"/>
  <c r="N1357" i="2"/>
  <c r="N1358" i="2"/>
  <c r="N1359" i="2"/>
  <c r="N1360" i="2"/>
  <c r="N1361" i="2"/>
  <c r="N1362" i="2"/>
  <c r="N1363" i="2"/>
  <c r="N1364" i="2"/>
  <c r="N1365" i="2"/>
  <c r="N1366" i="2"/>
  <c r="N1367" i="2"/>
  <c r="N1368" i="2"/>
  <c r="N1369" i="2"/>
  <c r="N1370" i="2"/>
  <c r="N1371" i="2"/>
  <c r="N1372" i="2"/>
  <c r="N1373" i="2"/>
  <c r="N1374" i="2"/>
  <c r="N1375" i="2"/>
  <c r="N1376" i="2"/>
  <c r="N1377" i="2"/>
  <c r="N1378" i="2"/>
  <c r="N1379" i="2"/>
  <c r="N1380" i="2"/>
  <c r="N1381" i="2"/>
  <c r="N1382" i="2"/>
  <c r="N1383" i="2"/>
  <c r="N1384" i="2"/>
  <c r="N1385" i="2"/>
  <c r="N1386" i="2"/>
  <c r="N1387" i="2"/>
  <c r="N1388" i="2"/>
  <c r="N1389" i="2"/>
  <c r="N1390" i="2"/>
  <c r="N1391" i="2"/>
  <c r="N1392" i="2"/>
  <c r="N1393" i="2"/>
  <c r="N1394" i="2"/>
  <c r="N1395" i="2"/>
  <c r="N1396" i="2"/>
  <c r="N1397" i="2"/>
  <c r="N1398" i="2"/>
  <c r="N1399" i="2"/>
  <c r="N1400" i="2"/>
  <c r="N1401" i="2"/>
  <c r="N1402" i="2"/>
  <c r="N1403" i="2"/>
  <c r="N1404" i="2"/>
  <c r="N1405" i="2"/>
  <c r="N1406" i="2"/>
  <c r="N1407" i="2"/>
  <c r="N1408" i="2"/>
  <c r="N1409" i="2"/>
  <c r="N1410" i="2"/>
  <c r="N1411" i="2"/>
  <c r="N1412" i="2"/>
  <c r="N1413" i="2"/>
  <c r="N1414" i="2"/>
  <c r="N1415" i="2"/>
  <c r="N1416" i="2"/>
  <c r="N1417" i="2"/>
  <c r="N1418" i="2"/>
  <c r="N1419" i="2"/>
  <c r="N1420" i="2"/>
  <c r="N1421" i="2"/>
  <c r="N1422" i="2"/>
  <c r="N1423" i="2"/>
  <c r="N1424" i="2"/>
  <c r="N1425" i="2"/>
  <c r="N1426" i="2"/>
  <c r="N1427" i="2"/>
  <c r="N1428" i="2"/>
  <c r="N1429" i="2"/>
  <c r="N1430" i="2"/>
  <c r="N1431" i="2"/>
  <c r="N1432" i="2"/>
  <c r="N1433" i="2"/>
  <c r="N1434" i="2"/>
  <c r="N1435" i="2"/>
  <c r="N1436" i="2"/>
  <c r="N1437" i="2"/>
  <c r="N1438" i="2"/>
  <c r="N1439" i="2"/>
  <c r="N1440" i="2"/>
  <c r="N1441" i="2"/>
  <c r="N1442" i="2"/>
  <c r="N1443" i="2"/>
  <c r="N1444" i="2"/>
  <c r="N1445" i="2"/>
  <c r="N1446" i="2"/>
  <c r="N1447" i="2"/>
  <c r="N1448" i="2"/>
  <c r="N1449" i="2"/>
  <c r="N1450" i="2"/>
  <c r="N1451" i="2"/>
  <c r="N1452" i="2"/>
  <c r="N1453" i="2"/>
  <c r="N1454" i="2"/>
  <c r="N1455" i="2"/>
  <c r="N1456" i="2"/>
  <c r="N1457" i="2"/>
  <c r="N1458" i="2"/>
  <c r="N1459" i="2"/>
  <c r="N1460" i="2"/>
  <c r="N1461" i="2"/>
  <c r="N1462" i="2"/>
  <c r="N1463" i="2"/>
  <c r="N1464" i="2"/>
  <c r="N1465" i="2"/>
  <c r="N1466" i="2"/>
  <c r="N1467" i="2"/>
  <c r="N1468" i="2"/>
  <c r="N1469" i="2"/>
  <c r="N1470" i="2"/>
  <c r="N1471" i="2"/>
  <c r="N1472" i="2"/>
  <c r="N1473" i="2"/>
  <c r="N1474" i="2"/>
  <c r="N1475" i="2"/>
  <c r="N1476" i="2"/>
  <c r="N1477" i="2"/>
  <c r="N1478" i="2"/>
  <c r="N1479" i="2"/>
  <c r="N1480" i="2"/>
  <c r="N1481" i="2"/>
  <c r="N1482" i="2"/>
  <c r="N1483" i="2"/>
  <c r="N1484" i="2"/>
  <c r="N1485" i="2"/>
  <c r="N1486" i="2"/>
  <c r="N1487" i="2"/>
  <c r="N1488" i="2"/>
  <c r="N1489" i="2"/>
  <c r="N1490" i="2"/>
  <c r="N1491" i="2"/>
  <c r="N1492" i="2"/>
  <c r="N1493" i="2"/>
  <c r="N1494" i="2"/>
  <c r="N1495" i="2"/>
  <c r="N1496" i="2"/>
  <c r="N1497" i="2"/>
  <c r="N1498" i="2"/>
  <c r="N1499" i="2"/>
  <c r="N1500" i="2"/>
  <c r="N1501" i="2"/>
  <c r="N1502" i="2"/>
  <c r="N1503" i="2"/>
  <c r="N1504" i="2"/>
  <c r="N1505" i="2"/>
  <c r="N1506" i="2"/>
  <c r="N1507" i="2"/>
  <c r="N1508" i="2"/>
  <c r="N1509" i="2"/>
  <c r="N1510" i="2"/>
  <c r="N1511" i="2"/>
  <c r="N1512" i="2"/>
  <c r="N1513" i="2"/>
  <c r="N1514" i="2"/>
  <c r="N1515" i="2"/>
  <c r="N1516" i="2"/>
  <c r="N1517" i="2"/>
  <c r="N1518" i="2"/>
  <c r="N1519" i="2"/>
  <c r="N1520" i="2"/>
  <c r="N1521" i="2"/>
  <c r="N1522" i="2"/>
  <c r="N1523" i="2"/>
  <c r="N1524" i="2"/>
  <c r="N1525" i="2"/>
  <c r="N1526" i="2"/>
  <c r="N1527" i="2"/>
  <c r="N1528" i="2"/>
  <c r="N1529" i="2"/>
  <c r="N1530" i="2"/>
  <c r="N1531" i="2"/>
  <c r="N1532" i="2"/>
  <c r="N1533" i="2"/>
  <c r="N1534" i="2"/>
  <c r="N1535" i="2"/>
  <c r="N1536" i="2"/>
  <c r="N1537" i="2"/>
  <c r="N1538" i="2"/>
  <c r="N1539" i="2"/>
  <c r="N1540" i="2"/>
  <c r="N1541" i="2"/>
  <c r="N1542" i="2"/>
  <c r="N1543" i="2"/>
  <c r="N1544" i="2"/>
  <c r="N1545" i="2"/>
  <c r="N1546" i="2"/>
  <c r="N1547" i="2"/>
  <c r="N1548" i="2"/>
  <c r="N1549" i="2"/>
  <c r="N1550" i="2"/>
  <c r="N1551" i="2"/>
  <c r="N1552" i="2"/>
  <c r="N1553" i="2"/>
  <c r="N1554" i="2"/>
  <c r="N1555" i="2"/>
  <c r="N1556" i="2"/>
  <c r="N1557" i="2"/>
  <c r="N1558" i="2"/>
  <c r="N1559" i="2"/>
  <c r="N1560" i="2"/>
  <c r="N1561" i="2"/>
  <c r="N1562" i="2"/>
  <c r="N1563" i="2"/>
  <c r="N1564" i="2"/>
  <c r="N1565" i="2"/>
  <c r="N1566" i="2"/>
  <c r="N1567" i="2"/>
  <c r="N1568" i="2"/>
  <c r="N1569" i="2"/>
  <c r="N1570" i="2"/>
  <c r="N1571" i="2"/>
  <c r="N1572" i="2"/>
  <c r="N1573" i="2"/>
  <c r="N1574" i="2"/>
  <c r="N1575" i="2"/>
  <c r="N1576" i="2"/>
  <c r="N1577" i="2"/>
  <c r="N1578" i="2"/>
  <c r="N1579" i="2"/>
  <c r="N1580" i="2"/>
  <c r="N1581" i="2"/>
  <c r="N1582" i="2"/>
  <c r="N1583" i="2"/>
  <c r="N1584" i="2"/>
  <c r="N1585" i="2"/>
  <c r="N1586" i="2"/>
  <c r="N1587" i="2"/>
  <c r="N1588" i="2"/>
  <c r="N1589" i="2"/>
  <c r="N1590" i="2"/>
  <c r="N1591" i="2"/>
  <c r="N1592" i="2"/>
  <c r="N1593" i="2"/>
  <c r="N1594" i="2"/>
  <c r="N1595" i="2"/>
  <c r="N1596" i="2"/>
  <c r="N1597" i="2"/>
  <c r="N1598" i="2"/>
  <c r="N1599" i="2"/>
  <c r="N1600"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46491B-1E60-4456-BA63-AE472FB03A9F}" keepAlive="1" name="Query - winequality-red" description="Connection to the 'winequality-red' query in the workbook." type="5" refreshedVersion="8" background="1" saveData="1">
    <dbPr connection="Provider=Microsoft.Mashup.OleDb.1;Data Source=$Workbook$;Location=winequality-red;Extended Properties=&quot;&quot;" command="SELECT * FROM [winequality-red]"/>
  </connection>
</connections>
</file>

<file path=xl/sharedStrings.xml><?xml version="1.0" encoding="utf-8"?>
<sst xmlns="http://schemas.openxmlformats.org/spreadsheetml/2006/main" count="25" uniqueCount="25">
  <si>
    <t>volatile acidity</t>
  </si>
  <si>
    <t>citric acid</t>
  </si>
  <si>
    <t>residual sugar</t>
  </si>
  <si>
    <t>chlorides</t>
  </si>
  <si>
    <t>free sulfur dioxide</t>
  </si>
  <si>
    <t>total sulfur dioxide</t>
  </si>
  <si>
    <t>density</t>
  </si>
  <si>
    <t>pH</t>
  </si>
  <si>
    <t>sulphates</t>
  </si>
  <si>
    <t>alcohol</t>
  </si>
  <si>
    <t>quality</t>
  </si>
  <si>
    <t>Banding</t>
  </si>
  <si>
    <t xml:space="preserve">Acidity </t>
  </si>
  <si>
    <t>Sum of alcohol</t>
  </si>
  <si>
    <t>Sum of density</t>
  </si>
  <si>
    <t>Row Labels</t>
  </si>
  <si>
    <t>Grand Total</t>
  </si>
  <si>
    <t>Updated Quality &amp; Alcohol Analysis</t>
  </si>
  <si>
    <t>Risk Score</t>
  </si>
  <si>
    <t>HIGH A</t>
  </si>
  <si>
    <t>HIGH Q</t>
  </si>
  <si>
    <t>MEDIUM A</t>
  </si>
  <si>
    <t>MEDIUM Q</t>
  </si>
  <si>
    <t>LOW Q</t>
  </si>
  <si>
    <t>LOW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</si>
</sst>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NumberFormat="1"/>
    <xf numFmtId="0" fontId="0" fillId="0" borderId="0" xfId="0" pivotButton="1"/>
    <xf numFmtId="0" fontId="0" fillId="0" borderId="0" xfId="0" applyAlignment="1">
      <alignment horizontal="left"/>
    </xf>
    <xf numFmtId="0" fontId="1" fillId="0" borderId="0" xfId="0" applyFont="1"/>
  </cellXfs>
  <cellStyles count="1">
    <cellStyle name="Normal" xfId="0" builtinId="0"/>
  </cellStyles>
  <dxfs count="6">
    <dxf>
      <numFmt numFmtId="0" formatCode="General"/>
    </dxf>
    <dxf>
      <font>
        <color rgb="FFFFFF00"/>
      </font>
      <fill>
        <patternFill>
          <bgColor theme="9" tint="-0.24994659260841701"/>
        </patternFill>
      </fill>
    </dxf>
    <dxf>
      <font>
        <color rgb="FFFF0000"/>
      </font>
      <fill>
        <patternFill>
          <bgColor rgb="FFFFFF00"/>
        </patternFill>
      </fill>
    </dxf>
    <dxf>
      <numFmt numFmtId="0" formatCode="General"/>
    </dxf>
    <dxf>
      <numFmt numFmtId="0" formatCode="General"/>
    </dxf>
    <dxf>
      <font>
        <color rgb="FFFF0000"/>
      </font>
    </dxf>
  </dxfs>
  <tableStyles count="1" defaultTableStyle="TableStyleMedium2" defaultPivotStyle="PivotStyleLight16">
    <tableStyle name="Invisible" pivot="0" table="0" count="0" xr9:uid="{14CA3058-C086-43B3-9FC5-50880196063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[suretrustproject1.xlsm]Sheet2!PivotTable1</c:name>
    <c:fmtId val="0"/>
  </c:pivotSource>
  <c:chart>
    <c:autoTitleDeleted val="0"/>
    <c:pivotFmts>
      <c:pivotFmt>
        <c:idx val="0"/>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Sum of alcohol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Sheet2!$A$4:$A$10</c:f>
              <c:strCache>
                <c:ptCount val="6"/>
                <c:pt idx="0">
                  <c:v>3</c:v>
                </c:pt>
                <c:pt idx="1">
                  <c:v>4</c:v>
                </c:pt>
                <c:pt idx="2">
                  <c:v>5</c:v>
                </c:pt>
                <c:pt idx="3">
                  <c:v>6</c:v>
                </c:pt>
                <c:pt idx="4">
                  <c:v>7</c:v>
                </c:pt>
                <c:pt idx="5">
                  <c:v>8</c:v>
                </c:pt>
              </c:strCache>
            </c:strRef>
          </c:cat>
          <c:val>
            <c:numRef>
              <c:f>Sheet2!$B$4:$B$10</c:f>
              <c:numCache>
                <c:formatCode>General</c:formatCode>
                <c:ptCount val="6"/>
                <c:pt idx="0">
                  <c:v>99.550000000000011</c:v>
                </c:pt>
                <c:pt idx="1">
                  <c:v>544.04999999999984</c:v>
                </c:pt>
                <c:pt idx="2">
                  <c:v>6741.6999999999953</c:v>
                </c:pt>
                <c:pt idx="3">
                  <c:v>6781.6333333333296</c:v>
                </c:pt>
                <c:pt idx="4">
                  <c:v>2281.7166666666662</c:v>
                </c:pt>
                <c:pt idx="5">
                  <c:v>217.7</c:v>
                </c:pt>
              </c:numCache>
            </c:numRef>
          </c:val>
          <c:extLst>
            <c:ext xmlns:c16="http://schemas.microsoft.com/office/drawing/2014/chart" uri="{C3380CC4-5D6E-409C-BE32-E72D297353CC}">
              <c16:uniqueId val="{00000000-2A9D-4A65-A77B-AC45FAB4D21B}"/>
            </c:ext>
          </c:extLst>
        </c:ser>
        <c:ser>
          <c:idx val="1"/>
          <c:order val="1"/>
          <c:tx>
            <c:strRef>
              <c:f>Sheet2!$C$3</c:f>
              <c:strCache>
                <c:ptCount val="1"/>
                <c:pt idx="0">
                  <c:v>Sum of density</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Sheet2!$A$4:$A$10</c:f>
              <c:strCache>
                <c:ptCount val="6"/>
                <c:pt idx="0">
                  <c:v>3</c:v>
                </c:pt>
                <c:pt idx="1">
                  <c:v>4</c:v>
                </c:pt>
                <c:pt idx="2">
                  <c:v>5</c:v>
                </c:pt>
                <c:pt idx="3">
                  <c:v>6</c:v>
                </c:pt>
                <c:pt idx="4">
                  <c:v>7</c:v>
                </c:pt>
                <c:pt idx="5">
                  <c:v>8</c:v>
                </c:pt>
              </c:strCache>
            </c:strRef>
          </c:cat>
          <c:val>
            <c:numRef>
              <c:f>Sheet2!$C$4:$C$10</c:f>
              <c:numCache>
                <c:formatCode>General</c:formatCode>
                <c:ptCount val="6"/>
                <c:pt idx="0">
                  <c:v>9.9746400000000008</c:v>
                </c:pt>
                <c:pt idx="1">
                  <c:v>52.816750000000006</c:v>
                </c:pt>
                <c:pt idx="2">
                  <c:v>679.02756999999951</c:v>
                </c:pt>
                <c:pt idx="3">
                  <c:v>635.84041000000047</c:v>
                </c:pt>
                <c:pt idx="4">
                  <c:v>198.22474999999977</c:v>
                </c:pt>
                <c:pt idx="5">
                  <c:v>17.913820000000001</c:v>
                </c:pt>
              </c:numCache>
            </c:numRef>
          </c:val>
          <c:extLst>
            <c:ext xmlns:c16="http://schemas.microsoft.com/office/drawing/2014/chart" uri="{C3380CC4-5D6E-409C-BE32-E72D297353CC}">
              <c16:uniqueId val="{00000002-2A9D-4A65-A77B-AC45FAB4D21B}"/>
            </c:ext>
          </c:extLst>
        </c:ser>
        <c:dLbls>
          <c:dLblPos val="inEnd"/>
          <c:showLegendKey val="0"/>
          <c:showVal val="1"/>
          <c:showCatName val="0"/>
          <c:showSerName val="0"/>
          <c:showPercent val="0"/>
          <c:showBubbleSize val="0"/>
        </c:dLbls>
        <c:gapWidth val="65"/>
        <c:axId val="830390528"/>
        <c:axId val="830389568"/>
      </c:barChart>
      <c:catAx>
        <c:axId val="830390528"/>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830389568"/>
        <c:crosses val="autoZero"/>
        <c:auto val="1"/>
        <c:lblAlgn val="ctr"/>
        <c:lblOffset val="100"/>
        <c:noMultiLvlLbl val="0"/>
      </c:catAx>
      <c:valAx>
        <c:axId val="83038956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830390528"/>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Alcohol vs. Quality by Band</a:t>
            </a:r>
          </a:p>
        </c:rich>
      </c:tx>
      <c:layout>
        <c:manualLayout>
          <c:xMode val="edge"/>
          <c:yMode val="edge"/>
          <c:x val="0.2108818897637795"/>
          <c:y val="1.851851851851851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tx>
            <c:v>Low</c:v>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'winequality-red'!$S$2:$S$1600</c:f>
              <c:numCache>
                <c:formatCode>General</c:formatCode>
                <c:ptCount val="15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9</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9.8000000000000007</c:v>
                </c:pt>
                <c:pt idx="39">
                  <c:v>#N/A</c:v>
                </c:pt>
                <c:pt idx="40">
                  <c:v>#N/A</c:v>
                </c:pt>
                <c:pt idx="41">
                  <c:v>9.3000000000000007</c:v>
                </c:pt>
                <c:pt idx="42">
                  <c:v>#N/A</c:v>
                </c:pt>
                <c:pt idx="43">
                  <c:v>#N/A</c:v>
                </c:pt>
                <c:pt idx="44">
                  <c:v>#N/A</c:v>
                </c:pt>
                <c:pt idx="45">
                  <c:v>13.1</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9.1999999999999993</c:v>
                </c:pt>
                <c:pt idx="74">
                  <c:v>#N/A</c:v>
                </c:pt>
                <c:pt idx="75">
                  <c:v>#N/A</c:v>
                </c:pt>
                <c:pt idx="76">
                  <c:v>#N/A</c:v>
                </c:pt>
                <c:pt idx="77">
                  <c:v>#N/A</c:v>
                </c:pt>
                <c:pt idx="78">
                  <c:v>#N/A</c:v>
                </c:pt>
                <c:pt idx="79">
                  <c:v>9.1</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10.5</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9.4</c:v>
                </c:pt>
                <c:pt idx="152">
                  <c:v>#N/A</c:v>
                </c:pt>
                <c:pt idx="153">
                  <c:v>#N/A</c:v>
                </c:pt>
                <c:pt idx="154">
                  <c:v>#N/A</c:v>
                </c:pt>
                <c:pt idx="155">
                  <c:v>#N/A</c:v>
                </c:pt>
                <c:pt idx="156">
                  <c:v>#N/A</c:v>
                </c:pt>
                <c:pt idx="157">
                  <c:v>#N/A</c:v>
                </c:pt>
                <c:pt idx="158">
                  <c:v>#N/A</c:v>
                </c:pt>
                <c:pt idx="159">
                  <c:v>#N/A</c:v>
                </c:pt>
                <c:pt idx="160">
                  <c:v>#N/A</c:v>
                </c:pt>
                <c:pt idx="161">
                  <c:v>9.1999999999999993</c:v>
                </c:pt>
                <c:pt idx="162">
                  <c:v>#N/A</c:v>
                </c:pt>
                <c:pt idx="163">
                  <c:v>#N/A</c:v>
                </c:pt>
                <c:pt idx="164">
                  <c:v>#N/A</c:v>
                </c:pt>
                <c:pt idx="165">
                  <c:v>#N/A</c:v>
                </c:pt>
                <c:pt idx="166">
                  <c:v>#N/A</c:v>
                </c:pt>
                <c:pt idx="167">
                  <c:v>9</c:v>
                </c:pt>
                <c:pt idx="168">
                  <c:v>#N/A</c:v>
                </c:pt>
                <c:pt idx="169">
                  <c:v>#N/A</c:v>
                </c:pt>
                <c:pt idx="170">
                  <c:v>9.1</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11.4</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10.4</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9.4</c:v>
                </c:pt>
                <c:pt idx="262">
                  <c:v>#N/A</c:v>
                </c:pt>
                <c:pt idx="263">
                  <c:v>#N/A</c:v>
                </c:pt>
                <c:pt idx="264">
                  <c:v>#N/A</c:v>
                </c:pt>
                <c:pt idx="265">
                  <c:v>#N/A</c:v>
                </c:pt>
                <c:pt idx="266">
                  <c:v>9.8000000000000007</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9.6</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9</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8.4</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9.6</c:v>
                </c:pt>
                <c:pt idx="574">
                  <c:v>#N/A</c:v>
                </c:pt>
                <c:pt idx="575">
                  <c:v>#N/A</c:v>
                </c:pt>
                <c:pt idx="576">
                  <c:v>10</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10</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11.3</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11</c:v>
                </c:pt>
                <c:pt idx="648">
                  <c:v>#N/A</c:v>
                </c:pt>
                <c:pt idx="649">
                  <c:v>#N/A</c:v>
                </c:pt>
                <c:pt idx="650">
                  <c:v>#N/A</c:v>
                </c:pt>
                <c:pt idx="651">
                  <c:v>#N/A</c:v>
                </c:pt>
                <c:pt idx="652">
                  <c:v>#N/A</c:v>
                </c:pt>
                <c:pt idx="653">
                  <c:v>#N/A</c:v>
                </c:pt>
                <c:pt idx="654">
                  <c:v>#N/A</c:v>
                </c:pt>
                <c:pt idx="655">
                  <c:v>#N/A</c:v>
                </c:pt>
                <c:pt idx="656">
                  <c:v>#N/A</c:v>
                </c:pt>
                <c:pt idx="657">
                  <c:v>#N/A</c:v>
                </c:pt>
                <c:pt idx="658">
                  <c:v>#N/A</c:v>
                </c:pt>
                <c:pt idx="659">
                  <c:v>11</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10.7</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9.6</c:v>
                </c:pt>
                <c:pt idx="704">
                  <c:v>9.6999999999999993</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11.2</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11.4</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10.9</c:v>
                </c:pt>
                <c:pt idx="831">
                  <c:v>#N/A</c:v>
                </c:pt>
                <c:pt idx="832">
                  <c:v>9.9</c:v>
                </c:pt>
                <c:pt idx="833">
                  <c:v>9.9</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10</c:v>
                </c:pt>
                <c:pt idx="873">
                  <c:v>#N/A</c:v>
                </c:pt>
                <c:pt idx="874">
                  <c:v>#N/A</c:v>
                </c:pt>
                <c:pt idx="875">
                  <c:v>#N/A</c:v>
                </c:pt>
                <c:pt idx="876">
                  <c:v>10.9</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11</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9.1999999999999993</c:v>
                </c:pt>
                <c:pt idx="928">
                  <c:v>#N/A</c:v>
                </c:pt>
                <c:pt idx="929">
                  <c:v>#N/A</c:v>
                </c:pt>
                <c:pt idx="930">
                  <c:v>#N/A</c:v>
                </c:pt>
                <c:pt idx="931">
                  <c:v>#N/A</c:v>
                </c:pt>
                <c:pt idx="932">
                  <c:v>#N/A</c:v>
                </c:pt>
                <c:pt idx="933">
                  <c:v>#N/A</c:v>
                </c:pt>
                <c:pt idx="934">
                  <c:v>#N/A</c:v>
                </c:pt>
                <c:pt idx="935">
                  <c:v>#N/A</c:v>
                </c:pt>
                <c:pt idx="936">
                  <c:v>#N/A</c:v>
                </c:pt>
                <c:pt idx="937">
                  <c:v>10.4</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11.5</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11.2</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9.6</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9.3000000000000007</c:v>
                </c:pt>
                <c:pt idx="1234">
                  <c:v>#N/A</c:v>
                </c:pt>
                <c:pt idx="1235">
                  <c:v>11.5</c:v>
                </c:pt>
                <c:pt idx="1236">
                  <c:v>#N/A</c:v>
                </c:pt>
                <c:pt idx="1237">
                  <c:v>#N/A</c:v>
                </c:pt>
                <c:pt idx="1238">
                  <c:v>9.6</c:v>
                </c:pt>
                <c:pt idx="1239">
                  <c:v>11.8</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11.2</c:v>
                </c:pt>
                <c:pt idx="1262">
                  <c:v>#N/A</c:v>
                </c:pt>
                <c:pt idx="1263">
                  <c:v>9.6</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12</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9.6999999999999993</c:v>
                </c:pt>
                <c:pt idx="1294">
                  <c:v>#N/A</c:v>
                </c:pt>
                <c:pt idx="1295">
                  <c:v>#N/A</c:v>
                </c:pt>
                <c:pt idx="1296">
                  <c:v>#N/A</c:v>
                </c:pt>
                <c:pt idx="1297">
                  <c:v>#N/A</c:v>
                </c:pt>
                <c:pt idx="1298">
                  <c:v>#N/A</c:v>
                </c:pt>
                <c:pt idx="1299">
                  <c:v>10.9</c:v>
                </c:pt>
                <c:pt idx="1300">
                  <c:v>#N/A</c:v>
                </c:pt>
                <c:pt idx="1301">
                  <c:v>#N/A</c:v>
                </c:pt>
                <c:pt idx="1302">
                  <c:v>#N/A</c:v>
                </c:pt>
                <c:pt idx="1303">
                  <c:v>#N/A</c:v>
                </c:pt>
                <c:pt idx="1304">
                  <c:v>#N/A</c:v>
                </c:pt>
                <c:pt idx="1305">
                  <c:v>#N/A</c:v>
                </c:pt>
                <c:pt idx="1306">
                  <c:v>#N/A</c:v>
                </c:pt>
                <c:pt idx="1307">
                  <c:v>11.1</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9.8000000000000007</c:v>
                </c:pt>
                <c:pt idx="1364">
                  <c:v>#N/A</c:v>
                </c:pt>
                <c:pt idx="1365">
                  <c:v>#N/A</c:v>
                </c:pt>
                <c:pt idx="1366">
                  <c:v>#N/A</c:v>
                </c:pt>
                <c:pt idx="1367">
                  <c:v>#N/A</c:v>
                </c:pt>
                <c:pt idx="1368">
                  <c:v>#N/A</c:v>
                </c:pt>
                <c:pt idx="1369">
                  <c:v>10.4</c:v>
                </c:pt>
                <c:pt idx="1370">
                  <c:v>#N/A</c:v>
                </c:pt>
                <c:pt idx="1371">
                  <c:v>#N/A</c:v>
                </c:pt>
                <c:pt idx="1372">
                  <c:v>#N/A</c:v>
                </c:pt>
                <c:pt idx="1373">
                  <c:v>#N/A</c:v>
                </c:pt>
                <c:pt idx="1374">
                  <c:v>9.8000000000000007</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11</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10</c:v>
                </c:pt>
                <c:pt idx="1462">
                  <c:v>#N/A</c:v>
                </c:pt>
                <c:pt idx="1463">
                  <c:v>#N/A</c:v>
                </c:pt>
                <c:pt idx="1464">
                  <c:v>#N/A</c:v>
                </c:pt>
                <c:pt idx="1465">
                  <c:v>#N/A</c:v>
                </c:pt>
                <c:pt idx="1466">
                  <c:v>#N/A</c:v>
                </c:pt>
                <c:pt idx="1467">
                  <c:v>11</c:v>
                </c:pt>
                <c:pt idx="1468">
                  <c:v>#N/A</c:v>
                </c:pt>
                <c:pt idx="1469">
                  <c:v>9.6999999999999993</c:v>
                </c:pt>
                <c:pt idx="1470">
                  <c:v>#N/A</c:v>
                </c:pt>
                <c:pt idx="1471">
                  <c:v>#N/A</c:v>
                </c:pt>
                <c:pt idx="1472">
                  <c:v>#N/A</c:v>
                </c:pt>
                <c:pt idx="1473">
                  <c:v>#N/A</c:v>
                </c:pt>
                <c:pt idx="1474">
                  <c:v>#N/A</c:v>
                </c:pt>
                <c:pt idx="1475">
                  <c:v>#N/A</c:v>
                </c:pt>
                <c:pt idx="1476">
                  <c:v>#N/A</c:v>
                </c:pt>
                <c:pt idx="1477">
                  <c:v>#N/A</c:v>
                </c:pt>
                <c:pt idx="1478">
                  <c:v>10.199999999999999</c:v>
                </c:pt>
                <c:pt idx="1479">
                  <c:v>#N/A</c:v>
                </c:pt>
                <c:pt idx="1480">
                  <c:v>10.1</c:v>
                </c:pt>
                <c:pt idx="1481">
                  <c:v>#N/A</c:v>
                </c:pt>
                <c:pt idx="1482">
                  <c:v>10.3</c:v>
                </c:pt>
                <c:pt idx="1483">
                  <c:v>#N/A</c:v>
                </c:pt>
                <c:pt idx="1484">
                  <c:v>10.9</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9.9499999999999993</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9.0500000000000007</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numCache>
            </c:numRef>
          </c:xVal>
          <c:yVal>
            <c:numRef>
              <c:f>'winequality-red'!$T$2:$T$1600</c:f>
              <c:numCache>
                <c:formatCode>General</c:formatCode>
                <c:ptCount val="15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4</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4</c:v>
                </c:pt>
                <c:pt idx="39">
                  <c:v>#N/A</c:v>
                </c:pt>
                <c:pt idx="40">
                  <c:v>#N/A</c:v>
                </c:pt>
                <c:pt idx="41">
                  <c:v>4</c:v>
                </c:pt>
                <c:pt idx="42">
                  <c:v>#N/A</c:v>
                </c:pt>
                <c:pt idx="43">
                  <c:v>#N/A</c:v>
                </c:pt>
                <c:pt idx="44">
                  <c:v>#N/A</c:v>
                </c:pt>
                <c:pt idx="45">
                  <c:v>4</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4</c:v>
                </c:pt>
                <c:pt idx="74">
                  <c:v>#N/A</c:v>
                </c:pt>
                <c:pt idx="75">
                  <c:v>#N/A</c:v>
                </c:pt>
                <c:pt idx="76">
                  <c:v>#N/A</c:v>
                </c:pt>
                <c:pt idx="77">
                  <c:v>#N/A</c:v>
                </c:pt>
                <c:pt idx="78">
                  <c:v>#N/A</c:v>
                </c:pt>
                <c:pt idx="79">
                  <c:v>4</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4</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4</c:v>
                </c:pt>
                <c:pt idx="152">
                  <c:v>#N/A</c:v>
                </c:pt>
                <c:pt idx="153">
                  <c:v>#N/A</c:v>
                </c:pt>
                <c:pt idx="154">
                  <c:v>#N/A</c:v>
                </c:pt>
                <c:pt idx="155">
                  <c:v>#N/A</c:v>
                </c:pt>
                <c:pt idx="156">
                  <c:v>#N/A</c:v>
                </c:pt>
                <c:pt idx="157">
                  <c:v>#N/A</c:v>
                </c:pt>
                <c:pt idx="158">
                  <c:v>#N/A</c:v>
                </c:pt>
                <c:pt idx="159">
                  <c:v>#N/A</c:v>
                </c:pt>
                <c:pt idx="160">
                  <c:v>#N/A</c:v>
                </c:pt>
                <c:pt idx="161">
                  <c:v>4</c:v>
                </c:pt>
                <c:pt idx="162">
                  <c:v>#N/A</c:v>
                </c:pt>
                <c:pt idx="163">
                  <c:v>#N/A</c:v>
                </c:pt>
                <c:pt idx="164">
                  <c:v>#N/A</c:v>
                </c:pt>
                <c:pt idx="165">
                  <c:v>#N/A</c:v>
                </c:pt>
                <c:pt idx="166">
                  <c:v>#N/A</c:v>
                </c:pt>
                <c:pt idx="167">
                  <c:v>4</c:v>
                </c:pt>
                <c:pt idx="168">
                  <c:v>#N/A</c:v>
                </c:pt>
                <c:pt idx="169">
                  <c:v>#N/A</c:v>
                </c:pt>
                <c:pt idx="170">
                  <c:v>4</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4</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4</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4</c:v>
                </c:pt>
                <c:pt idx="262">
                  <c:v>#N/A</c:v>
                </c:pt>
                <c:pt idx="263">
                  <c:v>#N/A</c:v>
                </c:pt>
                <c:pt idx="264">
                  <c:v>#N/A</c:v>
                </c:pt>
                <c:pt idx="265">
                  <c:v>#N/A</c:v>
                </c:pt>
                <c:pt idx="266">
                  <c:v>4</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4</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3</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3</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4</c:v>
                </c:pt>
                <c:pt idx="574">
                  <c:v>#N/A</c:v>
                </c:pt>
                <c:pt idx="575">
                  <c:v>#N/A</c:v>
                </c:pt>
                <c:pt idx="576">
                  <c:v>4</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4</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4</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4</c:v>
                </c:pt>
                <c:pt idx="648">
                  <c:v>#N/A</c:v>
                </c:pt>
                <c:pt idx="649">
                  <c:v>#N/A</c:v>
                </c:pt>
                <c:pt idx="650">
                  <c:v>#N/A</c:v>
                </c:pt>
                <c:pt idx="651">
                  <c:v>#N/A</c:v>
                </c:pt>
                <c:pt idx="652">
                  <c:v>#N/A</c:v>
                </c:pt>
                <c:pt idx="653">
                  <c:v>#N/A</c:v>
                </c:pt>
                <c:pt idx="654">
                  <c:v>#N/A</c:v>
                </c:pt>
                <c:pt idx="655">
                  <c:v>#N/A</c:v>
                </c:pt>
                <c:pt idx="656">
                  <c:v>#N/A</c:v>
                </c:pt>
                <c:pt idx="657">
                  <c:v>#N/A</c:v>
                </c:pt>
                <c:pt idx="658">
                  <c:v>#N/A</c:v>
                </c:pt>
                <c:pt idx="659">
                  <c:v>4</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3</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4</c:v>
                </c:pt>
                <c:pt idx="704">
                  <c:v>4</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4</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4</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4</c:v>
                </c:pt>
                <c:pt idx="831">
                  <c:v>#N/A</c:v>
                </c:pt>
                <c:pt idx="832">
                  <c:v>3</c:v>
                </c:pt>
                <c:pt idx="833">
                  <c:v>4</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4</c:v>
                </c:pt>
                <c:pt idx="873">
                  <c:v>#N/A</c:v>
                </c:pt>
                <c:pt idx="874">
                  <c:v>#N/A</c:v>
                </c:pt>
                <c:pt idx="875">
                  <c:v>#N/A</c:v>
                </c:pt>
                <c:pt idx="876">
                  <c:v>4</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3</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4</c:v>
                </c:pt>
                <c:pt idx="928">
                  <c:v>#N/A</c:v>
                </c:pt>
                <c:pt idx="929">
                  <c:v>#N/A</c:v>
                </c:pt>
                <c:pt idx="930">
                  <c:v>#N/A</c:v>
                </c:pt>
                <c:pt idx="931">
                  <c:v>#N/A</c:v>
                </c:pt>
                <c:pt idx="932">
                  <c:v>#N/A</c:v>
                </c:pt>
                <c:pt idx="933">
                  <c:v>#N/A</c:v>
                </c:pt>
                <c:pt idx="934">
                  <c:v>#N/A</c:v>
                </c:pt>
                <c:pt idx="935">
                  <c:v>#N/A</c:v>
                </c:pt>
                <c:pt idx="936">
                  <c:v>#N/A</c:v>
                </c:pt>
                <c:pt idx="937">
                  <c:v>4</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4</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4</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4</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4</c:v>
                </c:pt>
                <c:pt idx="1234">
                  <c:v>#N/A</c:v>
                </c:pt>
                <c:pt idx="1235">
                  <c:v>4</c:v>
                </c:pt>
                <c:pt idx="1236">
                  <c:v>#N/A</c:v>
                </c:pt>
                <c:pt idx="1237">
                  <c:v>#N/A</c:v>
                </c:pt>
                <c:pt idx="1238">
                  <c:v>4</c:v>
                </c:pt>
                <c:pt idx="1239">
                  <c:v>4</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4</c:v>
                </c:pt>
                <c:pt idx="1262">
                  <c:v>#N/A</c:v>
                </c:pt>
                <c:pt idx="1263">
                  <c:v>4</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4</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4</c:v>
                </c:pt>
                <c:pt idx="1294">
                  <c:v>#N/A</c:v>
                </c:pt>
                <c:pt idx="1295">
                  <c:v>#N/A</c:v>
                </c:pt>
                <c:pt idx="1296">
                  <c:v>#N/A</c:v>
                </c:pt>
                <c:pt idx="1297">
                  <c:v>#N/A</c:v>
                </c:pt>
                <c:pt idx="1298">
                  <c:v>#N/A</c:v>
                </c:pt>
                <c:pt idx="1299">
                  <c:v>3</c:v>
                </c:pt>
                <c:pt idx="1300">
                  <c:v>#N/A</c:v>
                </c:pt>
                <c:pt idx="1301">
                  <c:v>#N/A</c:v>
                </c:pt>
                <c:pt idx="1302">
                  <c:v>#N/A</c:v>
                </c:pt>
                <c:pt idx="1303">
                  <c:v>#N/A</c:v>
                </c:pt>
                <c:pt idx="1304">
                  <c:v>#N/A</c:v>
                </c:pt>
                <c:pt idx="1305">
                  <c:v>#N/A</c:v>
                </c:pt>
                <c:pt idx="1306">
                  <c:v>#N/A</c:v>
                </c:pt>
                <c:pt idx="1307">
                  <c:v>4</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4</c:v>
                </c:pt>
                <c:pt idx="1364">
                  <c:v>#N/A</c:v>
                </c:pt>
                <c:pt idx="1365">
                  <c:v>#N/A</c:v>
                </c:pt>
                <c:pt idx="1366">
                  <c:v>#N/A</c:v>
                </c:pt>
                <c:pt idx="1367">
                  <c:v>#N/A</c:v>
                </c:pt>
                <c:pt idx="1368">
                  <c:v>#N/A</c:v>
                </c:pt>
                <c:pt idx="1369">
                  <c:v>4</c:v>
                </c:pt>
                <c:pt idx="1370">
                  <c:v>#N/A</c:v>
                </c:pt>
                <c:pt idx="1371">
                  <c:v>#N/A</c:v>
                </c:pt>
                <c:pt idx="1372">
                  <c:v>#N/A</c:v>
                </c:pt>
                <c:pt idx="1373">
                  <c:v>#N/A</c:v>
                </c:pt>
                <c:pt idx="1374">
                  <c:v>3</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4</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4</c:v>
                </c:pt>
                <c:pt idx="1462">
                  <c:v>#N/A</c:v>
                </c:pt>
                <c:pt idx="1463">
                  <c:v>#N/A</c:v>
                </c:pt>
                <c:pt idx="1464">
                  <c:v>#N/A</c:v>
                </c:pt>
                <c:pt idx="1465">
                  <c:v>#N/A</c:v>
                </c:pt>
                <c:pt idx="1466">
                  <c:v>#N/A</c:v>
                </c:pt>
                <c:pt idx="1467">
                  <c:v>4</c:v>
                </c:pt>
                <c:pt idx="1468">
                  <c:v>#N/A</c:v>
                </c:pt>
                <c:pt idx="1469">
                  <c:v>3</c:v>
                </c:pt>
                <c:pt idx="1470">
                  <c:v>#N/A</c:v>
                </c:pt>
                <c:pt idx="1471">
                  <c:v>#N/A</c:v>
                </c:pt>
                <c:pt idx="1472">
                  <c:v>#N/A</c:v>
                </c:pt>
                <c:pt idx="1473">
                  <c:v>#N/A</c:v>
                </c:pt>
                <c:pt idx="1474">
                  <c:v>#N/A</c:v>
                </c:pt>
                <c:pt idx="1475">
                  <c:v>#N/A</c:v>
                </c:pt>
                <c:pt idx="1476">
                  <c:v>#N/A</c:v>
                </c:pt>
                <c:pt idx="1477">
                  <c:v>#N/A</c:v>
                </c:pt>
                <c:pt idx="1478">
                  <c:v>3</c:v>
                </c:pt>
                <c:pt idx="1479">
                  <c:v>#N/A</c:v>
                </c:pt>
                <c:pt idx="1480">
                  <c:v>4</c:v>
                </c:pt>
                <c:pt idx="1481">
                  <c:v>#N/A</c:v>
                </c:pt>
                <c:pt idx="1482">
                  <c:v>4</c:v>
                </c:pt>
                <c:pt idx="1483">
                  <c:v>#N/A</c:v>
                </c:pt>
                <c:pt idx="1484">
                  <c:v>4</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3</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4</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numCache>
            </c:numRef>
          </c:yVal>
          <c:smooth val="0"/>
          <c:extLst>
            <c:ext xmlns:c16="http://schemas.microsoft.com/office/drawing/2014/chart" uri="{C3380CC4-5D6E-409C-BE32-E72D297353CC}">
              <c16:uniqueId val="{00000000-3645-427A-A7AB-B1556F00A55C}"/>
            </c:ext>
          </c:extLst>
        </c:ser>
        <c:ser>
          <c:idx val="1"/>
          <c:order val="1"/>
          <c:tx>
            <c:v>Medium</c:v>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c:spPr>
          </c:marker>
          <c:xVal>
            <c:numRef>
              <c:f>'winequality-red'!$U$2:$U$1600</c:f>
              <c:numCache>
                <c:formatCode>General</c:formatCode>
                <c:ptCount val="1599"/>
                <c:pt idx="0">
                  <c:v>9.4</c:v>
                </c:pt>
                <c:pt idx="1">
                  <c:v>9.8000000000000007</c:v>
                </c:pt>
                <c:pt idx="2">
                  <c:v>9.8000000000000007</c:v>
                </c:pt>
                <c:pt idx="3">
                  <c:v>9.8000000000000007</c:v>
                </c:pt>
                <c:pt idx="4">
                  <c:v>9.4</c:v>
                </c:pt>
                <c:pt idx="5">
                  <c:v>9.4</c:v>
                </c:pt>
                <c:pt idx="6">
                  <c:v>9.4</c:v>
                </c:pt>
                <c:pt idx="7">
                  <c:v>#N/A</c:v>
                </c:pt>
                <c:pt idx="8">
                  <c:v>#N/A</c:v>
                </c:pt>
                <c:pt idx="9">
                  <c:v>10.5</c:v>
                </c:pt>
                <c:pt idx="10">
                  <c:v>9.1999999999999993</c:v>
                </c:pt>
                <c:pt idx="11">
                  <c:v>10.5</c:v>
                </c:pt>
                <c:pt idx="12">
                  <c:v>9.9</c:v>
                </c:pt>
                <c:pt idx="13">
                  <c:v>9.1</c:v>
                </c:pt>
                <c:pt idx="14">
                  <c:v>9.1999999999999993</c:v>
                </c:pt>
                <c:pt idx="15">
                  <c:v>9.1999999999999993</c:v>
                </c:pt>
                <c:pt idx="16">
                  <c:v>#N/A</c:v>
                </c:pt>
                <c:pt idx="17">
                  <c:v>9.3000000000000007</c:v>
                </c:pt>
                <c:pt idx="18">
                  <c:v>#N/A</c:v>
                </c:pt>
                <c:pt idx="19">
                  <c:v>9.1999999999999993</c:v>
                </c:pt>
                <c:pt idx="20">
                  <c:v>9.4</c:v>
                </c:pt>
                <c:pt idx="21">
                  <c:v>9.6999999999999993</c:v>
                </c:pt>
                <c:pt idx="22">
                  <c:v>9.5</c:v>
                </c:pt>
                <c:pt idx="23">
                  <c:v>9.4</c:v>
                </c:pt>
                <c:pt idx="24">
                  <c:v>9.6999999999999993</c:v>
                </c:pt>
                <c:pt idx="25">
                  <c:v>9.3000000000000007</c:v>
                </c:pt>
                <c:pt idx="26">
                  <c:v>9.5</c:v>
                </c:pt>
                <c:pt idx="27">
                  <c:v>9.5</c:v>
                </c:pt>
                <c:pt idx="28">
                  <c:v>9.4</c:v>
                </c:pt>
                <c:pt idx="29">
                  <c:v>9.8000000000000007</c:v>
                </c:pt>
                <c:pt idx="30">
                  <c:v>10.1</c:v>
                </c:pt>
                <c:pt idx="31">
                  <c:v>10.6</c:v>
                </c:pt>
                <c:pt idx="32">
                  <c:v>9.8000000000000007</c:v>
                </c:pt>
                <c:pt idx="33">
                  <c:v>9.4</c:v>
                </c:pt>
                <c:pt idx="34">
                  <c:v>9.1999999999999993</c:v>
                </c:pt>
                <c:pt idx="35">
                  <c:v>9.6</c:v>
                </c:pt>
                <c:pt idx="36">
                  <c:v>10.8</c:v>
                </c:pt>
                <c:pt idx="37">
                  <c:v>#N/A</c:v>
                </c:pt>
                <c:pt idx="38">
                  <c:v>#N/A</c:v>
                </c:pt>
                <c:pt idx="39">
                  <c:v>10.5</c:v>
                </c:pt>
                <c:pt idx="40">
                  <c:v>10.5</c:v>
                </c:pt>
                <c:pt idx="41">
                  <c:v>#N/A</c:v>
                </c:pt>
                <c:pt idx="42">
                  <c:v>10.5</c:v>
                </c:pt>
                <c:pt idx="43">
                  <c:v>10.3</c:v>
                </c:pt>
                <c:pt idx="44">
                  <c:v>9.5</c:v>
                </c:pt>
                <c:pt idx="45">
                  <c:v>#N/A</c:v>
                </c:pt>
                <c:pt idx="46">
                  <c:v>9.1999999999999993</c:v>
                </c:pt>
                <c:pt idx="47">
                  <c:v>9.5</c:v>
                </c:pt>
                <c:pt idx="48">
                  <c:v>9.1999999999999993</c:v>
                </c:pt>
                <c:pt idx="49">
                  <c:v>9.1999999999999993</c:v>
                </c:pt>
                <c:pt idx="50">
                  <c:v>9.1999999999999993</c:v>
                </c:pt>
                <c:pt idx="51">
                  <c:v>9.4</c:v>
                </c:pt>
                <c:pt idx="52">
                  <c:v>9.4</c:v>
                </c:pt>
                <c:pt idx="53">
                  <c:v>9.4</c:v>
                </c:pt>
                <c:pt idx="54">
                  <c:v>10.199999999999999</c:v>
                </c:pt>
                <c:pt idx="55">
                  <c:v>9.5</c:v>
                </c:pt>
                <c:pt idx="56">
                  <c:v>9.6</c:v>
                </c:pt>
                <c:pt idx="57">
                  <c:v>9.4</c:v>
                </c:pt>
                <c:pt idx="58">
                  <c:v>10</c:v>
                </c:pt>
                <c:pt idx="59">
                  <c:v>9.4</c:v>
                </c:pt>
                <c:pt idx="60">
                  <c:v>9.1999999999999993</c:v>
                </c:pt>
                <c:pt idx="61">
                  <c:v>9.3000000000000007</c:v>
                </c:pt>
                <c:pt idx="62">
                  <c:v>#N/A</c:v>
                </c:pt>
                <c:pt idx="63">
                  <c:v>9.8000000000000007</c:v>
                </c:pt>
                <c:pt idx="64">
                  <c:v>10.9</c:v>
                </c:pt>
                <c:pt idx="65">
                  <c:v>10.9</c:v>
                </c:pt>
                <c:pt idx="66">
                  <c:v>9.6</c:v>
                </c:pt>
                <c:pt idx="67">
                  <c:v>10.7</c:v>
                </c:pt>
                <c:pt idx="68">
                  <c:v>10.7</c:v>
                </c:pt>
                <c:pt idx="69">
                  <c:v>10.5</c:v>
                </c:pt>
                <c:pt idx="70">
                  <c:v>9.5</c:v>
                </c:pt>
                <c:pt idx="71">
                  <c:v>9.5</c:v>
                </c:pt>
                <c:pt idx="72">
                  <c:v>9.5</c:v>
                </c:pt>
                <c:pt idx="73">
                  <c:v>#N/A</c:v>
                </c:pt>
                <c:pt idx="74">
                  <c:v>9.6</c:v>
                </c:pt>
                <c:pt idx="75">
                  <c:v>10.5</c:v>
                </c:pt>
                <c:pt idx="76">
                  <c:v>10.5</c:v>
                </c:pt>
                <c:pt idx="77">
                  <c:v>10.7</c:v>
                </c:pt>
                <c:pt idx="78">
                  <c:v>10.1</c:v>
                </c:pt>
                <c:pt idx="79">
                  <c:v>#N/A</c:v>
                </c:pt>
                <c:pt idx="80">
                  <c:v>9.1999999999999993</c:v>
                </c:pt>
                <c:pt idx="81">
                  <c:v>9.4</c:v>
                </c:pt>
                <c:pt idx="82">
                  <c:v>9.1</c:v>
                </c:pt>
                <c:pt idx="83">
                  <c:v>9.4</c:v>
                </c:pt>
                <c:pt idx="84">
                  <c:v>10.3</c:v>
                </c:pt>
                <c:pt idx="85">
                  <c:v>10.1</c:v>
                </c:pt>
                <c:pt idx="86">
                  <c:v>9.9</c:v>
                </c:pt>
                <c:pt idx="87">
                  <c:v>9.6</c:v>
                </c:pt>
                <c:pt idx="88">
                  <c:v>9.5</c:v>
                </c:pt>
                <c:pt idx="89">
                  <c:v>9</c:v>
                </c:pt>
                <c:pt idx="90">
                  <c:v>9.5</c:v>
                </c:pt>
                <c:pt idx="91">
                  <c:v>9.9</c:v>
                </c:pt>
                <c:pt idx="92">
                  <c:v>9.8000000000000007</c:v>
                </c:pt>
                <c:pt idx="93">
                  <c:v>9.6</c:v>
                </c:pt>
                <c:pt idx="94">
                  <c:v>#N/A</c:v>
                </c:pt>
                <c:pt idx="95">
                  <c:v>12.9</c:v>
                </c:pt>
                <c:pt idx="96">
                  <c:v>10.7</c:v>
                </c:pt>
                <c:pt idx="97">
                  <c:v>9.1999999999999993</c:v>
                </c:pt>
                <c:pt idx="98">
                  <c:v>9.8000000000000007</c:v>
                </c:pt>
                <c:pt idx="99">
                  <c:v>9</c:v>
                </c:pt>
                <c:pt idx="100">
                  <c:v>10.199999999999999</c:v>
                </c:pt>
                <c:pt idx="101">
                  <c:v>10.4</c:v>
                </c:pt>
                <c:pt idx="102">
                  <c:v>9</c:v>
                </c:pt>
                <c:pt idx="103">
                  <c:v>9.1999999999999993</c:v>
                </c:pt>
                <c:pt idx="104">
                  <c:v>9.4</c:v>
                </c:pt>
                <c:pt idx="105">
                  <c:v>9.1999999999999993</c:v>
                </c:pt>
                <c:pt idx="106">
                  <c:v>9.3000000000000007</c:v>
                </c:pt>
                <c:pt idx="107">
                  <c:v>9.3000000000000007</c:v>
                </c:pt>
                <c:pt idx="108">
                  <c:v>9.6</c:v>
                </c:pt>
                <c:pt idx="109">
                  <c:v>9.3000000000000007</c:v>
                </c:pt>
                <c:pt idx="110">
                  <c:v>9.5</c:v>
                </c:pt>
                <c:pt idx="111">
                  <c:v>9.8000000000000007</c:v>
                </c:pt>
                <c:pt idx="112">
                  <c:v>9.8000000000000007</c:v>
                </c:pt>
                <c:pt idx="113">
                  <c:v>9.6999999999999993</c:v>
                </c:pt>
                <c:pt idx="114">
                  <c:v>9.5</c:v>
                </c:pt>
                <c:pt idx="115">
                  <c:v>10.5</c:v>
                </c:pt>
                <c:pt idx="116">
                  <c:v>10</c:v>
                </c:pt>
                <c:pt idx="117">
                  <c:v>9.4</c:v>
                </c:pt>
                <c:pt idx="118">
                  <c:v>10.9</c:v>
                </c:pt>
                <c:pt idx="119">
                  <c:v>9.1999999999999993</c:v>
                </c:pt>
                <c:pt idx="120">
                  <c:v>9</c:v>
                </c:pt>
                <c:pt idx="121">
                  <c:v>10.9</c:v>
                </c:pt>
                <c:pt idx="122">
                  <c:v>9.1999999999999993</c:v>
                </c:pt>
                <c:pt idx="123">
                  <c:v>9.5</c:v>
                </c:pt>
                <c:pt idx="124">
                  <c:v>9.5</c:v>
                </c:pt>
                <c:pt idx="125">
                  <c:v>9.4</c:v>
                </c:pt>
                <c:pt idx="126">
                  <c:v>10.9</c:v>
                </c:pt>
                <c:pt idx="127">
                  <c:v>10.9</c:v>
                </c:pt>
                <c:pt idx="128">
                  <c:v>#N/A</c:v>
                </c:pt>
                <c:pt idx="129">
                  <c:v>9.4</c:v>
                </c:pt>
                <c:pt idx="130">
                  <c:v>9.4</c:v>
                </c:pt>
                <c:pt idx="131">
                  <c:v>13</c:v>
                </c:pt>
                <c:pt idx="132">
                  <c:v>13</c:v>
                </c:pt>
                <c:pt idx="133">
                  <c:v>9.8000000000000007</c:v>
                </c:pt>
                <c:pt idx="134">
                  <c:v>9.9</c:v>
                </c:pt>
                <c:pt idx="135">
                  <c:v>9.6</c:v>
                </c:pt>
                <c:pt idx="136">
                  <c:v>9.5</c:v>
                </c:pt>
                <c:pt idx="137">
                  <c:v>9.1999999999999993</c:v>
                </c:pt>
                <c:pt idx="138">
                  <c:v>9.5</c:v>
                </c:pt>
                <c:pt idx="139">
                  <c:v>9.5</c:v>
                </c:pt>
                <c:pt idx="140">
                  <c:v>9.6</c:v>
                </c:pt>
                <c:pt idx="141">
                  <c:v>9.5</c:v>
                </c:pt>
                <c:pt idx="142">
                  <c:v>14</c:v>
                </c:pt>
                <c:pt idx="143">
                  <c:v>9.4</c:v>
                </c:pt>
                <c:pt idx="144">
                  <c:v>14</c:v>
                </c:pt>
                <c:pt idx="145">
                  <c:v>9.4</c:v>
                </c:pt>
                <c:pt idx="146">
                  <c:v>10</c:v>
                </c:pt>
                <c:pt idx="147">
                  <c:v>9.3000000000000007</c:v>
                </c:pt>
                <c:pt idx="148">
                  <c:v>10.199999999999999</c:v>
                </c:pt>
                <c:pt idx="149">
                  <c:v>10.5</c:v>
                </c:pt>
                <c:pt idx="150">
                  <c:v>10.3</c:v>
                </c:pt>
                <c:pt idx="151">
                  <c:v>#N/A</c:v>
                </c:pt>
                <c:pt idx="152">
                  <c:v>10.1</c:v>
                </c:pt>
                <c:pt idx="153">
                  <c:v>10.1</c:v>
                </c:pt>
                <c:pt idx="154">
                  <c:v>10.5</c:v>
                </c:pt>
                <c:pt idx="155">
                  <c:v>10.5</c:v>
                </c:pt>
                <c:pt idx="156">
                  <c:v>10.5</c:v>
                </c:pt>
                <c:pt idx="157">
                  <c:v>10.5</c:v>
                </c:pt>
                <c:pt idx="158">
                  <c:v>9.3000000000000007</c:v>
                </c:pt>
                <c:pt idx="159">
                  <c:v>9.3000000000000007</c:v>
                </c:pt>
                <c:pt idx="160">
                  <c:v>9.6</c:v>
                </c:pt>
                <c:pt idx="161">
                  <c:v>#N/A</c:v>
                </c:pt>
                <c:pt idx="162">
                  <c:v>10</c:v>
                </c:pt>
                <c:pt idx="163">
                  <c:v>9.4</c:v>
                </c:pt>
                <c:pt idx="164">
                  <c:v>9.4</c:v>
                </c:pt>
                <c:pt idx="165">
                  <c:v>9.5</c:v>
                </c:pt>
                <c:pt idx="166">
                  <c:v>10.199999999999999</c:v>
                </c:pt>
                <c:pt idx="167">
                  <c:v>#N/A</c:v>
                </c:pt>
                <c:pt idx="168">
                  <c:v>10.4</c:v>
                </c:pt>
                <c:pt idx="169">
                  <c:v>9.5</c:v>
                </c:pt>
                <c:pt idx="170">
                  <c:v>#N/A</c:v>
                </c:pt>
                <c:pt idx="171">
                  <c:v>9.1999999999999993</c:v>
                </c:pt>
                <c:pt idx="172">
                  <c:v>9.1999999999999993</c:v>
                </c:pt>
                <c:pt idx="173">
                  <c:v>11.5</c:v>
                </c:pt>
                <c:pt idx="174">
                  <c:v>9.5</c:v>
                </c:pt>
                <c:pt idx="175">
                  <c:v>9.5</c:v>
                </c:pt>
                <c:pt idx="176">
                  <c:v>9.5</c:v>
                </c:pt>
                <c:pt idx="177">
                  <c:v>10.5</c:v>
                </c:pt>
                <c:pt idx="178">
                  <c:v>9.6</c:v>
                </c:pt>
                <c:pt idx="179">
                  <c:v>9.5</c:v>
                </c:pt>
                <c:pt idx="180">
                  <c:v>9.5</c:v>
                </c:pt>
                <c:pt idx="181">
                  <c:v>9.3000000000000007</c:v>
                </c:pt>
                <c:pt idx="182">
                  <c:v>9.3000000000000007</c:v>
                </c:pt>
                <c:pt idx="183">
                  <c:v>9.3000000000000007</c:v>
                </c:pt>
                <c:pt idx="184">
                  <c:v>9.3000000000000007</c:v>
                </c:pt>
                <c:pt idx="185">
                  <c:v>9.6999999999999993</c:v>
                </c:pt>
                <c:pt idx="186">
                  <c:v>9.1999999999999993</c:v>
                </c:pt>
                <c:pt idx="187">
                  <c:v>9.6999999999999993</c:v>
                </c:pt>
                <c:pt idx="188">
                  <c:v>9.5</c:v>
                </c:pt>
                <c:pt idx="189">
                  <c:v>9.5</c:v>
                </c:pt>
                <c:pt idx="190">
                  <c:v>9.4</c:v>
                </c:pt>
                <c:pt idx="191">
                  <c:v>9.8000000000000007</c:v>
                </c:pt>
                <c:pt idx="192">
                  <c:v>9.5</c:v>
                </c:pt>
                <c:pt idx="193">
                  <c:v>9.6999999999999993</c:v>
                </c:pt>
                <c:pt idx="194">
                  <c:v>9.6999999999999993</c:v>
                </c:pt>
                <c:pt idx="195">
                  <c:v>9.4</c:v>
                </c:pt>
                <c:pt idx="196">
                  <c:v>10.199999999999999</c:v>
                </c:pt>
                <c:pt idx="197">
                  <c:v>10.1</c:v>
                </c:pt>
                <c:pt idx="198">
                  <c:v>#N/A</c:v>
                </c:pt>
                <c:pt idx="199">
                  <c:v>#N/A</c:v>
                </c:pt>
                <c:pt idx="200">
                  <c:v>#N/A</c:v>
                </c:pt>
                <c:pt idx="201">
                  <c:v>9.3000000000000007</c:v>
                </c:pt>
                <c:pt idx="202">
                  <c:v>9.5</c:v>
                </c:pt>
                <c:pt idx="203">
                  <c:v>9.1999999999999993</c:v>
                </c:pt>
                <c:pt idx="204">
                  <c:v>9.1999999999999993</c:v>
                </c:pt>
                <c:pt idx="205">
                  <c:v>#N/A</c:v>
                </c:pt>
                <c:pt idx="206">
                  <c:v>#N/A</c:v>
                </c:pt>
                <c:pt idx="207">
                  <c:v>9.3000000000000007</c:v>
                </c:pt>
                <c:pt idx="208">
                  <c:v>9.4</c:v>
                </c:pt>
                <c:pt idx="209">
                  <c:v>#N/A</c:v>
                </c:pt>
                <c:pt idx="210">
                  <c:v>12.4</c:v>
                </c:pt>
                <c:pt idx="211">
                  <c:v>10</c:v>
                </c:pt>
                <c:pt idx="212">
                  <c:v>10.199999999999999</c:v>
                </c:pt>
                <c:pt idx="213">
                  <c:v>10.1</c:v>
                </c:pt>
                <c:pt idx="214">
                  <c:v>9.8000000000000007</c:v>
                </c:pt>
                <c:pt idx="215">
                  <c:v>10.5</c:v>
                </c:pt>
                <c:pt idx="216">
                  <c:v>11</c:v>
                </c:pt>
                <c:pt idx="217">
                  <c:v>9.1</c:v>
                </c:pt>
                <c:pt idx="218">
                  <c:v>9.6999999999999993</c:v>
                </c:pt>
                <c:pt idx="219">
                  <c:v>9.5</c:v>
                </c:pt>
                <c:pt idx="220">
                  <c:v>9.4</c:v>
                </c:pt>
                <c:pt idx="221">
                  <c:v>9.4</c:v>
                </c:pt>
                <c:pt idx="222">
                  <c:v>9.5</c:v>
                </c:pt>
                <c:pt idx="223">
                  <c:v>10</c:v>
                </c:pt>
                <c:pt idx="224">
                  <c:v>#N/A</c:v>
                </c:pt>
                <c:pt idx="225">
                  <c:v>10.5</c:v>
                </c:pt>
                <c:pt idx="226">
                  <c:v>9.5</c:v>
                </c:pt>
                <c:pt idx="227">
                  <c:v>9.8000000000000007</c:v>
                </c:pt>
                <c:pt idx="228">
                  <c:v>10.5</c:v>
                </c:pt>
                <c:pt idx="229">
                  <c:v>11</c:v>
                </c:pt>
                <c:pt idx="230">
                  <c:v>#N/A</c:v>
                </c:pt>
                <c:pt idx="231">
                  <c:v>9.9</c:v>
                </c:pt>
                <c:pt idx="232">
                  <c:v>9.6</c:v>
                </c:pt>
                <c:pt idx="233">
                  <c:v>11</c:v>
                </c:pt>
                <c:pt idx="234">
                  <c:v>9</c:v>
                </c:pt>
                <c:pt idx="235">
                  <c:v>9</c:v>
                </c:pt>
                <c:pt idx="236">
                  <c:v>9</c:v>
                </c:pt>
                <c:pt idx="237">
                  <c:v>9.1999999999999993</c:v>
                </c:pt>
                <c:pt idx="238">
                  <c:v>9</c:v>
                </c:pt>
                <c:pt idx="239">
                  <c:v>9</c:v>
                </c:pt>
                <c:pt idx="240">
                  <c:v>9.3000000000000007</c:v>
                </c:pt>
                <c:pt idx="241">
                  <c:v>10.9</c:v>
                </c:pt>
                <c:pt idx="242">
                  <c:v>9.8000000000000007</c:v>
                </c:pt>
                <c:pt idx="243">
                  <c:v>#N/A</c:v>
                </c:pt>
                <c:pt idx="244">
                  <c:v>#N/A</c:v>
                </c:pt>
                <c:pt idx="245">
                  <c:v>9.9</c:v>
                </c:pt>
                <c:pt idx="246">
                  <c:v>9.5</c:v>
                </c:pt>
                <c:pt idx="247">
                  <c:v>9.3000000000000007</c:v>
                </c:pt>
                <c:pt idx="248">
                  <c:v>9.8000000000000007</c:v>
                </c:pt>
                <c:pt idx="249">
                  <c:v>9.9</c:v>
                </c:pt>
                <c:pt idx="250">
                  <c:v>10</c:v>
                </c:pt>
                <c:pt idx="251">
                  <c:v>9.9</c:v>
                </c:pt>
                <c:pt idx="252">
                  <c:v>10.5</c:v>
                </c:pt>
                <c:pt idx="253">
                  <c:v>9.5</c:v>
                </c:pt>
                <c:pt idx="254">
                  <c:v>9.9</c:v>
                </c:pt>
                <c:pt idx="255">
                  <c:v>9.3000000000000007</c:v>
                </c:pt>
                <c:pt idx="256">
                  <c:v>9.1999999999999993</c:v>
                </c:pt>
                <c:pt idx="257">
                  <c:v>9.1999999999999993</c:v>
                </c:pt>
                <c:pt idx="258">
                  <c:v>9.4</c:v>
                </c:pt>
                <c:pt idx="259">
                  <c:v>#N/A</c:v>
                </c:pt>
                <c:pt idx="260">
                  <c:v>9.3000000000000007</c:v>
                </c:pt>
                <c:pt idx="261">
                  <c:v>#N/A</c:v>
                </c:pt>
                <c:pt idx="262">
                  <c:v>10</c:v>
                </c:pt>
                <c:pt idx="263">
                  <c:v>9.3000000000000007</c:v>
                </c:pt>
                <c:pt idx="264">
                  <c:v>10.9</c:v>
                </c:pt>
                <c:pt idx="265">
                  <c:v>#N/A</c:v>
                </c:pt>
                <c:pt idx="266">
                  <c:v>#N/A</c:v>
                </c:pt>
                <c:pt idx="267">
                  <c:v>#N/A</c:v>
                </c:pt>
                <c:pt idx="268">
                  <c:v>9.4</c:v>
                </c:pt>
                <c:pt idx="269">
                  <c:v>10.1</c:v>
                </c:pt>
                <c:pt idx="270">
                  <c:v>10.7</c:v>
                </c:pt>
                <c:pt idx="271">
                  <c:v>10.1</c:v>
                </c:pt>
                <c:pt idx="272">
                  <c:v>10.1</c:v>
                </c:pt>
                <c:pt idx="273">
                  <c:v>9.4</c:v>
                </c:pt>
                <c:pt idx="274">
                  <c:v>9.4</c:v>
                </c:pt>
                <c:pt idx="275">
                  <c:v>10.7</c:v>
                </c:pt>
                <c:pt idx="276">
                  <c:v>9.4</c:v>
                </c:pt>
                <c:pt idx="277">
                  <c:v>10.1</c:v>
                </c:pt>
                <c:pt idx="278">
                  <c:v>#N/A</c:v>
                </c:pt>
                <c:pt idx="279">
                  <c:v>#N/A</c:v>
                </c:pt>
                <c:pt idx="280">
                  <c:v>9.3000000000000007</c:v>
                </c:pt>
                <c:pt idx="281">
                  <c:v>#N/A</c:v>
                </c:pt>
                <c:pt idx="282">
                  <c:v>9.1</c:v>
                </c:pt>
                <c:pt idx="283">
                  <c:v>#N/A</c:v>
                </c:pt>
                <c:pt idx="284">
                  <c:v>9.8000000000000007</c:v>
                </c:pt>
                <c:pt idx="285">
                  <c:v>9.8000000000000007</c:v>
                </c:pt>
                <c:pt idx="286">
                  <c:v>10.3</c:v>
                </c:pt>
                <c:pt idx="287">
                  <c:v>10.3</c:v>
                </c:pt>
                <c:pt idx="288">
                  <c:v>#N/A</c:v>
                </c:pt>
                <c:pt idx="289">
                  <c:v>9.1999999999999993</c:v>
                </c:pt>
                <c:pt idx="290">
                  <c:v>#N/A</c:v>
                </c:pt>
                <c:pt idx="291">
                  <c:v>10.5</c:v>
                </c:pt>
                <c:pt idx="292">
                  <c:v>10.3</c:v>
                </c:pt>
                <c:pt idx="293">
                  <c:v>10.1</c:v>
                </c:pt>
                <c:pt idx="294">
                  <c:v>9.5</c:v>
                </c:pt>
                <c:pt idx="295">
                  <c:v>9.5</c:v>
                </c:pt>
                <c:pt idx="296">
                  <c:v>9.9</c:v>
                </c:pt>
                <c:pt idx="297">
                  <c:v>9.6</c:v>
                </c:pt>
                <c:pt idx="298">
                  <c:v>9.6999999999999993</c:v>
                </c:pt>
                <c:pt idx="299">
                  <c:v>9.6</c:v>
                </c:pt>
                <c:pt idx="300">
                  <c:v>10.7</c:v>
                </c:pt>
                <c:pt idx="301">
                  <c:v>10.1</c:v>
                </c:pt>
                <c:pt idx="302">
                  <c:v>10</c:v>
                </c:pt>
                <c:pt idx="303">
                  <c:v>9.5</c:v>
                </c:pt>
                <c:pt idx="304">
                  <c:v>9.1999999999999993</c:v>
                </c:pt>
                <c:pt idx="305">
                  <c:v>9.3000000000000007</c:v>
                </c:pt>
                <c:pt idx="306">
                  <c:v>9.4</c:v>
                </c:pt>
                <c:pt idx="307">
                  <c:v>9.5</c:v>
                </c:pt>
                <c:pt idx="308">
                  <c:v>9.5</c:v>
                </c:pt>
                <c:pt idx="309">
                  <c:v>9.5</c:v>
                </c:pt>
                <c:pt idx="310">
                  <c:v>9.3000000000000007</c:v>
                </c:pt>
                <c:pt idx="311">
                  <c:v>9.4</c:v>
                </c:pt>
                <c:pt idx="312">
                  <c:v>9.5</c:v>
                </c:pt>
                <c:pt idx="313">
                  <c:v>9.4</c:v>
                </c:pt>
                <c:pt idx="314">
                  <c:v>11</c:v>
                </c:pt>
                <c:pt idx="315">
                  <c:v>11</c:v>
                </c:pt>
                <c:pt idx="316">
                  <c:v>10.1</c:v>
                </c:pt>
                <c:pt idx="317">
                  <c:v>10.4</c:v>
                </c:pt>
                <c:pt idx="318">
                  <c:v>#N/A</c:v>
                </c:pt>
                <c:pt idx="319">
                  <c:v>10.4</c:v>
                </c:pt>
                <c:pt idx="320">
                  <c:v>#N/A</c:v>
                </c:pt>
                <c:pt idx="321">
                  <c:v>9.6999999999999993</c:v>
                </c:pt>
                <c:pt idx="322">
                  <c:v>9.3000000000000007</c:v>
                </c:pt>
                <c:pt idx="323">
                  <c:v>9.5</c:v>
                </c:pt>
                <c:pt idx="324">
                  <c:v>9.1999999999999993</c:v>
                </c:pt>
                <c:pt idx="325">
                  <c:v>9.1999999999999993</c:v>
                </c:pt>
                <c:pt idx="326">
                  <c:v>#N/A</c:v>
                </c:pt>
                <c:pt idx="327">
                  <c:v>11.5</c:v>
                </c:pt>
                <c:pt idx="328">
                  <c:v>9.6999999999999993</c:v>
                </c:pt>
                <c:pt idx="329">
                  <c:v>9.5</c:v>
                </c:pt>
                <c:pt idx="330">
                  <c:v>12.5</c:v>
                </c:pt>
                <c:pt idx="331">
                  <c:v>12.5</c:v>
                </c:pt>
                <c:pt idx="332">
                  <c:v>9.4</c:v>
                </c:pt>
                <c:pt idx="333">
                  <c:v>11</c:v>
                </c:pt>
                <c:pt idx="334">
                  <c:v>#N/A</c:v>
                </c:pt>
                <c:pt idx="335">
                  <c:v>#N/A</c:v>
                </c:pt>
                <c:pt idx="336">
                  <c:v>12.5</c:v>
                </c:pt>
                <c:pt idx="337">
                  <c:v>10.3</c:v>
                </c:pt>
                <c:pt idx="338">
                  <c:v>11.5</c:v>
                </c:pt>
                <c:pt idx="339">
                  <c:v>#N/A</c:v>
                </c:pt>
                <c:pt idx="340">
                  <c:v>9.1999999999999993</c:v>
                </c:pt>
                <c:pt idx="341">
                  <c:v>11.3</c:v>
                </c:pt>
                <c:pt idx="342">
                  <c:v>9.8000000000000007</c:v>
                </c:pt>
                <c:pt idx="343">
                  <c:v>9.8000000000000007</c:v>
                </c:pt>
                <c:pt idx="344">
                  <c:v>10.7</c:v>
                </c:pt>
                <c:pt idx="345">
                  <c:v>9.9</c:v>
                </c:pt>
                <c:pt idx="346">
                  <c:v>#N/A</c:v>
                </c:pt>
                <c:pt idx="347">
                  <c:v>12</c:v>
                </c:pt>
                <c:pt idx="348">
                  <c:v>10</c:v>
                </c:pt>
                <c:pt idx="349">
                  <c:v>9.4</c:v>
                </c:pt>
                <c:pt idx="350">
                  <c:v>9.9</c:v>
                </c:pt>
                <c:pt idx="351">
                  <c:v>9.4</c:v>
                </c:pt>
                <c:pt idx="352">
                  <c:v>9.3000000000000007</c:v>
                </c:pt>
                <c:pt idx="353">
                  <c:v>13</c:v>
                </c:pt>
                <c:pt idx="354">
                  <c:v>11.9</c:v>
                </c:pt>
                <c:pt idx="355">
                  <c:v>12.8</c:v>
                </c:pt>
                <c:pt idx="356">
                  <c:v>11</c:v>
                </c:pt>
                <c:pt idx="357">
                  <c:v>#N/A</c:v>
                </c:pt>
                <c:pt idx="358">
                  <c:v>#N/A</c:v>
                </c:pt>
                <c:pt idx="359">
                  <c:v>9.8000000000000007</c:v>
                </c:pt>
                <c:pt idx="360">
                  <c:v>9.4</c:v>
                </c:pt>
                <c:pt idx="361">
                  <c:v>9.9</c:v>
                </c:pt>
                <c:pt idx="362">
                  <c:v>10</c:v>
                </c:pt>
                <c:pt idx="363">
                  <c:v>10.199999999999999</c:v>
                </c:pt>
                <c:pt idx="364">
                  <c:v>#N/A</c:v>
                </c:pt>
                <c:pt idx="365">
                  <c:v>11.8</c:v>
                </c:pt>
                <c:pt idx="366">
                  <c:v>#N/A</c:v>
                </c:pt>
                <c:pt idx="367">
                  <c:v>9</c:v>
                </c:pt>
                <c:pt idx="368">
                  <c:v>9.4</c:v>
                </c:pt>
                <c:pt idx="369">
                  <c:v>#N/A</c:v>
                </c:pt>
                <c:pt idx="370">
                  <c:v>9.9</c:v>
                </c:pt>
                <c:pt idx="371">
                  <c:v>8.6999999999999993</c:v>
                </c:pt>
                <c:pt idx="372">
                  <c:v>10.6</c:v>
                </c:pt>
                <c:pt idx="373">
                  <c:v>9.1999999999999993</c:v>
                </c:pt>
                <c:pt idx="374">
                  <c:v>10.8</c:v>
                </c:pt>
                <c:pt idx="375">
                  <c:v>#N/A</c:v>
                </c:pt>
                <c:pt idx="376">
                  <c:v>11</c:v>
                </c:pt>
                <c:pt idx="377">
                  <c:v>#N/A</c:v>
                </c:pt>
                <c:pt idx="378">
                  <c:v>13.3</c:v>
                </c:pt>
                <c:pt idx="379">
                  <c:v>10.8</c:v>
                </c:pt>
                <c:pt idx="380">
                  <c:v>9.4</c:v>
                </c:pt>
                <c:pt idx="381">
                  <c:v>10</c:v>
                </c:pt>
                <c:pt idx="382">
                  <c:v>9.4</c:v>
                </c:pt>
                <c:pt idx="383">
                  <c:v>9.4</c:v>
                </c:pt>
                <c:pt idx="384">
                  <c:v>9.1999999999999993</c:v>
                </c:pt>
                <c:pt idx="385">
                  <c:v>9.6999999999999993</c:v>
                </c:pt>
                <c:pt idx="386">
                  <c:v>9.1999999999999993</c:v>
                </c:pt>
                <c:pt idx="387">
                  <c:v>9.6</c:v>
                </c:pt>
                <c:pt idx="388">
                  <c:v>9.1999999999999993</c:v>
                </c:pt>
                <c:pt idx="389">
                  <c:v>#N/A</c:v>
                </c:pt>
                <c:pt idx="390">
                  <c:v>#N/A</c:v>
                </c:pt>
                <c:pt idx="391">
                  <c:v>10</c:v>
                </c:pt>
                <c:pt idx="392">
                  <c:v>9.5</c:v>
                </c:pt>
                <c:pt idx="393">
                  <c:v>9.1</c:v>
                </c:pt>
                <c:pt idx="394">
                  <c:v>9.9</c:v>
                </c:pt>
                <c:pt idx="395">
                  <c:v>#N/A</c:v>
                </c:pt>
                <c:pt idx="396">
                  <c:v>9.9</c:v>
                </c:pt>
                <c:pt idx="397">
                  <c:v>11</c:v>
                </c:pt>
                <c:pt idx="398">
                  <c:v>11</c:v>
                </c:pt>
                <c:pt idx="399">
                  <c:v>9.4</c:v>
                </c:pt>
                <c:pt idx="400">
                  <c:v>9.9</c:v>
                </c:pt>
                <c:pt idx="401">
                  <c:v>10.8</c:v>
                </c:pt>
                <c:pt idx="402">
                  <c:v>10.5</c:v>
                </c:pt>
                <c:pt idx="403">
                  <c:v>10.5</c:v>
                </c:pt>
                <c:pt idx="404">
                  <c:v>9.1</c:v>
                </c:pt>
                <c:pt idx="405">
                  <c:v>10.1</c:v>
                </c:pt>
                <c:pt idx="406">
                  <c:v>10.8</c:v>
                </c:pt>
                <c:pt idx="407">
                  <c:v>#N/A</c:v>
                </c:pt>
                <c:pt idx="408">
                  <c:v>11.3</c:v>
                </c:pt>
                <c:pt idx="409">
                  <c:v>#N/A</c:v>
                </c:pt>
                <c:pt idx="410">
                  <c:v>9.5</c:v>
                </c:pt>
                <c:pt idx="411">
                  <c:v>9.5</c:v>
                </c:pt>
                <c:pt idx="412">
                  <c:v>9.3000000000000007</c:v>
                </c:pt>
                <c:pt idx="413">
                  <c:v>#N/A</c:v>
                </c:pt>
                <c:pt idx="414">
                  <c:v>9.5</c:v>
                </c:pt>
                <c:pt idx="415">
                  <c:v>9.3000000000000007</c:v>
                </c:pt>
                <c:pt idx="416">
                  <c:v>11.7</c:v>
                </c:pt>
                <c:pt idx="417">
                  <c:v>10.5</c:v>
                </c:pt>
                <c:pt idx="418">
                  <c:v>10.4</c:v>
                </c:pt>
                <c:pt idx="419">
                  <c:v>9.9</c:v>
                </c:pt>
                <c:pt idx="420">
                  <c:v>#N/A</c:v>
                </c:pt>
                <c:pt idx="421">
                  <c:v>#N/A</c:v>
                </c:pt>
                <c:pt idx="422">
                  <c:v>10.9</c:v>
                </c:pt>
                <c:pt idx="423">
                  <c:v>#N/A</c:v>
                </c:pt>
                <c:pt idx="424">
                  <c:v>10.9</c:v>
                </c:pt>
                <c:pt idx="425">
                  <c:v>#N/A</c:v>
                </c:pt>
                <c:pt idx="426">
                  <c:v>11.4</c:v>
                </c:pt>
                <c:pt idx="427">
                  <c:v>10.6</c:v>
                </c:pt>
                <c:pt idx="428">
                  <c:v>9.3000000000000007</c:v>
                </c:pt>
                <c:pt idx="429">
                  <c:v>10.4</c:v>
                </c:pt>
                <c:pt idx="430">
                  <c:v>#N/A</c:v>
                </c:pt>
                <c:pt idx="431">
                  <c:v>9.1999999999999993</c:v>
                </c:pt>
                <c:pt idx="432">
                  <c:v>12.8</c:v>
                </c:pt>
                <c:pt idx="433">
                  <c:v>9.5</c:v>
                </c:pt>
                <c:pt idx="434">
                  <c:v>9.9</c:v>
                </c:pt>
                <c:pt idx="435">
                  <c:v>9.5</c:v>
                </c:pt>
                <c:pt idx="436">
                  <c:v>10.199999999999999</c:v>
                </c:pt>
                <c:pt idx="437">
                  <c:v>11.2</c:v>
                </c:pt>
                <c:pt idx="438">
                  <c:v>9.9</c:v>
                </c:pt>
                <c:pt idx="439">
                  <c:v>9.3000000000000007</c:v>
                </c:pt>
                <c:pt idx="440">
                  <c:v>#N/A</c:v>
                </c:pt>
                <c:pt idx="441">
                  <c:v>11.3</c:v>
                </c:pt>
                <c:pt idx="442">
                  <c:v>#N/A</c:v>
                </c:pt>
                <c:pt idx="443">
                  <c:v>#N/A</c:v>
                </c:pt>
                <c:pt idx="444">
                  <c:v>#N/A</c:v>
                </c:pt>
                <c:pt idx="445">
                  <c:v>10.1</c:v>
                </c:pt>
                <c:pt idx="446">
                  <c:v>10.5</c:v>
                </c:pt>
                <c:pt idx="447">
                  <c:v>11.2</c:v>
                </c:pt>
                <c:pt idx="448">
                  <c:v>10.199999999999999</c:v>
                </c:pt>
                <c:pt idx="449">
                  <c:v>10.8</c:v>
                </c:pt>
                <c:pt idx="450">
                  <c:v>10.8</c:v>
                </c:pt>
                <c:pt idx="451">
                  <c:v>9.1</c:v>
                </c:pt>
                <c:pt idx="452">
                  <c:v>10</c:v>
                </c:pt>
                <c:pt idx="453">
                  <c:v>#N/A</c:v>
                </c:pt>
                <c:pt idx="454">
                  <c:v>11.1</c:v>
                </c:pt>
                <c:pt idx="455">
                  <c:v>#N/A</c:v>
                </c:pt>
                <c:pt idx="456">
                  <c:v>10.3</c:v>
                </c:pt>
                <c:pt idx="457">
                  <c:v>9.6</c:v>
                </c:pt>
                <c:pt idx="458">
                  <c:v>#N/A</c:v>
                </c:pt>
                <c:pt idx="459">
                  <c:v>#N/A</c:v>
                </c:pt>
                <c:pt idx="460">
                  <c:v>11.3</c:v>
                </c:pt>
                <c:pt idx="461">
                  <c:v>9.3000000000000007</c:v>
                </c:pt>
                <c:pt idx="462">
                  <c:v>11.8</c:v>
                </c:pt>
                <c:pt idx="463">
                  <c:v>9</c:v>
                </c:pt>
                <c:pt idx="464">
                  <c:v>9.1999999999999993</c:v>
                </c:pt>
                <c:pt idx="465">
                  <c:v>9.6999999999999993</c:v>
                </c:pt>
                <c:pt idx="466">
                  <c:v>11.5</c:v>
                </c:pt>
                <c:pt idx="467">
                  <c:v>14</c:v>
                </c:pt>
                <c:pt idx="468">
                  <c:v>9.1999999999999993</c:v>
                </c:pt>
                <c:pt idx="469">
                  <c:v>9.8000000000000007</c:v>
                </c:pt>
                <c:pt idx="470">
                  <c:v>10.6</c:v>
                </c:pt>
                <c:pt idx="471">
                  <c:v>11.4</c:v>
                </c:pt>
                <c:pt idx="472">
                  <c:v>10.4</c:v>
                </c:pt>
                <c:pt idx="473">
                  <c:v>10.6</c:v>
                </c:pt>
                <c:pt idx="474">
                  <c:v>9.4</c:v>
                </c:pt>
                <c:pt idx="475">
                  <c:v>10.199999999999999</c:v>
                </c:pt>
                <c:pt idx="476">
                  <c:v>9.6999999999999993</c:v>
                </c:pt>
                <c:pt idx="477">
                  <c:v>11</c:v>
                </c:pt>
                <c:pt idx="478">
                  <c:v>10.199999999999999</c:v>
                </c:pt>
                <c:pt idx="479">
                  <c:v>10.1</c:v>
                </c:pt>
                <c:pt idx="480">
                  <c:v>9.1999999999999993</c:v>
                </c:pt>
                <c:pt idx="481">
                  <c:v>#N/A</c:v>
                </c:pt>
                <c:pt idx="482">
                  <c:v>9.4</c:v>
                </c:pt>
                <c:pt idx="483">
                  <c:v>9.4</c:v>
                </c:pt>
                <c:pt idx="484">
                  <c:v>13.4</c:v>
                </c:pt>
                <c:pt idx="485">
                  <c:v>10</c:v>
                </c:pt>
                <c:pt idx="486">
                  <c:v>10</c:v>
                </c:pt>
                <c:pt idx="487">
                  <c:v>10</c:v>
                </c:pt>
                <c:pt idx="488">
                  <c:v>#N/A</c:v>
                </c:pt>
                <c:pt idx="489">
                  <c:v>10.199999999999999</c:v>
                </c:pt>
                <c:pt idx="490">
                  <c:v>10.6</c:v>
                </c:pt>
                <c:pt idx="491">
                  <c:v>#N/A</c:v>
                </c:pt>
                <c:pt idx="492">
                  <c:v>#N/A</c:v>
                </c:pt>
                <c:pt idx="493">
                  <c:v>11.6</c:v>
                </c:pt>
                <c:pt idx="494">
                  <c:v>12.1</c:v>
                </c:pt>
                <c:pt idx="495">
                  <c:v>#N/A</c:v>
                </c:pt>
                <c:pt idx="496">
                  <c:v>9</c:v>
                </c:pt>
                <c:pt idx="497">
                  <c:v>11.1</c:v>
                </c:pt>
                <c:pt idx="498">
                  <c:v>#N/A</c:v>
                </c:pt>
                <c:pt idx="499">
                  <c:v>11.6</c:v>
                </c:pt>
                <c:pt idx="500">
                  <c:v>9</c:v>
                </c:pt>
                <c:pt idx="501">
                  <c:v>#N/A</c:v>
                </c:pt>
                <c:pt idx="502">
                  <c:v>#N/A</c:v>
                </c:pt>
                <c:pt idx="503">
                  <c:v>#N/A</c:v>
                </c:pt>
                <c:pt idx="504">
                  <c:v>#N/A</c:v>
                </c:pt>
                <c:pt idx="505">
                  <c:v>#N/A</c:v>
                </c:pt>
                <c:pt idx="506">
                  <c:v>#N/A</c:v>
                </c:pt>
                <c:pt idx="507">
                  <c:v>9.5</c:v>
                </c:pt>
                <c:pt idx="508">
                  <c:v>10.199999999999999</c:v>
                </c:pt>
                <c:pt idx="509">
                  <c:v>#N/A</c:v>
                </c:pt>
                <c:pt idx="510">
                  <c:v>9.5</c:v>
                </c:pt>
                <c:pt idx="511">
                  <c:v>10.199999999999999</c:v>
                </c:pt>
                <c:pt idx="512">
                  <c:v>9.6999999999999993</c:v>
                </c:pt>
                <c:pt idx="513">
                  <c:v>#N/A</c:v>
                </c:pt>
                <c:pt idx="514">
                  <c:v>#N/A</c:v>
                </c:pt>
                <c:pt idx="515">
                  <c:v>9.3000000000000007</c:v>
                </c:pt>
                <c:pt idx="516">
                  <c:v>11.9</c:v>
                </c:pt>
                <c:pt idx="517">
                  <c:v>#N/A</c:v>
                </c:pt>
                <c:pt idx="518">
                  <c:v>11.7</c:v>
                </c:pt>
                <c:pt idx="519">
                  <c:v>11</c:v>
                </c:pt>
                <c:pt idx="520">
                  <c:v>10</c:v>
                </c:pt>
                <c:pt idx="521">
                  <c:v>9.1</c:v>
                </c:pt>
                <c:pt idx="522">
                  <c:v>9.8000000000000007</c:v>
                </c:pt>
                <c:pt idx="523">
                  <c:v>9.4</c:v>
                </c:pt>
                <c:pt idx="524">
                  <c:v>9.5</c:v>
                </c:pt>
                <c:pt idx="525">
                  <c:v>9.9</c:v>
                </c:pt>
                <c:pt idx="526">
                  <c:v>11</c:v>
                </c:pt>
                <c:pt idx="527">
                  <c:v>11.4</c:v>
                </c:pt>
                <c:pt idx="528">
                  <c:v>8.6999999999999993</c:v>
                </c:pt>
                <c:pt idx="529">
                  <c:v>9.4</c:v>
                </c:pt>
                <c:pt idx="530">
                  <c:v>10.3</c:v>
                </c:pt>
                <c:pt idx="531">
                  <c:v>10.3</c:v>
                </c:pt>
                <c:pt idx="532">
                  <c:v>10.3</c:v>
                </c:pt>
                <c:pt idx="533">
                  <c:v>12.8</c:v>
                </c:pt>
                <c:pt idx="534">
                  <c:v>10</c:v>
                </c:pt>
                <c:pt idx="535">
                  <c:v>10.3</c:v>
                </c:pt>
                <c:pt idx="536">
                  <c:v>9.4</c:v>
                </c:pt>
                <c:pt idx="537">
                  <c:v>10.7</c:v>
                </c:pt>
                <c:pt idx="538">
                  <c:v>#N/A</c:v>
                </c:pt>
                <c:pt idx="539">
                  <c:v>11.2</c:v>
                </c:pt>
                <c:pt idx="540">
                  <c:v>9.6</c:v>
                </c:pt>
                <c:pt idx="541">
                  <c:v>11</c:v>
                </c:pt>
                <c:pt idx="542">
                  <c:v>9.9</c:v>
                </c:pt>
                <c:pt idx="543">
                  <c:v>11</c:v>
                </c:pt>
                <c:pt idx="544">
                  <c:v>8.4</c:v>
                </c:pt>
                <c:pt idx="545">
                  <c:v>9.1</c:v>
                </c:pt>
                <c:pt idx="546">
                  <c:v>9.5</c:v>
                </c:pt>
                <c:pt idx="547">
                  <c:v>10.7</c:v>
                </c:pt>
                <c:pt idx="548">
                  <c:v>10.4</c:v>
                </c:pt>
                <c:pt idx="549">
                  <c:v>9.4</c:v>
                </c:pt>
                <c:pt idx="550">
                  <c:v>9.5</c:v>
                </c:pt>
                <c:pt idx="551">
                  <c:v>10</c:v>
                </c:pt>
                <c:pt idx="552">
                  <c:v>10</c:v>
                </c:pt>
                <c:pt idx="553">
                  <c:v>11.5</c:v>
                </c:pt>
                <c:pt idx="554">
                  <c:v>11.1</c:v>
                </c:pt>
                <c:pt idx="555">
                  <c:v>11.1</c:v>
                </c:pt>
                <c:pt idx="556">
                  <c:v>11.7</c:v>
                </c:pt>
                <c:pt idx="557">
                  <c:v>11.1</c:v>
                </c:pt>
                <c:pt idx="558">
                  <c:v>11.7</c:v>
                </c:pt>
                <c:pt idx="559">
                  <c:v>12.7</c:v>
                </c:pt>
                <c:pt idx="560">
                  <c:v>11.4</c:v>
                </c:pt>
                <c:pt idx="561">
                  <c:v>9.1999999999999993</c:v>
                </c:pt>
                <c:pt idx="562">
                  <c:v>9.1999999999999993</c:v>
                </c:pt>
                <c:pt idx="563">
                  <c:v>10.1</c:v>
                </c:pt>
                <c:pt idx="564">
                  <c:v>12.7</c:v>
                </c:pt>
                <c:pt idx="565">
                  <c:v>11.4</c:v>
                </c:pt>
                <c:pt idx="566">
                  <c:v>9</c:v>
                </c:pt>
                <c:pt idx="567">
                  <c:v>9</c:v>
                </c:pt>
                <c:pt idx="568">
                  <c:v>10.7</c:v>
                </c:pt>
                <c:pt idx="569">
                  <c:v>11.7</c:v>
                </c:pt>
                <c:pt idx="570">
                  <c:v>11</c:v>
                </c:pt>
                <c:pt idx="571">
                  <c:v>11.7</c:v>
                </c:pt>
                <c:pt idx="572">
                  <c:v>10.4</c:v>
                </c:pt>
                <c:pt idx="573">
                  <c:v>#N/A</c:v>
                </c:pt>
                <c:pt idx="574">
                  <c:v>10</c:v>
                </c:pt>
                <c:pt idx="575">
                  <c:v>10.199999999999999</c:v>
                </c:pt>
                <c:pt idx="576">
                  <c:v>#N/A</c:v>
                </c:pt>
                <c:pt idx="577">
                  <c:v>9.5</c:v>
                </c:pt>
                <c:pt idx="578">
                  <c:v>9.8000000000000007</c:v>
                </c:pt>
                <c:pt idx="579">
                  <c:v>9.8000000000000007</c:v>
                </c:pt>
                <c:pt idx="580">
                  <c:v>9.6</c:v>
                </c:pt>
                <c:pt idx="581">
                  <c:v>9.6</c:v>
                </c:pt>
                <c:pt idx="582">
                  <c:v>9.1999999999999993</c:v>
                </c:pt>
                <c:pt idx="583">
                  <c:v>#N/A</c:v>
                </c:pt>
                <c:pt idx="584">
                  <c:v>#N/A</c:v>
                </c:pt>
                <c:pt idx="585">
                  <c:v>9.6</c:v>
                </c:pt>
                <c:pt idx="586">
                  <c:v>#N/A</c:v>
                </c:pt>
                <c:pt idx="587">
                  <c:v>9.3000000000000007</c:v>
                </c:pt>
                <c:pt idx="588">
                  <c:v>#N/A</c:v>
                </c:pt>
                <c:pt idx="589">
                  <c:v>#N/A</c:v>
                </c:pt>
                <c:pt idx="590">
                  <c:v>9.6999999999999993</c:v>
                </c:pt>
                <c:pt idx="591">
                  <c:v>11.5</c:v>
                </c:pt>
                <c:pt idx="592">
                  <c:v>9.6999999999999993</c:v>
                </c:pt>
                <c:pt idx="593">
                  <c:v>9</c:v>
                </c:pt>
                <c:pt idx="594">
                  <c:v>9.5</c:v>
                </c:pt>
                <c:pt idx="595">
                  <c:v>9.3000000000000007</c:v>
                </c:pt>
                <c:pt idx="596">
                  <c:v>9.3000000000000007</c:v>
                </c:pt>
                <c:pt idx="597">
                  <c:v>10</c:v>
                </c:pt>
                <c:pt idx="598">
                  <c:v>9.8000000000000007</c:v>
                </c:pt>
                <c:pt idx="599">
                  <c:v>9.3000000000000007</c:v>
                </c:pt>
                <c:pt idx="600">
                  <c:v>#N/A</c:v>
                </c:pt>
                <c:pt idx="601">
                  <c:v>9</c:v>
                </c:pt>
                <c:pt idx="602">
                  <c:v>9.3000000000000007</c:v>
                </c:pt>
                <c:pt idx="603">
                  <c:v>9</c:v>
                </c:pt>
                <c:pt idx="604">
                  <c:v>9.1</c:v>
                </c:pt>
                <c:pt idx="605">
                  <c:v>9.1999999999999993</c:v>
                </c:pt>
                <c:pt idx="606">
                  <c:v>#N/A</c:v>
                </c:pt>
                <c:pt idx="607">
                  <c:v>10.5</c:v>
                </c:pt>
                <c:pt idx="608">
                  <c:v>10.4</c:v>
                </c:pt>
                <c:pt idx="609">
                  <c:v>12.7</c:v>
                </c:pt>
                <c:pt idx="610">
                  <c:v>9.1999999999999993</c:v>
                </c:pt>
                <c:pt idx="611">
                  <c:v>9.4</c:v>
                </c:pt>
                <c:pt idx="612">
                  <c:v>10</c:v>
                </c:pt>
                <c:pt idx="613">
                  <c:v>9.8000000000000007</c:v>
                </c:pt>
                <c:pt idx="614">
                  <c:v>10.199999999999999</c:v>
                </c:pt>
                <c:pt idx="615">
                  <c:v>9.6999999999999993</c:v>
                </c:pt>
                <c:pt idx="616">
                  <c:v>9.6999999999999993</c:v>
                </c:pt>
                <c:pt idx="617">
                  <c:v>9.8000000000000007</c:v>
                </c:pt>
                <c:pt idx="618">
                  <c:v>10.199999999999999</c:v>
                </c:pt>
                <c:pt idx="619">
                  <c:v>9.3000000000000007</c:v>
                </c:pt>
                <c:pt idx="620">
                  <c:v>9.4</c:v>
                </c:pt>
                <c:pt idx="621">
                  <c:v>9.4</c:v>
                </c:pt>
                <c:pt idx="622">
                  <c:v>9.5</c:v>
                </c:pt>
                <c:pt idx="623">
                  <c:v>12.1</c:v>
                </c:pt>
                <c:pt idx="624">
                  <c:v>10.199999999999999</c:v>
                </c:pt>
                <c:pt idx="625">
                  <c:v>10.199999999999999</c:v>
                </c:pt>
                <c:pt idx="626">
                  <c:v>9.1</c:v>
                </c:pt>
                <c:pt idx="627">
                  <c:v>9.1</c:v>
                </c:pt>
                <c:pt idx="628">
                  <c:v>9.3000000000000007</c:v>
                </c:pt>
                <c:pt idx="629">
                  <c:v>9.3000000000000007</c:v>
                </c:pt>
                <c:pt idx="630">
                  <c:v>9.3000000000000007</c:v>
                </c:pt>
                <c:pt idx="631">
                  <c:v>9.5</c:v>
                </c:pt>
                <c:pt idx="632">
                  <c:v>10.5</c:v>
                </c:pt>
                <c:pt idx="633">
                  <c:v>#N/A</c:v>
                </c:pt>
                <c:pt idx="634">
                  <c:v>9.5</c:v>
                </c:pt>
                <c:pt idx="635">
                  <c:v>9.6999999999999993</c:v>
                </c:pt>
                <c:pt idx="636">
                  <c:v>9.4</c:v>
                </c:pt>
                <c:pt idx="637">
                  <c:v>9.4</c:v>
                </c:pt>
                <c:pt idx="638">
                  <c:v>#N/A</c:v>
                </c:pt>
                <c:pt idx="639">
                  <c:v>10.3</c:v>
                </c:pt>
                <c:pt idx="640">
                  <c:v>9.4</c:v>
                </c:pt>
                <c:pt idx="641">
                  <c:v>9.5</c:v>
                </c:pt>
                <c:pt idx="642">
                  <c:v>9.4</c:v>
                </c:pt>
                <c:pt idx="643">
                  <c:v>9.5</c:v>
                </c:pt>
                <c:pt idx="644">
                  <c:v>9.4</c:v>
                </c:pt>
                <c:pt idx="645">
                  <c:v>#N/A</c:v>
                </c:pt>
                <c:pt idx="646">
                  <c:v>10.1</c:v>
                </c:pt>
                <c:pt idx="647">
                  <c:v>#N/A</c:v>
                </c:pt>
                <c:pt idx="648">
                  <c:v>#N/A</c:v>
                </c:pt>
                <c:pt idx="649">
                  <c:v>11.3</c:v>
                </c:pt>
                <c:pt idx="650">
                  <c:v>9.6</c:v>
                </c:pt>
                <c:pt idx="651">
                  <c:v>11.2</c:v>
                </c:pt>
                <c:pt idx="652">
                  <c:v>14.9</c:v>
                </c:pt>
                <c:pt idx="653">
                  <c:v>12</c:v>
                </c:pt>
                <c:pt idx="654">
                  <c:v>9.5</c:v>
                </c:pt>
                <c:pt idx="655">
                  <c:v>9.4</c:v>
                </c:pt>
                <c:pt idx="656">
                  <c:v>9.6</c:v>
                </c:pt>
                <c:pt idx="657">
                  <c:v>#N/A</c:v>
                </c:pt>
                <c:pt idx="658">
                  <c:v>9.6</c:v>
                </c:pt>
                <c:pt idx="659">
                  <c:v>#N/A</c:v>
                </c:pt>
                <c:pt idx="660">
                  <c:v>9.6</c:v>
                </c:pt>
                <c:pt idx="661">
                  <c:v>9</c:v>
                </c:pt>
                <c:pt idx="662">
                  <c:v>9.6</c:v>
                </c:pt>
                <c:pt idx="663">
                  <c:v>10.199999999999999</c:v>
                </c:pt>
                <c:pt idx="664">
                  <c:v>10.199999999999999</c:v>
                </c:pt>
                <c:pt idx="665">
                  <c:v>9.6999999999999993</c:v>
                </c:pt>
                <c:pt idx="666">
                  <c:v>9.5</c:v>
                </c:pt>
                <c:pt idx="667">
                  <c:v>9.1999999999999993</c:v>
                </c:pt>
                <c:pt idx="668">
                  <c:v>11</c:v>
                </c:pt>
                <c:pt idx="669">
                  <c:v>9.1999999999999993</c:v>
                </c:pt>
                <c:pt idx="670">
                  <c:v>10</c:v>
                </c:pt>
                <c:pt idx="671">
                  <c:v>9.5</c:v>
                </c:pt>
                <c:pt idx="672">
                  <c:v>9.5</c:v>
                </c:pt>
                <c:pt idx="673">
                  <c:v>9.5</c:v>
                </c:pt>
                <c:pt idx="674">
                  <c:v>9.3000000000000007</c:v>
                </c:pt>
                <c:pt idx="675">
                  <c:v>10.199999999999999</c:v>
                </c:pt>
                <c:pt idx="676">
                  <c:v>9.3000000000000007</c:v>
                </c:pt>
                <c:pt idx="677">
                  <c:v>9.9</c:v>
                </c:pt>
                <c:pt idx="678">
                  <c:v>10</c:v>
                </c:pt>
                <c:pt idx="679">
                  <c:v>9.6</c:v>
                </c:pt>
                <c:pt idx="680">
                  <c:v>9</c:v>
                </c:pt>
                <c:pt idx="681">
                  <c:v>10.199999999999999</c:v>
                </c:pt>
                <c:pt idx="682">
                  <c:v>9.8000000000000007</c:v>
                </c:pt>
                <c:pt idx="683">
                  <c:v>11.3</c:v>
                </c:pt>
                <c:pt idx="684">
                  <c:v>9.4</c:v>
                </c:pt>
                <c:pt idx="685">
                  <c:v>11.3</c:v>
                </c:pt>
                <c:pt idx="686">
                  <c:v>9.1</c:v>
                </c:pt>
                <c:pt idx="687">
                  <c:v>9.6999999999999993</c:v>
                </c:pt>
                <c:pt idx="688">
                  <c:v>9.4</c:v>
                </c:pt>
                <c:pt idx="689">
                  <c:v>9.4</c:v>
                </c:pt>
                <c:pt idx="690">
                  <c:v>#N/A</c:v>
                </c:pt>
                <c:pt idx="691">
                  <c:v>9.8000000000000007</c:v>
                </c:pt>
                <c:pt idx="692">
                  <c:v>9</c:v>
                </c:pt>
                <c:pt idx="693">
                  <c:v>9.4</c:v>
                </c:pt>
                <c:pt idx="694">
                  <c:v>9.4</c:v>
                </c:pt>
                <c:pt idx="695">
                  <c:v>12.8</c:v>
                </c:pt>
                <c:pt idx="696">
                  <c:v>9.5</c:v>
                </c:pt>
                <c:pt idx="697">
                  <c:v>9.5</c:v>
                </c:pt>
                <c:pt idx="698">
                  <c:v>9.6999999999999993</c:v>
                </c:pt>
                <c:pt idx="699">
                  <c:v>10.8</c:v>
                </c:pt>
                <c:pt idx="700">
                  <c:v>10.1</c:v>
                </c:pt>
                <c:pt idx="701">
                  <c:v>9.5</c:v>
                </c:pt>
                <c:pt idx="702">
                  <c:v>9.4</c:v>
                </c:pt>
                <c:pt idx="703">
                  <c:v>#N/A</c:v>
                </c:pt>
                <c:pt idx="704">
                  <c:v>#N/A</c:v>
                </c:pt>
                <c:pt idx="705">
                  <c:v>9.9</c:v>
                </c:pt>
                <c:pt idx="706">
                  <c:v>10</c:v>
                </c:pt>
                <c:pt idx="707">
                  <c:v>10.5</c:v>
                </c:pt>
                <c:pt idx="708">
                  <c:v>11.6</c:v>
                </c:pt>
                <c:pt idx="709">
                  <c:v>10</c:v>
                </c:pt>
                <c:pt idx="710">
                  <c:v>10.1</c:v>
                </c:pt>
                <c:pt idx="711">
                  <c:v>9.5</c:v>
                </c:pt>
                <c:pt idx="712">
                  <c:v>9.4</c:v>
                </c:pt>
                <c:pt idx="713">
                  <c:v>9.4</c:v>
                </c:pt>
                <c:pt idx="714">
                  <c:v>9.8000000000000007</c:v>
                </c:pt>
                <c:pt idx="715">
                  <c:v>9.1999999999999993</c:v>
                </c:pt>
                <c:pt idx="716">
                  <c:v>9.4</c:v>
                </c:pt>
                <c:pt idx="717">
                  <c:v>10</c:v>
                </c:pt>
                <c:pt idx="718">
                  <c:v>9.6</c:v>
                </c:pt>
                <c:pt idx="719">
                  <c:v>9.5</c:v>
                </c:pt>
                <c:pt idx="720">
                  <c:v>9.6</c:v>
                </c:pt>
                <c:pt idx="721">
                  <c:v>9.1999999999999993</c:v>
                </c:pt>
                <c:pt idx="722">
                  <c:v>10</c:v>
                </c:pt>
                <c:pt idx="723">
                  <c:v>9.5</c:v>
                </c:pt>
                <c:pt idx="724">
                  <c:v>#N/A</c:v>
                </c:pt>
                <c:pt idx="725">
                  <c:v>10.4</c:v>
                </c:pt>
                <c:pt idx="726">
                  <c:v>11.1</c:v>
                </c:pt>
                <c:pt idx="727">
                  <c:v>9.5</c:v>
                </c:pt>
                <c:pt idx="728">
                  <c:v>9.5</c:v>
                </c:pt>
                <c:pt idx="729">
                  <c:v>12.7</c:v>
                </c:pt>
                <c:pt idx="730">
                  <c:v>9.6</c:v>
                </c:pt>
                <c:pt idx="731">
                  <c:v>11.5</c:v>
                </c:pt>
                <c:pt idx="732">
                  <c:v>9.6</c:v>
                </c:pt>
                <c:pt idx="733">
                  <c:v>9.5</c:v>
                </c:pt>
                <c:pt idx="734">
                  <c:v>9.3000000000000007</c:v>
                </c:pt>
                <c:pt idx="735">
                  <c:v>9.5</c:v>
                </c:pt>
                <c:pt idx="736">
                  <c:v>9.5</c:v>
                </c:pt>
                <c:pt idx="737">
                  <c:v>9.3000000000000007</c:v>
                </c:pt>
                <c:pt idx="738">
                  <c:v>9.1999999999999993</c:v>
                </c:pt>
                <c:pt idx="739">
                  <c:v>9.3000000000000007</c:v>
                </c:pt>
                <c:pt idx="740">
                  <c:v>11.5</c:v>
                </c:pt>
                <c:pt idx="741">
                  <c:v>9.5</c:v>
                </c:pt>
                <c:pt idx="742">
                  <c:v>9.1999999999999993</c:v>
                </c:pt>
                <c:pt idx="743">
                  <c:v>10</c:v>
                </c:pt>
                <c:pt idx="744">
                  <c:v>9.5</c:v>
                </c:pt>
                <c:pt idx="745">
                  <c:v>9.5</c:v>
                </c:pt>
                <c:pt idx="746">
                  <c:v>9</c:v>
                </c:pt>
                <c:pt idx="747">
                  <c:v>9.4</c:v>
                </c:pt>
                <c:pt idx="748">
                  <c:v>9.6</c:v>
                </c:pt>
                <c:pt idx="749">
                  <c:v>9.5</c:v>
                </c:pt>
                <c:pt idx="750">
                  <c:v>9.5</c:v>
                </c:pt>
                <c:pt idx="751">
                  <c:v>9.5</c:v>
                </c:pt>
                <c:pt idx="752">
                  <c:v>9.4</c:v>
                </c:pt>
                <c:pt idx="753">
                  <c:v>9.5</c:v>
                </c:pt>
                <c:pt idx="754">
                  <c:v>9.1</c:v>
                </c:pt>
                <c:pt idx="755">
                  <c:v>10.7</c:v>
                </c:pt>
                <c:pt idx="756">
                  <c:v>11.2</c:v>
                </c:pt>
                <c:pt idx="757">
                  <c:v>9.8000000000000007</c:v>
                </c:pt>
                <c:pt idx="758">
                  <c:v>9.8000000000000007</c:v>
                </c:pt>
                <c:pt idx="759">
                  <c:v>9.1999999999999993</c:v>
                </c:pt>
                <c:pt idx="760">
                  <c:v>9.6999999999999993</c:v>
                </c:pt>
                <c:pt idx="761">
                  <c:v>9.6</c:v>
                </c:pt>
                <c:pt idx="762">
                  <c:v>10</c:v>
                </c:pt>
                <c:pt idx="763">
                  <c:v>9.6</c:v>
                </c:pt>
                <c:pt idx="764">
                  <c:v>9.5</c:v>
                </c:pt>
                <c:pt idx="765">
                  <c:v>9.5</c:v>
                </c:pt>
                <c:pt idx="766">
                  <c:v>9.4</c:v>
                </c:pt>
                <c:pt idx="767">
                  <c:v>9.5</c:v>
                </c:pt>
                <c:pt idx="768">
                  <c:v>9.6999999999999993</c:v>
                </c:pt>
                <c:pt idx="769">
                  <c:v>9.6</c:v>
                </c:pt>
                <c:pt idx="770">
                  <c:v>9.6999999999999993</c:v>
                </c:pt>
                <c:pt idx="771">
                  <c:v>9.4</c:v>
                </c:pt>
                <c:pt idx="772">
                  <c:v>9.4</c:v>
                </c:pt>
                <c:pt idx="773">
                  <c:v>9.5</c:v>
                </c:pt>
                <c:pt idx="774">
                  <c:v>9.5</c:v>
                </c:pt>
                <c:pt idx="775">
                  <c:v>10</c:v>
                </c:pt>
                <c:pt idx="776">
                  <c:v>10.3</c:v>
                </c:pt>
                <c:pt idx="777">
                  <c:v>10.3</c:v>
                </c:pt>
                <c:pt idx="778">
                  <c:v>10.5</c:v>
                </c:pt>
                <c:pt idx="779">
                  <c:v>9.8000000000000007</c:v>
                </c:pt>
                <c:pt idx="780">
                  <c:v>9.4</c:v>
                </c:pt>
                <c:pt idx="781">
                  <c:v>9.8000000000000007</c:v>
                </c:pt>
                <c:pt idx="782">
                  <c:v>10</c:v>
                </c:pt>
                <c:pt idx="783">
                  <c:v>9.8000000000000007</c:v>
                </c:pt>
                <c:pt idx="784">
                  <c:v>9.8000000000000007</c:v>
                </c:pt>
                <c:pt idx="785">
                  <c:v>9.5</c:v>
                </c:pt>
                <c:pt idx="786">
                  <c:v>9.5</c:v>
                </c:pt>
                <c:pt idx="787">
                  <c:v>10.1</c:v>
                </c:pt>
                <c:pt idx="788">
                  <c:v>10.1</c:v>
                </c:pt>
                <c:pt idx="789">
                  <c:v>9.3000000000000007</c:v>
                </c:pt>
                <c:pt idx="790">
                  <c:v>9.6999999999999993</c:v>
                </c:pt>
                <c:pt idx="791">
                  <c:v>9.6</c:v>
                </c:pt>
                <c:pt idx="792">
                  <c:v>9.6999999999999993</c:v>
                </c:pt>
                <c:pt idx="793">
                  <c:v>10.8</c:v>
                </c:pt>
                <c:pt idx="794">
                  <c:v>12.5</c:v>
                </c:pt>
                <c:pt idx="795">
                  <c:v>10.199999999999999</c:v>
                </c:pt>
                <c:pt idx="796">
                  <c:v>9.6</c:v>
                </c:pt>
                <c:pt idx="797">
                  <c:v>#N/A</c:v>
                </c:pt>
                <c:pt idx="798">
                  <c:v>10.7</c:v>
                </c:pt>
                <c:pt idx="799">
                  <c:v>10.7</c:v>
                </c:pt>
                <c:pt idx="800">
                  <c:v>9.4</c:v>
                </c:pt>
                <c:pt idx="801">
                  <c:v>10</c:v>
                </c:pt>
                <c:pt idx="802">
                  <c:v>#N/A</c:v>
                </c:pt>
                <c:pt idx="803">
                  <c:v>9.6</c:v>
                </c:pt>
                <c:pt idx="804">
                  <c:v>9.9</c:v>
                </c:pt>
                <c:pt idx="805">
                  <c:v>#N/A</c:v>
                </c:pt>
                <c:pt idx="806">
                  <c:v>#N/A</c:v>
                </c:pt>
                <c:pt idx="807">
                  <c:v>#N/A</c:v>
                </c:pt>
                <c:pt idx="808">
                  <c:v>9.1999999999999993</c:v>
                </c:pt>
                <c:pt idx="809">
                  <c:v>10.3</c:v>
                </c:pt>
                <c:pt idx="810">
                  <c:v>10.5</c:v>
                </c:pt>
                <c:pt idx="811">
                  <c:v>10.9</c:v>
                </c:pt>
                <c:pt idx="812">
                  <c:v>10.8</c:v>
                </c:pt>
                <c:pt idx="813">
                  <c:v>#N/A</c:v>
                </c:pt>
                <c:pt idx="814">
                  <c:v>11.3</c:v>
                </c:pt>
                <c:pt idx="815">
                  <c:v>10.8</c:v>
                </c:pt>
                <c:pt idx="816">
                  <c:v>10.5</c:v>
                </c:pt>
                <c:pt idx="817">
                  <c:v>11.9</c:v>
                </c:pt>
                <c:pt idx="818">
                  <c:v>9.4</c:v>
                </c:pt>
                <c:pt idx="819">
                  <c:v>9.6</c:v>
                </c:pt>
                <c:pt idx="820">
                  <c:v>9.6999999999999993</c:v>
                </c:pt>
                <c:pt idx="821">
                  <c:v>#N/A</c:v>
                </c:pt>
                <c:pt idx="822">
                  <c:v>9.8000000000000007</c:v>
                </c:pt>
                <c:pt idx="823">
                  <c:v>9.8000000000000007</c:v>
                </c:pt>
                <c:pt idx="824">
                  <c:v>10.3</c:v>
                </c:pt>
                <c:pt idx="825">
                  <c:v>10.7</c:v>
                </c:pt>
                <c:pt idx="826">
                  <c:v>#N/A</c:v>
                </c:pt>
                <c:pt idx="827">
                  <c:v>10.7</c:v>
                </c:pt>
                <c:pt idx="828">
                  <c:v>#N/A</c:v>
                </c:pt>
                <c:pt idx="829">
                  <c:v>11.1</c:v>
                </c:pt>
                <c:pt idx="830">
                  <c:v>#N/A</c:v>
                </c:pt>
                <c:pt idx="831">
                  <c:v>11.1</c:v>
                </c:pt>
                <c:pt idx="832">
                  <c:v>#N/A</c:v>
                </c:pt>
                <c:pt idx="833">
                  <c:v>#N/A</c:v>
                </c:pt>
                <c:pt idx="834">
                  <c:v>9.4</c:v>
                </c:pt>
                <c:pt idx="835">
                  <c:v>9.3000000000000007</c:v>
                </c:pt>
                <c:pt idx="836">
                  <c:v>#N/A</c:v>
                </c:pt>
                <c:pt idx="837">
                  <c:v>#N/A</c:v>
                </c:pt>
                <c:pt idx="838">
                  <c:v>#N/A</c:v>
                </c:pt>
                <c:pt idx="839">
                  <c:v>10</c:v>
                </c:pt>
                <c:pt idx="840">
                  <c:v>#N/A</c:v>
                </c:pt>
                <c:pt idx="841">
                  <c:v>10.3</c:v>
                </c:pt>
                <c:pt idx="842">
                  <c:v>10.9</c:v>
                </c:pt>
                <c:pt idx="843">
                  <c:v>9.4</c:v>
                </c:pt>
                <c:pt idx="844">
                  <c:v>10.6</c:v>
                </c:pt>
                <c:pt idx="845">
                  <c:v>9.8000000000000007</c:v>
                </c:pt>
                <c:pt idx="846">
                  <c:v>9.8000000000000007</c:v>
                </c:pt>
                <c:pt idx="847">
                  <c:v>9.9</c:v>
                </c:pt>
                <c:pt idx="848">
                  <c:v>9.8000000000000007</c:v>
                </c:pt>
                <c:pt idx="849">
                  <c:v>9.8000000000000007</c:v>
                </c:pt>
                <c:pt idx="850">
                  <c:v>9.5</c:v>
                </c:pt>
                <c:pt idx="851">
                  <c:v>9.5</c:v>
                </c:pt>
                <c:pt idx="852">
                  <c:v>9.6999999999999993</c:v>
                </c:pt>
                <c:pt idx="853">
                  <c:v>10.9</c:v>
                </c:pt>
                <c:pt idx="854">
                  <c:v>10.9</c:v>
                </c:pt>
                <c:pt idx="855">
                  <c:v>#N/A</c:v>
                </c:pt>
                <c:pt idx="856">
                  <c:v>10.9</c:v>
                </c:pt>
                <c:pt idx="857">
                  <c:v>#N/A</c:v>
                </c:pt>
                <c:pt idx="858">
                  <c:v>#N/A</c:v>
                </c:pt>
                <c:pt idx="859">
                  <c:v>11.2</c:v>
                </c:pt>
                <c:pt idx="860">
                  <c:v>9.5</c:v>
                </c:pt>
                <c:pt idx="861">
                  <c:v>11.5</c:v>
                </c:pt>
                <c:pt idx="862">
                  <c:v>10.4</c:v>
                </c:pt>
                <c:pt idx="863">
                  <c:v>9.6999999999999993</c:v>
                </c:pt>
                <c:pt idx="864">
                  <c:v>9.5</c:v>
                </c:pt>
                <c:pt idx="865">
                  <c:v>9.6999999999999993</c:v>
                </c:pt>
                <c:pt idx="866">
                  <c:v>11.3</c:v>
                </c:pt>
                <c:pt idx="867">
                  <c:v>11.2</c:v>
                </c:pt>
                <c:pt idx="868">
                  <c:v>11.2</c:v>
                </c:pt>
                <c:pt idx="869">
                  <c:v>10.9</c:v>
                </c:pt>
                <c:pt idx="870">
                  <c:v>11.8</c:v>
                </c:pt>
                <c:pt idx="871">
                  <c:v>10.6</c:v>
                </c:pt>
                <c:pt idx="872">
                  <c:v>#N/A</c:v>
                </c:pt>
                <c:pt idx="873">
                  <c:v>#N/A</c:v>
                </c:pt>
                <c:pt idx="874">
                  <c:v>#N/A</c:v>
                </c:pt>
                <c:pt idx="875">
                  <c:v>#N/A</c:v>
                </c:pt>
                <c:pt idx="876">
                  <c:v>#N/A</c:v>
                </c:pt>
                <c:pt idx="877">
                  <c:v>11.8</c:v>
                </c:pt>
                <c:pt idx="878">
                  <c:v>10</c:v>
                </c:pt>
                <c:pt idx="879">
                  <c:v>9.5</c:v>
                </c:pt>
                <c:pt idx="880">
                  <c:v>9.9</c:v>
                </c:pt>
                <c:pt idx="881">
                  <c:v>11.4</c:v>
                </c:pt>
                <c:pt idx="882">
                  <c:v>12</c:v>
                </c:pt>
                <c:pt idx="883">
                  <c:v>9.5</c:v>
                </c:pt>
                <c:pt idx="884">
                  <c:v>10</c:v>
                </c:pt>
                <c:pt idx="885">
                  <c:v>10.5</c:v>
                </c:pt>
                <c:pt idx="886">
                  <c:v>10.4</c:v>
                </c:pt>
                <c:pt idx="887">
                  <c:v>#N/A</c:v>
                </c:pt>
                <c:pt idx="888">
                  <c:v>11.2</c:v>
                </c:pt>
                <c:pt idx="889">
                  <c:v>9.3000000000000007</c:v>
                </c:pt>
                <c:pt idx="890">
                  <c:v>10.1</c:v>
                </c:pt>
                <c:pt idx="891">
                  <c:v>9.6999999999999993</c:v>
                </c:pt>
                <c:pt idx="892">
                  <c:v>9.3000000000000007</c:v>
                </c:pt>
                <c:pt idx="893">
                  <c:v>9.6999999999999993</c:v>
                </c:pt>
                <c:pt idx="894">
                  <c:v>9.8000000000000007</c:v>
                </c:pt>
                <c:pt idx="895">
                  <c:v>10.7</c:v>
                </c:pt>
                <c:pt idx="896">
                  <c:v>#N/A</c:v>
                </c:pt>
                <c:pt idx="897">
                  <c:v>10.7</c:v>
                </c:pt>
                <c:pt idx="898">
                  <c:v>#N/A</c:v>
                </c:pt>
                <c:pt idx="899">
                  <c:v>#N/A</c:v>
                </c:pt>
                <c:pt idx="900">
                  <c:v>11.8</c:v>
                </c:pt>
                <c:pt idx="901">
                  <c:v>#N/A</c:v>
                </c:pt>
                <c:pt idx="902">
                  <c:v>#N/A</c:v>
                </c:pt>
                <c:pt idx="903">
                  <c:v>#N/A</c:v>
                </c:pt>
                <c:pt idx="904">
                  <c:v>#N/A</c:v>
                </c:pt>
                <c:pt idx="905">
                  <c:v>9.5</c:v>
                </c:pt>
                <c:pt idx="906">
                  <c:v>11</c:v>
                </c:pt>
                <c:pt idx="907">
                  <c:v>11.5</c:v>
                </c:pt>
                <c:pt idx="908">
                  <c:v>10.8</c:v>
                </c:pt>
                <c:pt idx="909">
                  <c:v>11.5</c:v>
                </c:pt>
                <c:pt idx="910">
                  <c:v>13.2</c:v>
                </c:pt>
                <c:pt idx="911">
                  <c:v>10.9</c:v>
                </c:pt>
                <c:pt idx="912">
                  <c:v>12.2</c:v>
                </c:pt>
                <c:pt idx="913">
                  <c:v>#N/A</c:v>
                </c:pt>
                <c:pt idx="914">
                  <c:v>11.5</c:v>
                </c:pt>
                <c:pt idx="915">
                  <c:v>11.9</c:v>
                </c:pt>
                <c:pt idx="916">
                  <c:v>11</c:v>
                </c:pt>
                <c:pt idx="917">
                  <c:v>10.1</c:v>
                </c:pt>
                <c:pt idx="918">
                  <c:v>11</c:v>
                </c:pt>
                <c:pt idx="919">
                  <c:v>11.8</c:v>
                </c:pt>
                <c:pt idx="920">
                  <c:v>10.5</c:v>
                </c:pt>
                <c:pt idx="921">
                  <c:v>11</c:v>
                </c:pt>
                <c:pt idx="922">
                  <c:v>11.8</c:v>
                </c:pt>
                <c:pt idx="923">
                  <c:v>10.1</c:v>
                </c:pt>
                <c:pt idx="924">
                  <c:v>11.2</c:v>
                </c:pt>
                <c:pt idx="925">
                  <c:v>#N/A</c:v>
                </c:pt>
                <c:pt idx="926">
                  <c:v>10.199999999999999</c:v>
                </c:pt>
                <c:pt idx="927">
                  <c:v>#N/A</c:v>
                </c:pt>
                <c:pt idx="928">
                  <c:v>11.2</c:v>
                </c:pt>
                <c:pt idx="929">
                  <c:v>#N/A</c:v>
                </c:pt>
                <c:pt idx="930">
                  <c:v>10.5</c:v>
                </c:pt>
                <c:pt idx="931">
                  <c:v>9.8000000000000007</c:v>
                </c:pt>
                <c:pt idx="932">
                  <c:v>9.5</c:v>
                </c:pt>
                <c:pt idx="933">
                  <c:v>9.8000000000000007</c:v>
                </c:pt>
                <c:pt idx="934">
                  <c:v>10.5</c:v>
                </c:pt>
                <c:pt idx="935">
                  <c:v>11.8</c:v>
                </c:pt>
                <c:pt idx="936">
                  <c:v>11.8</c:v>
                </c:pt>
                <c:pt idx="937">
                  <c:v>#N/A</c:v>
                </c:pt>
                <c:pt idx="938">
                  <c:v>#N/A</c:v>
                </c:pt>
                <c:pt idx="939">
                  <c:v>11.4</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12.2</c:v>
                </c:pt>
                <c:pt idx="955">
                  <c:v>10.4</c:v>
                </c:pt>
                <c:pt idx="956">
                  <c:v>11.3</c:v>
                </c:pt>
                <c:pt idx="957">
                  <c:v>11.1</c:v>
                </c:pt>
                <c:pt idx="958">
                  <c:v>#N/A</c:v>
                </c:pt>
                <c:pt idx="959">
                  <c:v>10</c:v>
                </c:pt>
                <c:pt idx="960">
                  <c:v>11.1</c:v>
                </c:pt>
                <c:pt idx="961">
                  <c:v>9.3000000000000007</c:v>
                </c:pt>
                <c:pt idx="962">
                  <c:v>9.5</c:v>
                </c:pt>
                <c:pt idx="963">
                  <c:v>11.2</c:v>
                </c:pt>
                <c:pt idx="964">
                  <c:v>11.1</c:v>
                </c:pt>
                <c:pt idx="965">
                  <c:v>11</c:v>
                </c:pt>
                <c:pt idx="966">
                  <c:v>#N/A</c:v>
                </c:pt>
                <c:pt idx="967">
                  <c:v>9.1999999999999993</c:v>
                </c:pt>
                <c:pt idx="968">
                  <c:v>12.2</c:v>
                </c:pt>
                <c:pt idx="969">
                  <c:v>10.199999999999999</c:v>
                </c:pt>
                <c:pt idx="970">
                  <c:v>10.9</c:v>
                </c:pt>
                <c:pt idx="971">
                  <c:v>10.9</c:v>
                </c:pt>
                <c:pt idx="972">
                  <c:v>#N/A</c:v>
                </c:pt>
                <c:pt idx="973">
                  <c:v>10.7</c:v>
                </c:pt>
                <c:pt idx="974">
                  <c:v>#N/A</c:v>
                </c:pt>
                <c:pt idx="975">
                  <c:v>9.4</c:v>
                </c:pt>
                <c:pt idx="976">
                  <c:v>9.4</c:v>
                </c:pt>
                <c:pt idx="977">
                  <c:v>9.1</c:v>
                </c:pt>
                <c:pt idx="978">
                  <c:v>#N/A</c:v>
                </c:pt>
                <c:pt idx="979">
                  <c:v>10.4</c:v>
                </c:pt>
                <c:pt idx="980">
                  <c:v>10.5</c:v>
                </c:pt>
                <c:pt idx="981">
                  <c:v>10</c:v>
                </c:pt>
                <c:pt idx="982">
                  <c:v>12.9</c:v>
                </c:pt>
                <c:pt idx="983">
                  <c:v>10.5</c:v>
                </c:pt>
                <c:pt idx="984">
                  <c:v>10.4</c:v>
                </c:pt>
                <c:pt idx="985">
                  <c:v>11.3</c:v>
                </c:pt>
                <c:pt idx="986">
                  <c:v>#N/A</c:v>
                </c:pt>
                <c:pt idx="987">
                  <c:v>9.4</c:v>
                </c:pt>
                <c:pt idx="988">
                  <c:v>9.4</c:v>
                </c:pt>
                <c:pt idx="989">
                  <c:v>10.9</c:v>
                </c:pt>
                <c:pt idx="990">
                  <c:v>9.4</c:v>
                </c:pt>
                <c:pt idx="991">
                  <c:v>9.4</c:v>
                </c:pt>
                <c:pt idx="992">
                  <c:v>9.4</c:v>
                </c:pt>
                <c:pt idx="993">
                  <c:v>9.4</c:v>
                </c:pt>
                <c:pt idx="994">
                  <c:v>9.4</c:v>
                </c:pt>
                <c:pt idx="995">
                  <c:v>10.1</c:v>
                </c:pt>
                <c:pt idx="996">
                  <c:v>#N/A</c:v>
                </c:pt>
                <c:pt idx="997">
                  <c:v>#N/A</c:v>
                </c:pt>
                <c:pt idx="998">
                  <c:v>9.1</c:v>
                </c:pt>
                <c:pt idx="999">
                  <c:v>12.9</c:v>
                </c:pt>
                <c:pt idx="1000">
                  <c:v>#N/A</c:v>
                </c:pt>
                <c:pt idx="1001">
                  <c:v>#N/A</c:v>
                </c:pt>
                <c:pt idx="1002">
                  <c:v>#N/A</c:v>
                </c:pt>
                <c:pt idx="1003">
                  <c:v>#N/A</c:v>
                </c:pt>
                <c:pt idx="1004">
                  <c:v>10.3</c:v>
                </c:pt>
                <c:pt idx="1005">
                  <c:v>#N/A</c:v>
                </c:pt>
                <c:pt idx="1006">
                  <c:v>#N/A</c:v>
                </c:pt>
                <c:pt idx="1007">
                  <c:v>#N/A</c:v>
                </c:pt>
                <c:pt idx="1008">
                  <c:v>#N/A</c:v>
                </c:pt>
                <c:pt idx="1009">
                  <c:v>10.9</c:v>
                </c:pt>
                <c:pt idx="1010">
                  <c:v>#N/A</c:v>
                </c:pt>
                <c:pt idx="1011">
                  <c:v>10.4</c:v>
                </c:pt>
                <c:pt idx="1012">
                  <c:v>10</c:v>
                </c:pt>
                <c:pt idx="1013">
                  <c:v>10</c:v>
                </c:pt>
                <c:pt idx="1014">
                  <c:v>11.2</c:v>
                </c:pt>
                <c:pt idx="1015">
                  <c:v>11.4</c:v>
                </c:pt>
                <c:pt idx="1016">
                  <c:v>#N/A</c:v>
                </c:pt>
                <c:pt idx="1017">
                  <c:v>12.7</c:v>
                </c:pt>
                <c:pt idx="1018">
                  <c:v>12.7</c:v>
                </c:pt>
                <c:pt idx="1019">
                  <c:v>10.4</c:v>
                </c:pt>
                <c:pt idx="1020">
                  <c:v>11.9</c:v>
                </c:pt>
                <c:pt idx="1021">
                  <c:v>11.9</c:v>
                </c:pt>
                <c:pt idx="1022">
                  <c:v>10.5</c:v>
                </c:pt>
                <c:pt idx="1023">
                  <c:v>12.3</c:v>
                </c:pt>
                <c:pt idx="1024">
                  <c:v>#N/A</c:v>
                </c:pt>
                <c:pt idx="1025">
                  <c:v>10.4</c:v>
                </c:pt>
                <c:pt idx="1026">
                  <c:v>12.6</c:v>
                </c:pt>
                <c:pt idx="1027">
                  <c:v>11.6</c:v>
                </c:pt>
                <c:pt idx="1028">
                  <c:v>10.1</c:v>
                </c:pt>
                <c:pt idx="1029">
                  <c:v>#N/A</c:v>
                </c:pt>
                <c:pt idx="1030">
                  <c:v>#N/A</c:v>
                </c:pt>
                <c:pt idx="1031">
                  <c:v>#N/A</c:v>
                </c:pt>
                <c:pt idx="1032">
                  <c:v>9.6</c:v>
                </c:pt>
                <c:pt idx="1033">
                  <c:v>10.4</c:v>
                </c:pt>
                <c:pt idx="1034">
                  <c:v>9.6999999999999993</c:v>
                </c:pt>
                <c:pt idx="1035">
                  <c:v>#N/A</c:v>
                </c:pt>
                <c:pt idx="1036">
                  <c:v>#N/A</c:v>
                </c:pt>
                <c:pt idx="1037">
                  <c:v>9.1999999999999993</c:v>
                </c:pt>
                <c:pt idx="1038">
                  <c:v>#N/A</c:v>
                </c:pt>
                <c:pt idx="1039">
                  <c:v>11.1</c:v>
                </c:pt>
                <c:pt idx="1040">
                  <c:v>10.199999999999999</c:v>
                </c:pt>
                <c:pt idx="1041">
                  <c:v>9.8000000000000007</c:v>
                </c:pt>
                <c:pt idx="1042">
                  <c:v>11.1</c:v>
                </c:pt>
                <c:pt idx="1043">
                  <c:v>#N/A</c:v>
                </c:pt>
                <c:pt idx="1044">
                  <c:v>12.2</c:v>
                </c:pt>
                <c:pt idx="1045">
                  <c:v>11.4</c:v>
                </c:pt>
                <c:pt idx="1046">
                  <c:v>10.7</c:v>
                </c:pt>
                <c:pt idx="1047">
                  <c:v>10.4</c:v>
                </c:pt>
                <c:pt idx="1048">
                  <c:v>10.9</c:v>
                </c:pt>
                <c:pt idx="1049">
                  <c:v>10.8</c:v>
                </c:pt>
                <c:pt idx="1050">
                  <c:v>10.4</c:v>
                </c:pt>
                <c:pt idx="1051">
                  <c:v>9.1999999999999993</c:v>
                </c:pt>
                <c:pt idx="1052">
                  <c:v>12.9</c:v>
                </c:pt>
                <c:pt idx="1053">
                  <c:v>#N/A</c:v>
                </c:pt>
                <c:pt idx="1054">
                  <c:v>9.1</c:v>
                </c:pt>
                <c:pt idx="1055">
                  <c:v>9.1</c:v>
                </c:pt>
                <c:pt idx="1056">
                  <c:v>#N/A</c:v>
                </c:pt>
                <c:pt idx="1057">
                  <c:v>9.1</c:v>
                </c:pt>
                <c:pt idx="1058">
                  <c:v>#N/A</c:v>
                </c:pt>
                <c:pt idx="1059">
                  <c:v>#N/A</c:v>
                </c:pt>
                <c:pt idx="1060">
                  <c:v>9.9</c:v>
                </c:pt>
                <c:pt idx="1061">
                  <c:v>#N/A</c:v>
                </c:pt>
                <c:pt idx="1062">
                  <c:v>11.4</c:v>
                </c:pt>
                <c:pt idx="1063">
                  <c:v>11.8</c:v>
                </c:pt>
                <c:pt idx="1064">
                  <c:v>11.8</c:v>
                </c:pt>
                <c:pt idx="1065">
                  <c:v>10.199999999999999</c:v>
                </c:pt>
                <c:pt idx="1066">
                  <c:v>#N/A</c:v>
                </c:pt>
                <c:pt idx="1067">
                  <c:v>#N/A</c:v>
                </c:pt>
                <c:pt idx="1068">
                  <c:v>#N/A</c:v>
                </c:pt>
                <c:pt idx="1069">
                  <c:v>10.8</c:v>
                </c:pt>
                <c:pt idx="1070">
                  <c:v>#N/A</c:v>
                </c:pt>
                <c:pt idx="1071">
                  <c:v>9.1999999999999993</c:v>
                </c:pt>
                <c:pt idx="1072">
                  <c:v>9.5</c:v>
                </c:pt>
                <c:pt idx="1073">
                  <c:v>10.7</c:v>
                </c:pt>
                <c:pt idx="1074">
                  <c:v>9.1999999999999993</c:v>
                </c:pt>
                <c:pt idx="1075">
                  <c:v>#N/A</c:v>
                </c:pt>
                <c:pt idx="1076">
                  <c:v>11.4</c:v>
                </c:pt>
                <c:pt idx="1077">
                  <c:v>11</c:v>
                </c:pt>
                <c:pt idx="1078">
                  <c:v>11</c:v>
                </c:pt>
                <c:pt idx="1079">
                  <c:v>#N/A</c:v>
                </c:pt>
                <c:pt idx="1080">
                  <c:v>11.8</c:v>
                </c:pt>
                <c:pt idx="1081">
                  <c:v>#N/A</c:v>
                </c:pt>
                <c:pt idx="1082">
                  <c:v>9.5</c:v>
                </c:pt>
                <c:pt idx="1083">
                  <c:v>12</c:v>
                </c:pt>
                <c:pt idx="1084">
                  <c:v>9.5</c:v>
                </c:pt>
                <c:pt idx="1085">
                  <c:v>9.6</c:v>
                </c:pt>
                <c:pt idx="1086">
                  <c:v>#N/A</c:v>
                </c:pt>
                <c:pt idx="1087">
                  <c:v>11.2</c:v>
                </c:pt>
                <c:pt idx="1088">
                  <c:v>#N/A</c:v>
                </c:pt>
                <c:pt idx="1089">
                  <c:v>#N/A</c:v>
                </c:pt>
                <c:pt idx="1090">
                  <c:v>#N/A</c:v>
                </c:pt>
                <c:pt idx="1091">
                  <c:v>11.4</c:v>
                </c:pt>
                <c:pt idx="1092">
                  <c:v>11.5</c:v>
                </c:pt>
                <c:pt idx="1093">
                  <c:v>#N/A</c:v>
                </c:pt>
                <c:pt idx="1094">
                  <c:v>10.8</c:v>
                </c:pt>
                <c:pt idx="1095">
                  <c:v>10.5</c:v>
                </c:pt>
                <c:pt idx="1096">
                  <c:v>10.8</c:v>
                </c:pt>
                <c:pt idx="1097">
                  <c:v>9.4</c:v>
                </c:pt>
                <c:pt idx="1098">
                  <c:v>#N/A</c:v>
                </c:pt>
                <c:pt idx="1099">
                  <c:v>9.4</c:v>
                </c:pt>
                <c:pt idx="1100">
                  <c:v>12.4</c:v>
                </c:pt>
                <c:pt idx="1101">
                  <c:v>12</c:v>
                </c:pt>
                <c:pt idx="1102">
                  <c:v>11.2</c:v>
                </c:pt>
                <c:pt idx="1103">
                  <c:v>12</c:v>
                </c:pt>
                <c:pt idx="1104">
                  <c:v>12.4</c:v>
                </c:pt>
                <c:pt idx="1105">
                  <c:v>12.8</c:v>
                </c:pt>
                <c:pt idx="1106">
                  <c:v>12.3</c:v>
                </c:pt>
                <c:pt idx="1107">
                  <c:v>#N/A</c:v>
                </c:pt>
                <c:pt idx="1108">
                  <c:v>9.5</c:v>
                </c:pt>
                <c:pt idx="1109">
                  <c:v>10.8</c:v>
                </c:pt>
                <c:pt idx="1110">
                  <c:v>10</c:v>
                </c:pt>
                <c:pt idx="1111">
                  <c:v>#N/A</c:v>
                </c:pt>
                <c:pt idx="1112">
                  <c:v>11</c:v>
                </c:pt>
                <c:pt idx="1113">
                  <c:v>9.5</c:v>
                </c:pt>
                <c:pt idx="1114">
                  <c:v>13.6</c:v>
                </c:pt>
                <c:pt idx="1115">
                  <c:v>11.3</c:v>
                </c:pt>
                <c:pt idx="1116">
                  <c:v>11.3</c:v>
                </c:pt>
                <c:pt idx="1117">
                  <c:v>11.3</c:v>
                </c:pt>
                <c:pt idx="1118">
                  <c:v>13.3</c:v>
                </c:pt>
                <c:pt idx="1119">
                  <c:v>12.9</c:v>
                </c:pt>
                <c:pt idx="1120">
                  <c:v>#N/A</c:v>
                </c:pt>
                <c:pt idx="1121">
                  <c:v>12.3</c:v>
                </c:pt>
                <c:pt idx="1122">
                  <c:v>12.3</c:v>
                </c:pt>
                <c:pt idx="1123">
                  <c:v>11.2</c:v>
                </c:pt>
                <c:pt idx="1124">
                  <c:v>#N/A</c:v>
                </c:pt>
                <c:pt idx="1125">
                  <c:v>#N/A</c:v>
                </c:pt>
                <c:pt idx="1126">
                  <c:v>13.5</c:v>
                </c:pt>
                <c:pt idx="1127">
                  <c:v>11.5</c:v>
                </c:pt>
                <c:pt idx="1128">
                  <c:v>10</c:v>
                </c:pt>
                <c:pt idx="1129">
                  <c:v>10.5</c:v>
                </c:pt>
                <c:pt idx="1130">
                  <c:v>10.4</c:v>
                </c:pt>
                <c:pt idx="1131">
                  <c:v>9.5</c:v>
                </c:pt>
                <c:pt idx="1132">
                  <c:v>#N/A</c:v>
                </c:pt>
                <c:pt idx="1133">
                  <c:v>#N/A</c:v>
                </c:pt>
                <c:pt idx="1134">
                  <c:v>#N/A</c:v>
                </c:pt>
                <c:pt idx="1135">
                  <c:v>11.9</c:v>
                </c:pt>
                <c:pt idx="1136">
                  <c:v>11.4</c:v>
                </c:pt>
                <c:pt idx="1137">
                  <c:v>11.4</c:v>
                </c:pt>
                <c:pt idx="1138">
                  <c:v>9.1</c:v>
                </c:pt>
                <c:pt idx="1139">
                  <c:v>9.5</c:v>
                </c:pt>
                <c:pt idx="1140">
                  <c:v>9.5</c:v>
                </c:pt>
                <c:pt idx="1141">
                  <c:v>11</c:v>
                </c:pt>
                <c:pt idx="1142">
                  <c:v>11.4</c:v>
                </c:pt>
                <c:pt idx="1143">
                  <c:v>10</c:v>
                </c:pt>
                <c:pt idx="1144">
                  <c:v>10.1</c:v>
                </c:pt>
                <c:pt idx="1145">
                  <c:v>10.4</c:v>
                </c:pt>
                <c:pt idx="1146">
                  <c:v>9.8000000000000007</c:v>
                </c:pt>
                <c:pt idx="1147">
                  <c:v>#N/A</c:v>
                </c:pt>
                <c:pt idx="1148">
                  <c:v>11.6</c:v>
                </c:pt>
                <c:pt idx="1149">
                  <c:v>12</c:v>
                </c:pt>
                <c:pt idx="1150">
                  <c:v>#N/A</c:v>
                </c:pt>
                <c:pt idx="1151">
                  <c:v>12.5</c:v>
                </c:pt>
                <c:pt idx="1152">
                  <c:v>9.8000000000000007</c:v>
                </c:pt>
                <c:pt idx="1153">
                  <c:v>11.1</c:v>
                </c:pt>
                <c:pt idx="1154">
                  <c:v>11.4</c:v>
                </c:pt>
                <c:pt idx="1155">
                  <c:v>9.8000000000000007</c:v>
                </c:pt>
                <c:pt idx="1156">
                  <c:v>#N/A</c:v>
                </c:pt>
                <c:pt idx="1157">
                  <c:v>#N/A</c:v>
                </c:pt>
                <c:pt idx="1158">
                  <c:v>10.6</c:v>
                </c:pt>
                <c:pt idx="1159">
                  <c:v>10.8</c:v>
                </c:pt>
                <c:pt idx="1160">
                  <c:v>#N/A</c:v>
                </c:pt>
                <c:pt idx="1161">
                  <c:v>10.199999999999999</c:v>
                </c:pt>
                <c:pt idx="1162">
                  <c:v>#N/A</c:v>
                </c:pt>
                <c:pt idx="1163">
                  <c:v>10</c:v>
                </c:pt>
                <c:pt idx="1164">
                  <c:v>10</c:v>
                </c:pt>
                <c:pt idx="1165">
                  <c:v>9.4</c:v>
                </c:pt>
                <c:pt idx="1166">
                  <c:v>10.199999999999999</c:v>
                </c:pt>
                <c:pt idx="1167">
                  <c:v>#N/A</c:v>
                </c:pt>
                <c:pt idx="1168">
                  <c:v>12</c:v>
                </c:pt>
                <c:pt idx="1169">
                  <c:v>11.5</c:v>
                </c:pt>
                <c:pt idx="1170">
                  <c:v>10.5</c:v>
                </c:pt>
                <c:pt idx="1171">
                  <c:v>10.8</c:v>
                </c:pt>
                <c:pt idx="1172">
                  <c:v>12.3</c:v>
                </c:pt>
                <c:pt idx="1173">
                  <c:v>9.5</c:v>
                </c:pt>
                <c:pt idx="1174">
                  <c:v>9.5</c:v>
                </c:pt>
                <c:pt idx="1175">
                  <c:v>11.5</c:v>
                </c:pt>
                <c:pt idx="1176">
                  <c:v>#N/A</c:v>
                </c:pt>
                <c:pt idx="1177">
                  <c:v>#N/A</c:v>
                </c:pt>
                <c:pt idx="1178">
                  <c:v>11.4</c:v>
                </c:pt>
                <c:pt idx="1179">
                  <c:v>11</c:v>
                </c:pt>
                <c:pt idx="1180">
                  <c:v>11</c:v>
                </c:pt>
                <c:pt idx="1181">
                  <c:v>11.4</c:v>
                </c:pt>
                <c:pt idx="1182">
                  <c:v>10.5</c:v>
                </c:pt>
                <c:pt idx="1183">
                  <c:v>9.3000000000000007</c:v>
                </c:pt>
                <c:pt idx="1184">
                  <c:v>10.9</c:v>
                </c:pt>
                <c:pt idx="1185">
                  <c:v>11.9</c:v>
                </c:pt>
                <c:pt idx="1186">
                  <c:v>12.2</c:v>
                </c:pt>
                <c:pt idx="1187">
                  <c:v>11.9</c:v>
                </c:pt>
                <c:pt idx="1188">
                  <c:v>10.9</c:v>
                </c:pt>
                <c:pt idx="1189">
                  <c:v>#N/A</c:v>
                </c:pt>
                <c:pt idx="1190">
                  <c:v>12.5</c:v>
                </c:pt>
                <c:pt idx="1191">
                  <c:v>10.8</c:v>
                </c:pt>
                <c:pt idx="1192">
                  <c:v>#N/A</c:v>
                </c:pt>
                <c:pt idx="1193">
                  <c:v>10.8</c:v>
                </c:pt>
                <c:pt idx="1194">
                  <c:v>9.5</c:v>
                </c:pt>
                <c:pt idx="1195">
                  <c:v>9.5</c:v>
                </c:pt>
                <c:pt idx="1196">
                  <c:v>9.5</c:v>
                </c:pt>
                <c:pt idx="1197">
                  <c:v>9.8000000000000007</c:v>
                </c:pt>
                <c:pt idx="1198">
                  <c:v>10.9</c:v>
                </c:pt>
                <c:pt idx="1199">
                  <c:v>9.5</c:v>
                </c:pt>
                <c:pt idx="1200">
                  <c:v>9.8000000000000007</c:v>
                </c:pt>
                <c:pt idx="1201">
                  <c:v>#N/A</c:v>
                </c:pt>
                <c:pt idx="1202">
                  <c:v>#N/A</c:v>
                </c:pt>
                <c:pt idx="1203">
                  <c:v>9.4</c:v>
                </c:pt>
                <c:pt idx="1204">
                  <c:v>#N/A</c:v>
                </c:pt>
                <c:pt idx="1205">
                  <c:v>#N/A</c:v>
                </c:pt>
                <c:pt idx="1206">
                  <c:v>#N/A</c:v>
                </c:pt>
                <c:pt idx="1207">
                  <c:v>10</c:v>
                </c:pt>
                <c:pt idx="1208">
                  <c:v>#N/A</c:v>
                </c:pt>
                <c:pt idx="1209">
                  <c:v>#N/A</c:v>
                </c:pt>
                <c:pt idx="1210">
                  <c:v>10.4</c:v>
                </c:pt>
                <c:pt idx="1211">
                  <c:v>9.3000000000000007</c:v>
                </c:pt>
                <c:pt idx="1212">
                  <c:v>10.4</c:v>
                </c:pt>
                <c:pt idx="1213">
                  <c:v>10.5</c:v>
                </c:pt>
                <c:pt idx="1214">
                  <c:v>10.4</c:v>
                </c:pt>
                <c:pt idx="1215">
                  <c:v>11.3</c:v>
                </c:pt>
                <c:pt idx="1216">
                  <c:v>9.5</c:v>
                </c:pt>
                <c:pt idx="1217">
                  <c:v>12</c:v>
                </c:pt>
                <c:pt idx="1218">
                  <c:v>10.6</c:v>
                </c:pt>
                <c:pt idx="1219">
                  <c:v>10.9</c:v>
                </c:pt>
                <c:pt idx="1220">
                  <c:v>11.5</c:v>
                </c:pt>
                <c:pt idx="1221">
                  <c:v>11.5</c:v>
                </c:pt>
                <c:pt idx="1222">
                  <c:v>9.6</c:v>
                </c:pt>
                <c:pt idx="1223">
                  <c:v>12</c:v>
                </c:pt>
                <c:pt idx="1224">
                  <c:v>10.3</c:v>
                </c:pt>
                <c:pt idx="1225">
                  <c:v>9.4</c:v>
                </c:pt>
                <c:pt idx="1226">
                  <c:v>9.1999999999999993</c:v>
                </c:pt>
                <c:pt idx="1227">
                  <c:v>9.6</c:v>
                </c:pt>
                <c:pt idx="1228">
                  <c:v>#N/A</c:v>
                </c:pt>
                <c:pt idx="1229">
                  <c:v>9.5</c:v>
                </c:pt>
                <c:pt idx="1230">
                  <c:v>11.8</c:v>
                </c:pt>
                <c:pt idx="1231">
                  <c:v>10.8</c:v>
                </c:pt>
                <c:pt idx="1232">
                  <c:v>9.5</c:v>
                </c:pt>
                <c:pt idx="1233">
                  <c:v>#N/A</c:v>
                </c:pt>
                <c:pt idx="1234">
                  <c:v>12.8</c:v>
                </c:pt>
                <c:pt idx="1235">
                  <c:v>#N/A</c:v>
                </c:pt>
                <c:pt idx="1236">
                  <c:v>9.4</c:v>
                </c:pt>
                <c:pt idx="1237">
                  <c:v>12.8</c:v>
                </c:pt>
                <c:pt idx="1238">
                  <c:v>#N/A</c:v>
                </c:pt>
                <c:pt idx="1239">
                  <c:v>#N/A</c:v>
                </c:pt>
                <c:pt idx="1240">
                  <c:v>9.3000000000000007</c:v>
                </c:pt>
                <c:pt idx="1241">
                  <c:v>9.8000000000000007</c:v>
                </c:pt>
                <c:pt idx="1242">
                  <c:v>12.2</c:v>
                </c:pt>
                <c:pt idx="1243">
                  <c:v>9.5</c:v>
                </c:pt>
                <c:pt idx="1244">
                  <c:v>10.3</c:v>
                </c:pt>
                <c:pt idx="1245">
                  <c:v>10.5</c:v>
                </c:pt>
                <c:pt idx="1246">
                  <c:v>10</c:v>
                </c:pt>
                <c:pt idx="1247">
                  <c:v>10.5</c:v>
                </c:pt>
                <c:pt idx="1248">
                  <c:v>11.1</c:v>
                </c:pt>
                <c:pt idx="1249">
                  <c:v>10.9</c:v>
                </c:pt>
                <c:pt idx="1250">
                  <c:v>10.9</c:v>
                </c:pt>
                <c:pt idx="1251">
                  <c:v>9.8000000000000007</c:v>
                </c:pt>
                <c:pt idx="1252">
                  <c:v>9.8000000000000007</c:v>
                </c:pt>
                <c:pt idx="1253">
                  <c:v>9.5</c:v>
                </c:pt>
                <c:pt idx="1254">
                  <c:v>10.9</c:v>
                </c:pt>
                <c:pt idx="1255">
                  <c:v>11</c:v>
                </c:pt>
                <c:pt idx="1256">
                  <c:v>9.1999999999999993</c:v>
                </c:pt>
                <c:pt idx="1257">
                  <c:v>11</c:v>
                </c:pt>
                <c:pt idx="1258">
                  <c:v>11.3</c:v>
                </c:pt>
                <c:pt idx="1259">
                  <c:v>11.3</c:v>
                </c:pt>
                <c:pt idx="1260">
                  <c:v>9.3000000000000007</c:v>
                </c:pt>
                <c:pt idx="1261">
                  <c:v>#N/A</c:v>
                </c:pt>
                <c:pt idx="1262">
                  <c:v>9.8000000000000007</c:v>
                </c:pt>
                <c:pt idx="1263">
                  <c:v>#N/A</c:v>
                </c:pt>
                <c:pt idx="1264">
                  <c:v>11.8</c:v>
                </c:pt>
                <c:pt idx="1265">
                  <c:v>10.3</c:v>
                </c:pt>
                <c:pt idx="1266">
                  <c:v>10.3</c:v>
                </c:pt>
                <c:pt idx="1267">
                  <c:v>11.4</c:v>
                </c:pt>
                <c:pt idx="1268">
                  <c:v>9.5</c:v>
                </c:pt>
                <c:pt idx="1269">
                  <c:v>#N/A</c:v>
                </c:pt>
                <c:pt idx="1270">
                  <c:v>14</c:v>
                </c:pt>
                <c:pt idx="1271">
                  <c:v>11.7</c:v>
                </c:pt>
                <c:pt idx="1272">
                  <c:v>11.2</c:v>
                </c:pt>
                <c:pt idx="1273">
                  <c:v>9.3000000000000007</c:v>
                </c:pt>
                <c:pt idx="1274">
                  <c:v>11.2</c:v>
                </c:pt>
                <c:pt idx="1275">
                  <c:v>9.5</c:v>
                </c:pt>
                <c:pt idx="1276">
                  <c:v>#N/A</c:v>
                </c:pt>
                <c:pt idx="1277">
                  <c:v>9.6999999999999993</c:v>
                </c:pt>
                <c:pt idx="1278">
                  <c:v>9.5</c:v>
                </c:pt>
                <c:pt idx="1279">
                  <c:v>#N/A</c:v>
                </c:pt>
                <c:pt idx="1280">
                  <c:v>10.4</c:v>
                </c:pt>
                <c:pt idx="1281">
                  <c:v>10.4</c:v>
                </c:pt>
                <c:pt idx="1282">
                  <c:v>10.9</c:v>
                </c:pt>
                <c:pt idx="1283">
                  <c:v>10.199999999999999</c:v>
                </c:pt>
                <c:pt idx="1284">
                  <c:v>10.9</c:v>
                </c:pt>
                <c:pt idx="1285">
                  <c:v>10.5</c:v>
                </c:pt>
                <c:pt idx="1286">
                  <c:v>12.4</c:v>
                </c:pt>
                <c:pt idx="1287">
                  <c:v>13</c:v>
                </c:pt>
                <c:pt idx="1288">
                  <c:v>10.199999999999999</c:v>
                </c:pt>
                <c:pt idx="1289">
                  <c:v>10.199999999999999</c:v>
                </c:pt>
                <c:pt idx="1290">
                  <c:v>11</c:v>
                </c:pt>
                <c:pt idx="1291">
                  <c:v>10.9</c:v>
                </c:pt>
                <c:pt idx="1292">
                  <c:v>12.4</c:v>
                </c:pt>
                <c:pt idx="1293">
                  <c:v>#N/A</c:v>
                </c:pt>
                <c:pt idx="1294">
                  <c:v>10.9</c:v>
                </c:pt>
                <c:pt idx="1295">
                  <c:v>9.5</c:v>
                </c:pt>
                <c:pt idx="1296">
                  <c:v>9.5</c:v>
                </c:pt>
                <c:pt idx="1297">
                  <c:v>12.1</c:v>
                </c:pt>
                <c:pt idx="1298">
                  <c:v>12.2</c:v>
                </c:pt>
                <c:pt idx="1299">
                  <c:v>#N/A</c:v>
                </c:pt>
                <c:pt idx="1300">
                  <c:v>12.5</c:v>
                </c:pt>
                <c:pt idx="1301">
                  <c:v>11.7</c:v>
                </c:pt>
                <c:pt idx="1302">
                  <c:v>11.2</c:v>
                </c:pt>
                <c:pt idx="1303">
                  <c:v>11.2</c:v>
                </c:pt>
                <c:pt idx="1304">
                  <c:v>9.1999999999999993</c:v>
                </c:pt>
                <c:pt idx="1305">
                  <c:v>9.8000000000000007</c:v>
                </c:pt>
                <c:pt idx="1306">
                  <c:v>10.1</c:v>
                </c:pt>
                <c:pt idx="1307">
                  <c:v>#N/A</c:v>
                </c:pt>
                <c:pt idx="1308">
                  <c:v>10.1</c:v>
                </c:pt>
                <c:pt idx="1309">
                  <c:v>9.1999999999999993</c:v>
                </c:pt>
                <c:pt idx="1310">
                  <c:v>9.8000000000000007</c:v>
                </c:pt>
                <c:pt idx="1311">
                  <c:v>12.8</c:v>
                </c:pt>
                <c:pt idx="1312">
                  <c:v>10.5</c:v>
                </c:pt>
                <c:pt idx="1313">
                  <c:v>10.1</c:v>
                </c:pt>
                <c:pt idx="1314">
                  <c:v>10.1</c:v>
                </c:pt>
                <c:pt idx="1315">
                  <c:v>9.8000000000000007</c:v>
                </c:pt>
                <c:pt idx="1316">
                  <c:v>12.5</c:v>
                </c:pt>
                <c:pt idx="1317">
                  <c:v>11.9</c:v>
                </c:pt>
                <c:pt idx="1318">
                  <c:v>9.8000000000000007</c:v>
                </c:pt>
                <c:pt idx="1319">
                  <c:v>9.1</c:v>
                </c:pt>
                <c:pt idx="1320">
                  <c:v>10.1</c:v>
                </c:pt>
                <c:pt idx="1321">
                  <c:v>12.5</c:v>
                </c:pt>
                <c:pt idx="1322">
                  <c:v>11.4</c:v>
                </c:pt>
                <c:pt idx="1323">
                  <c:v>#N/A</c:v>
                </c:pt>
                <c:pt idx="1324">
                  <c:v>10.6</c:v>
                </c:pt>
                <c:pt idx="1325">
                  <c:v>10.6</c:v>
                </c:pt>
                <c:pt idx="1326">
                  <c:v>10.6</c:v>
                </c:pt>
                <c:pt idx="1327">
                  <c:v>10.6</c:v>
                </c:pt>
                <c:pt idx="1328">
                  <c:v>9.3000000000000007</c:v>
                </c:pt>
                <c:pt idx="1329">
                  <c:v>9.8000000000000007</c:v>
                </c:pt>
                <c:pt idx="1330">
                  <c:v>9.8000000000000007</c:v>
                </c:pt>
                <c:pt idx="1331">
                  <c:v>9.1999999999999993</c:v>
                </c:pt>
                <c:pt idx="1332">
                  <c:v>9.6999999999999993</c:v>
                </c:pt>
                <c:pt idx="1333">
                  <c:v>9.6</c:v>
                </c:pt>
                <c:pt idx="1334">
                  <c:v>10</c:v>
                </c:pt>
                <c:pt idx="1335">
                  <c:v>12.6</c:v>
                </c:pt>
                <c:pt idx="1336">
                  <c:v>9.5</c:v>
                </c:pt>
                <c:pt idx="1337">
                  <c:v>9.5</c:v>
                </c:pt>
                <c:pt idx="1338">
                  <c:v>9.5</c:v>
                </c:pt>
                <c:pt idx="1339">
                  <c:v>10.5</c:v>
                </c:pt>
                <c:pt idx="1340">
                  <c:v>10.5</c:v>
                </c:pt>
                <c:pt idx="1341">
                  <c:v>10.5</c:v>
                </c:pt>
                <c:pt idx="1342">
                  <c:v>10.4</c:v>
                </c:pt>
                <c:pt idx="1343">
                  <c:v>10.5</c:v>
                </c:pt>
                <c:pt idx="1344">
                  <c:v>11</c:v>
                </c:pt>
                <c:pt idx="1345">
                  <c:v>10.199999999999999</c:v>
                </c:pt>
                <c:pt idx="1346">
                  <c:v>11.4</c:v>
                </c:pt>
                <c:pt idx="1347">
                  <c:v>9.5</c:v>
                </c:pt>
                <c:pt idx="1348">
                  <c:v>9.5</c:v>
                </c:pt>
                <c:pt idx="1349">
                  <c:v>10.8</c:v>
                </c:pt>
                <c:pt idx="1350">
                  <c:v>10</c:v>
                </c:pt>
                <c:pt idx="1351">
                  <c:v>11.8</c:v>
                </c:pt>
                <c:pt idx="1352">
                  <c:v>10.3</c:v>
                </c:pt>
                <c:pt idx="1353">
                  <c:v>10.3</c:v>
                </c:pt>
                <c:pt idx="1354">
                  <c:v>10</c:v>
                </c:pt>
                <c:pt idx="1355">
                  <c:v>10.1</c:v>
                </c:pt>
                <c:pt idx="1356">
                  <c:v>10.1</c:v>
                </c:pt>
                <c:pt idx="1357">
                  <c:v>11.1</c:v>
                </c:pt>
                <c:pt idx="1358">
                  <c:v>9.5</c:v>
                </c:pt>
                <c:pt idx="1359">
                  <c:v>10.033333333333299</c:v>
                </c:pt>
                <c:pt idx="1360">
                  <c:v>10.9</c:v>
                </c:pt>
                <c:pt idx="1361">
                  <c:v>10.1</c:v>
                </c:pt>
                <c:pt idx="1362">
                  <c:v>10.033333333333299</c:v>
                </c:pt>
                <c:pt idx="1363">
                  <c:v>#N/A</c:v>
                </c:pt>
                <c:pt idx="1364">
                  <c:v>11.8</c:v>
                </c:pt>
                <c:pt idx="1365">
                  <c:v>9.5</c:v>
                </c:pt>
                <c:pt idx="1366">
                  <c:v>9.8000000000000007</c:v>
                </c:pt>
                <c:pt idx="1367">
                  <c:v>10.5</c:v>
                </c:pt>
                <c:pt idx="1368">
                  <c:v>9.8000000000000007</c:v>
                </c:pt>
                <c:pt idx="1369">
                  <c:v>#N/A</c:v>
                </c:pt>
                <c:pt idx="1370">
                  <c:v>9.1999999999999993</c:v>
                </c:pt>
                <c:pt idx="1371">
                  <c:v>11.6</c:v>
                </c:pt>
                <c:pt idx="1372">
                  <c:v>9.1999999999999993</c:v>
                </c:pt>
                <c:pt idx="1373">
                  <c:v>9.3000000000000007</c:v>
                </c:pt>
                <c:pt idx="1374">
                  <c:v>#N/A</c:v>
                </c:pt>
                <c:pt idx="1375">
                  <c:v>9.9</c:v>
                </c:pt>
                <c:pt idx="1376">
                  <c:v>10</c:v>
                </c:pt>
                <c:pt idx="1377">
                  <c:v>12.2</c:v>
                </c:pt>
                <c:pt idx="1378">
                  <c:v>9.9</c:v>
                </c:pt>
                <c:pt idx="1379">
                  <c:v>10.8</c:v>
                </c:pt>
                <c:pt idx="1380">
                  <c:v>10.8</c:v>
                </c:pt>
                <c:pt idx="1381">
                  <c:v>9.6</c:v>
                </c:pt>
                <c:pt idx="1382">
                  <c:v>9.9</c:v>
                </c:pt>
                <c:pt idx="1383">
                  <c:v>9.9</c:v>
                </c:pt>
                <c:pt idx="1384">
                  <c:v>9.5</c:v>
                </c:pt>
                <c:pt idx="1385">
                  <c:v>9.1999999999999993</c:v>
                </c:pt>
                <c:pt idx="1386">
                  <c:v>9.6</c:v>
                </c:pt>
                <c:pt idx="1387">
                  <c:v>9.6</c:v>
                </c:pt>
                <c:pt idx="1388">
                  <c:v>10.3</c:v>
                </c:pt>
                <c:pt idx="1389">
                  <c:v>9.6999999999999993</c:v>
                </c:pt>
                <c:pt idx="1390">
                  <c:v>12.5</c:v>
                </c:pt>
                <c:pt idx="1391">
                  <c:v>11</c:v>
                </c:pt>
                <c:pt idx="1392">
                  <c:v>9.8000000000000007</c:v>
                </c:pt>
                <c:pt idx="1393">
                  <c:v>10.199999999999999</c:v>
                </c:pt>
                <c:pt idx="1394">
                  <c:v>9.1999999999999993</c:v>
                </c:pt>
                <c:pt idx="1395">
                  <c:v>9.5500000000000007</c:v>
                </c:pt>
                <c:pt idx="1396">
                  <c:v>9.5500000000000007</c:v>
                </c:pt>
                <c:pt idx="1397">
                  <c:v>9.9</c:v>
                </c:pt>
                <c:pt idx="1398">
                  <c:v>#N/A</c:v>
                </c:pt>
                <c:pt idx="1399">
                  <c:v>11.1</c:v>
                </c:pt>
                <c:pt idx="1400">
                  <c:v>9.9</c:v>
                </c:pt>
                <c:pt idx="1401">
                  <c:v>9.9</c:v>
                </c:pt>
                <c:pt idx="1402">
                  <c:v>11.9</c:v>
                </c:pt>
                <c:pt idx="1403">
                  <c:v>#N/A</c:v>
                </c:pt>
                <c:pt idx="1404">
                  <c:v>10.7</c:v>
                </c:pt>
                <c:pt idx="1405">
                  <c:v>#N/A</c:v>
                </c:pt>
                <c:pt idx="1406">
                  <c:v>10.9</c:v>
                </c:pt>
                <c:pt idx="1407">
                  <c:v>10.7</c:v>
                </c:pt>
                <c:pt idx="1408">
                  <c:v>#N/A</c:v>
                </c:pt>
                <c:pt idx="1409">
                  <c:v>10.7</c:v>
                </c:pt>
                <c:pt idx="1410">
                  <c:v>11.9</c:v>
                </c:pt>
                <c:pt idx="1411">
                  <c:v>10.6</c:v>
                </c:pt>
                <c:pt idx="1412">
                  <c:v>10.9</c:v>
                </c:pt>
                <c:pt idx="1413">
                  <c:v>10.1</c:v>
                </c:pt>
                <c:pt idx="1414">
                  <c:v>9.6</c:v>
                </c:pt>
                <c:pt idx="1415">
                  <c:v>9.4</c:v>
                </c:pt>
                <c:pt idx="1416">
                  <c:v>9.6</c:v>
                </c:pt>
                <c:pt idx="1417">
                  <c:v>#N/A</c:v>
                </c:pt>
                <c:pt idx="1418">
                  <c:v>9.8000000000000007</c:v>
                </c:pt>
                <c:pt idx="1419">
                  <c:v>9.9</c:v>
                </c:pt>
                <c:pt idx="1420">
                  <c:v>9.8000000000000007</c:v>
                </c:pt>
                <c:pt idx="1421">
                  <c:v>9.4</c:v>
                </c:pt>
                <c:pt idx="1422">
                  <c:v>11.4</c:v>
                </c:pt>
                <c:pt idx="1423">
                  <c:v>#N/A</c:v>
                </c:pt>
                <c:pt idx="1424">
                  <c:v>9.6</c:v>
                </c:pt>
                <c:pt idx="1425">
                  <c:v>9.6</c:v>
                </c:pt>
                <c:pt idx="1426">
                  <c:v>12.1</c:v>
                </c:pt>
                <c:pt idx="1427">
                  <c:v>11.2</c:v>
                </c:pt>
                <c:pt idx="1428">
                  <c:v>11</c:v>
                </c:pt>
                <c:pt idx="1429">
                  <c:v>11.3</c:v>
                </c:pt>
                <c:pt idx="1430">
                  <c:v>10.4</c:v>
                </c:pt>
                <c:pt idx="1431">
                  <c:v>9.9</c:v>
                </c:pt>
                <c:pt idx="1432">
                  <c:v>11.7</c:v>
                </c:pt>
                <c:pt idx="1433">
                  <c:v>#N/A</c:v>
                </c:pt>
                <c:pt idx="1434">
                  <c:v>9</c:v>
                </c:pt>
                <c:pt idx="1435">
                  <c:v>9</c:v>
                </c:pt>
                <c:pt idx="1436">
                  <c:v>8.5</c:v>
                </c:pt>
                <c:pt idx="1437">
                  <c:v>11.1</c:v>
                </c:pt>
                <c:pt idx="1438">
                  <c:v>10.3</c:v>
                </c:pt>
                <c:pt idx="1439">
                  <c:v>11.066666666666698</c:v>
                </c:pt>
                <c:pt idx="1440">
                  <c:v>#N/A</c:v>
                </c:pt>
                <c:pt idx="1441">
                  <c:v>9.56666666666667</c:v>
                </c:pt>
                <c:pt idx="1442">
                  <c:v>9.8000000000000007</c:v>
                </c:pt>
                <c:pt idx="1443">
                  <c:v>11.7</c:v>
                </c:pt>
                <c:pt idx="1444">
                  <c:v>11.1</c:v>
                </c:pt>
                <c:pt idx="1445">
                  <c:v>9.6</c:v>
                </c:pt>
                <c:pt idx="1446">
                  <c:v>9.8000000000000007</c:v>
                </c:pt>
                <c:pt idx="1447">
                  <c:v>9.6999999999999993</c:v>
                </c:pt>
                <c:pt idx="1448">
                  <c:v>9.6999999999999993</c:v>
                </c:pt>
                <c:pt idx="1449">
                  <c:v>#N/A</c:v>
                </c:pt>
                <c:pt idx="1450">
                  <c:v>#N/A</c:v>
                </c:pt>
                <c:pt idx="1451">
                  <c:v>#N/A</c:v>
                </c:pt>
                <c:pt idx="1452">
                  <c:v>#N/A</c:v>
                </c:pt>
                <c:pt idx="1453">
                  <c:v>9</c:v>
                </c:pt>
                <c:pt idx="1454">
                  <c:v>10.9</c:v>
                </c:pt>
                <c:pt idx="1455">
                  <c:v>10.9</c:v>
                </c:pt>
                <c:pt idx="1456">
                  <c:v>10.55</c:v>
                </c:pt>
                <c:pt idx="1457">
                  <c:v>9</c:v>
                </c:pt>
                <c:pt idx="1458">
                  <c:v>10.5</c:v>
                </c:pt>
                <c:pt idx="1459">
                  <c:v>#N/A</c:v>
                </c:pt>
                <c:pt idx="1460">
                  <c:v>10.4</c:v>
                </c:pt>
                <c:pt idx="1461">
                  <c:v>#N/A</c:v>
                </c:pt>
                <c:pt idx="1462">
                  <c:v>10.4</c:v>
                </c:pt>
                <c:pt idx="1463">
                  <c:v>10.8</c:v>
                </c:pt>
                <c:pt idx="1464">
                  <c:v>9.6999999999999993</c:v>
                </c:pt>
                <c:pt idx="1465">
                  <c:v>9.6999999999999993</c:v>
                </c:pt>
                <c:pt idx="1466">
                  <c:v>#N/A</c:v>
                </c:pt>
                <c:pt idx="1467">
                  <c:v>#N/A</c:v>
                </c:pt>
                <c:pt idx="1468">
                  <c:v>#N/A</c:v>
                </c:pt>
                <c:pt idx="1469">
                  <c:v>#N/A</c:v>
                </c:pt>
                <c:pt idx="1470">
                  <c:v>9.6999999999999993</c:v>
                </c:pt>
                <c:pt idx="1471">
                  <c:v>12.6</c:v>
                </c:pt>
                <c:pt idx="1472">
                  <c:v>11.1</c:v>
                </c:pt>
                <c:pt idx="1473">
                  <c:v>11</c:v>
                </c:pt>
                <c:pt idx="1474">
                  <c:v>8.8000000000000007</c:v>
                </c:pt>
                <c:pt idx="1475">
                  <c:v>#N/A</c:v>
                </c:pt>
                <c:pt idx="1476">
                  <c:v>8.8000000000000007</c:v>
                </c:pt>
                <c:pt idx="1477">
                  <c:v>#N/A</c:v>
                </c:pt>
                <c:pt idx="1478">
                  <c:v>#N/A</c:v>
                </c:pt>
                <c:pt idx="1479">
                  <c:v>10.6</c:v>
                </c:pt>
                <c:pt idx="1480">
                  <c:v>#N/A</c:v>
                </c:pt>
                <c:pt idx="1481">
                  <c:v>10.6</c:v>
                </c:pt>
                <c:pt idx="1482">
                  <c:v>#N/A</c:v>
                </c:pt>
                <c:pt idx="1483">
                  <c:v>10.7</c:v>
                </c:pt>
                <c:pt idx="1484">
                  <c:v>#N/A</c:v>
                </c:pt>
                <c:pt idx="1485">
                  <c:v>9.6999999999999993</c:v>
                </c:pt>
                <c:pt idx="1486">
                  <c:v>10.3</c:v>
                </c:pt>
                <c:pt idx="1487">
                  <c:v>10.6</c:v>
                </c:pt>
                <c:pt idx="1488">
                  <c:v>11.4</c:v>
                </c:pt>
                <c:pt idx="1489">
                  <c:v>10.8</c:v>
                </c:pt>
                <c:pt idx="1490">
                  <c:v>12.4</c:v>
                </c:pt>
                <c:pt idx="1491">
                  <c:v>11.4</c:v>
                </c:pt>
                <c:pt idx="1492">
                  <c:v>11.95</c:v>
                </c:pt>
                <c:pt idx="1493">
                  <c:v>9.6999999999999993</c:v>
                </c:pt>
                <c:pt idx="1494">
                  <c:v>#N/A</c:v>
                </c:pt>
                <c:pt idx="1495">
                  <c:v>10.6</c:v>
                </c:pt>
                <c:pt idx="1496">
                  <c:v>9.6999999999999993</c:v>
                </c:pt>
                <c:pt idx="1497">
                  <c:v>11.5</c:v>
                </c:pt>
                <c:pt idx="1498">
                  <c:v>10.8</c:v>
                </c:pt>
                <c:pt idx="1499">
                  <c:v>11.5</c:v>
                </c:pt>
                <c:pt idx="1500">
                  <c:v>9.6</c:v>
                </c:pt>
                <c:pt idx="1501">
                  <c:v>9.4</c:v>
                </c:pt>
                <c:pt idx="1502">
                  <c:v>9.8000000000000007</c:v>
                </c:pt>
                <c:pt idx="1503">
                  <c:v>11</c:v>
                </c:pt>
                <c:pt idx="1504">
                  <c:v>11.4</c:v>
                </c:pt>
                <c:pt idx="1505">
                  <c:v>#N/A</c:v>
                </c:pt>
                <c:pt idx="1506">
                  <c:v>10.8</c:v>
                </c:pt>
                <c:pt idx="1507">
                  <c:v>11.4</c:v>
                </c:pt>
                <c:pt idx="1508">
                  <c:v>10.6</c:v>
                </c:pt>
                <c:pt idx="1509">
                  <c:v>11.1</c:v>
                </c:pt>
                <c:pt idx="1510">
                  <c:v>9.6999999999999993</c:v>
                </c:pt>
                <c:pt idx="1511">
                  <c:v>9.8000000000000007</c:v>
                </c:pt>
                <c:pt idx="1512">
                  <c:v>10.4</c:v>
                </c:pt>
                <c:pt idx="1513">
                  <c:v>10.5</c:v>
                </c:pt>
                <c:pt idx="1514">
                  <c:v>9.2333333333333307</c:v>
                </c:pt>
                <c:pt idx="1515">
                  <c:v>9.25</c:v>
                </c:pt>
                <c:pt idx="1516">
                  <c:v>10.6</c:v>
                </c:pt>
                <c:pt idx="1517">
                  <c:v>10.3</c:v>
                </c:pt>
                <c:pt idx="1518">
                  <c:v>10.5</c:v>
                </c:pt>
                <c:pt idx="1519">
                  <c:v>10.199999999999999</c:v>
                </c:pt>
                <c:pt idx="1520">
                  <c:v>10.3</c:v>
                </c:pt>
                <c:pt idx="1521">
                  <c:v>#N/A</c:v>
                </c:pt>
                <c:pt idx="1522">
                  <c:v>10.6</c:v>
                </c:pt>
                <c:pt idx="1523">
                  <c:v>10.4</c:v>
                </c:pt>
                <c:pt idx="1524">
                  <c:v>10</c:v>
                </c:pt>
                <c:pt idx="1525">
                  <c:v>9.6999999999999993</c:v>
                </c:pt>
                <c:pt idx="1526">
                  <c:v>9.6</c:v>
                </c:pt>
                <c:pt idx="1527">
                  <c:v>10.8</c:v>
                </c:pt>
                <c:pt idx="1528">
                  <c:v>10.1</c:v>
                </c:pt>
                <c:pt idx="1529">
                  <c:v>10.199999999999999</c:v>
                </c:pt>
                <c:pt idx="1530">
                  <c:v>11.3</c:v>
                </c:pt>
                <c:pt idx="1531">
                  <c:v>10.199999999999999</c:v>
                </c:pt>
                <c:pt idx="1532">
                  <c:v>9.9</c:v>
                </c:pt>
                <c:pt idx="1533">
                  <c:v>9</c:v>
                </c:pt>
                <c:pt idx="1534">
                  <c:v>#N/A</c:v>
                </c:pt>
                <c:pt idx="1535">
                  <c:v>9.6999999999999993</c:v>
                </c:pt>
                <c:pt idx="1536">
                  <c:v>10.3</c:v>
                </c:pt>
                <c:pt idx="1537">
                  <c:v>10.199999999999999</c:v>
                </c:pt>
                <c:pt idx="1538">
                  <c:v>12</c:v>
                </c:pt>
                <c:pt idx="1539">
                  <c:v>9.9</c:v>
                </c:pt>
                <c:pt idx="1540">
                  <c:v>11.6</c:v>
                </c:pt>
                <c:pt idx="1541">
                  <c:v>#N/A</c:v>
                </c:pt>
                <c:pt idx="1542">
                  <c:v>10.75</c:v>
                </c:pt>
                <c:pt idx="1543">
                  <c:v>10.4</c:v>
                </c:pt>
                <c:pt idx="1544">
                  <c:v>#N/A</c:v>
                </c:pt>
                <c:pt idx="1545">
                  <c:v>10.1</c:v>
                </c:pt>
                <c:pt idx="1546">
                  <c:v>10.199999999999999</c:v>
                </c:pt>
                <c:pt idx="1547">
                  <c:v>12.1</c:v>
                </c:pt>
                <c:pt idx="1548">
                  <c:v>10.4</c:v>
                </c:pt>
                <c:pt idx="1549">
                  <c:v>#N/A</c:v>
                </c:pt>
                <c:pt idx="1550">
                  <c:v>9.5</c:v>
                </c:pt>
                <c:pt idx="1551">
                  <c:v>9.4</c:v>
                </c:pt>
                <c:pt idx="1552">
                  <c:v>11.3</c:v>
                </c:pt>
                <c:pt idx="1553">
                  <c:v>9.4</c:v>
                </c:pt>
                <c:pt idx="1554">
                  <c:v>11</c:v>
                </c:pt>
                <c:pt idx="1555">
                  <c:v>#N/A</c:v>
                </c:pt>
                <c:pt idx="1556">
                  <c:v>9.9</c:v>
                </c:pt>
                <c:pt idx="1557">
                  <c:v>11</c:v>
                </c:pt>
                <c:pt idx="1558">
                  <c:v>9.5</c:v>
                </c:pt>
                <c:pt idx="1559">
                  <c:v>9.9</c:v>
                </c:pt>
                <c:pt idx="1560">
                  <c:v>9.9</c:v>
                </c:pt>
                <c:pt idx="1561">
                  <c:v>9.9</c:v>
                </c:pt>
                <c:pt idx="1562">
                  <c:v>10.1</c:v>
                </c:pt>
                <c:pt idx="1563">
                  <c:v>10.1</c:v>
                </c:pt>
                <c:pt idx="1564">
                  <c:v>10.1</c:v>
                </c:pt>
                <c:pt idx="1565">
                  <c:v>10.9</c:v>
                </c:pt>
                <c:pt idx="1566">
                  <c:v>11.2</c:v>
                </c:pt>
                <c:pt idx="1567">
                  <c:v>10.1</c:v>
                </c:pt>
                <c:pt idx="1568">
                  <c:v>9.1999999999999993</c:v>
                </c:pt>
                <c:pt idx="1569">
                  <c:v>11.5</c:v>
                </c:pt>
                <c:pt idx="1570">
                  <c:v>12.4</c:v>
                </c:pt>
                <c:pt idx="1571">
                  <c:v>11.1</c:v>
                </c:pt>
                <c:pt idx="1572">
                  <c:v>9.5</c:v>
                </c:pt>
                <c:pt idx="1573">
                  <c:v>12.5</c:v>
                </c:pt>
                <c:pt idx="1574">
                  <c:v>10.5</c:v>
                </c:pt>
                <c:pt idx="1575">
                  <c:v>11.8</c:v>
                </c:pt>
                <c:pt idx="1576">
                  <c:v>10.8</c:v>
                </c:pt>
                <c:pt idx="1577">
                  <c:v>11.9</c:v>
                </c:pt>
                <c:pt idx="1578">
                  <c:v>11.3</c:v>
                </c:pt>
                <c:pt idx="1579">
                  <c:v>11.3</c:v>
                </c:pt>
                <c:pt idx="1580">
                  <c:v>11.9</c:v>
                </c:pt>
                <c:pt idx="1581">
                  <c:v>11.3</c:v>
                </c:pt>
                <c:pt idx="1582">
                  <c:v>11.9</c:v>
                </c:pt>
                <c:pt idx="1583">
                  <c:v>9.8000000000000007</c:v>
                </c:pt>
                <c:pt idx="1584">
                  <c:v>#N/A</c:v>
                </c:pt>
                <c:pt idx="1585">
                  <c:v>11.5</c:v>
                </c:pt>
                <c:pt idx="1586">
                  <c:v>11.4</c:v>
                </c:pt>
                <c:pt idx="1587">
                  <c:v>10.9</c:v>
                </c:pt>
                <c:pt idx="1588">
                  <c:v>12.8</c:v>
                </c:pt>
                <c:pt idx="1589">
                  <c:v>9.1999999999999993</c:v>
                </c:pt>
                <c:pt idx="1590">
                  <c:v>11.6</c:v>
                </c:pt>
                <c:pt idx="1591">
                  <c:v>11.6</c:v>
                </c:pt>
                <c:pt idx="1592">
                  <c:v>11</c:v>
                </c:pt>
                <c:pt idx="1593">
                  <c:v>9.5</c:v>
                </c:pt>
                <c:pt idx="1594">
                  <c:v>10.5</c:v>
                </c:pt>
                <c:pt idx="1595">
                  <c:v>11.2</c:v>
                </c:pt>
                <c:pt idx="1596">
                  <c:v>11</c:v>
                </c:pt>
                <c:pt idx="1597">
                  <c:v>10.199999999999999</c:v>
                </c:pt>
                <c:pt idx="1598">
                  <c:v>11</c:v>
                </c:pt>
              </c:numCache>
            </c:numRef>
          </c:xVal>
          <c:yVal>
            <c:numRef>
              <c:f>'winequality-red'!$V$2:$V$1600</c:f>
              <c:numCache>
                <c:formatCode>General</c:formatCode>
                <c:ptCount val="1599"/>
                <c:pt idx="0">
                  <c:v>5</c:v>
                </c:pt>
                <c:pt idx="1">
                  <c:v>5</c:v>
                </c:pt>
                <c:pt idx="2">
                  <c:v>5</c:v>
                </c:pt>
                <c:pt idx="3">
                  <c:v>6</c:v>
                </c:pt>
                <c:pt idx="4">
                  <c:v>5</c:v>
                </c:pt>
                <c:pt idx="5">
                  <c:v>5</c:v>
                </c:pt>
                <c:pt idx="6">
                  <c:v>5</c:v>
                </c:pt>
                <c:pt idx="7">
                  <c:v>#N/A</c:v>
                </c:pt>
                <c:pt idx="8">
                  <c:v>#N/A</c:v>
                </c:pt>
                <c:pt idx="9">
                  <c:v>5</c:v>
                </c:pt>
                <c:pt idx="10">
                  <c:v>5</c:v>
                </c:pt>
                <c:pt idx="11">
                  <c:v>5</c:v>
                </c:pt>
                <c:pt idx="12">
                  <c:v>5</c:v>
                </c:pt>
                <c:pt idx="13">
                  <c:v>5</c:v>
                </c:pt>
                <c:pt idx="14">
                  <c:v>5</c:v>
                </c:pt>
                <c:pt idx="15">
                  <c:v>5</c:v>
                </c:pt>
                <c:pt idx="16">
                  <c:v>#N/A</c:v>
                </c:pt>
                <c:pt idx="17">
                  <c:v>5</c:v>
                </c:pt>
                <c:pt idx="18">
                  <c:v>#N/A</c:v>
                </c:pt>
                <c:pt idx="19">
                  <c:v>6</c:v>
                </c:pt>
                <c:pt idx="20">
                  <c:v>6</c:v>
                </c:pt>
                <c:pt idx="21">
                  <c:v>5</c:v>
                </c:pt>
                <c:pt idx="22">
                  <c:v>5</c:v>
                </c:pt>
                <c:pt idx="23">
                  <c:v>5</c:v>
                </c:pt>
                <c:pt idx="24">
                  <c:v>6</c:v>
                </c:pt>
                <c:pt idx="25">
                  <c:v>5</c:v>
                </c:pt>
                <c:pt idx="26">
                  <c:v>5</c:v>
                </c:pt>
                <c:pt idx="27">
                  <c:v>5</c:v>
                </c:pt>
                <c:pt idx="28">
                  <c:v>5</c:v>
                </c:pt>
                <c:pt idx="29">
                  <c:v>6</c:v>
                </c:pt>
                <c:pt idx="30">
                  <c:v>5</c:v>
                </c:pt>
                <c:pt idx="31">
                  <c:v>6</c:v>
                </c:pt>
                <c:pt idx="32">
                  <c:v>5</c:v>
                </c:pt>
                <c:pt idx="33">
                  <c:v>6</c:v>
                </c:pt>
                <c:pt idx="34">
                  <c:v>5</c:v>
                </c:pt>
                <c:pt idx="35">
                  <c:v>6</c:v>
                </c:pt>
                <c:pt idx="36">
                  <c:v>6</c:v>
                </c:pt>
                <c:pt idx="37">
                  <c:v>#N/A</c:v>
                </c:pt>
                <c:pt idx="38">
                  <c:v>#N/A</c:v>
                </c:pt>
                <c:pt idx="39">
                  <c:v>5</c:v>
                </c:pt>
                <c:pt idx="40">
                  <c:v>5</c:v>
                </c:pt>
                <c:pt idx="41">
                  <c:v>#N/A</c:v>
                </c:pt>
                <c:pt idx="42">
                  <c:v>6</c:v>
                </c:pt>
                <c:pt idx="43">
                  <c:v>5</c:v>
                </c:pt>
                <c:pt idx="44">
                  <c:v>5</c:v>
                </c:pt>
                <c:pt idx="45">
                  <c:v>#N/A</c:v>
                </c:pt>
                <c:pt idx="46">
                  <c:v>5</c:v>
                </c:pt>
                <c:pt idx="47">
                  <c:v>5</c:v>
                </c:pt>
                <c:pt idx="48">
                  <c:v>5</c:v>
                </c:pt>
                <c:pt idx="49">
                  <c:v>5</c:v>
                </c:pt>
                <c:pt idx="50">
                  <c:v>5</c:v>
                </c:pt>
                <c:pt idx="51">
                  <c:v>6</c:v>
                </c:pt>
                <c:pt idx="52">
                  <c:v>6</c:v>
                </c:pt>
                <c:pt idx="53">
                  <c:v>5</c:v>
                </c:pt>
                <c:pt idx="54">
                  <c:v>6</c:v>
                </c:pt>
                <c:pt idx="55">
                  <c:v>5</c:v>
                </c:pt>
                <c:pt idx="56">
                  <c:v>5</c:v>
                </c:pt>
                <c:pt idx="57">
                  <c:v>5</c:v>
                </c:pt>
                <c:pt idx="58">
                  <c:v>5</c:v>
                </c:pt>
                <c:pt idx="59">
                  <c:v>6</c:v>
                </c:pt>
                <c:pt idx="60">
                  <c:v>5</c:v>
                </c:pt>
                <c:pt idx="61">
                  <c:v>5</c:v>
                </c:pt>
                <c:pt idx="62">
                  <c:v>#N/A</c:v>
                </c:pt>
                <c:pt idx="63">
                  <c:v>5</c:v>
                </c:pt>
                <c:pt idx="64">
                  <c:v>5</c:v>
                </c:pt>
                <c:pt idx="65">
                  <c:v>5</c:v>
                </c:pt>
                <c:pt idx="66">
                  <c:v>5</c:v>
                </c:pt>
                <c:pt idx="67">
                  <c:v>5</c:v>
                </c:pt>
                <c:pt idx="68">
                  <c:v>5</c:v>
                </c:pt>
                <c:pt idx="69">
                  <c:v>6</c:v>
                </c:pt>
                <c:pt idx="70">
                  <c:v>6</c:v>
                </c:pt>
                <c:pt idx="71">
                  <c:v>5</c:v>
                </c:pt>
                <c:pt idx="72">
                  <c:v>5</c:v>
                </c:pt>
                <c:pt idx="73">
                  <c:v>#N/A</c:v>
                </c:pt>
                <c:pt idx="74">
                  <c:v>5</c:v>
                </c:pt>
                <c:pt idx="75">
                  <c:v>5</c:v>
                </c:pt>
                <c:pt idx="76">
                  <c:v>5</c:v>
                </c:pt>
                <c:pt idx="77">
                  <c:v>6</c:v>
                </c:pt>
                <c:pt idx="78">
                  <c:v>5</c:v>
                </c:pt>
                <c:pt idx="79">
                  <c:v>#N/A</c:v>
                </c:pt>
                <c:pt idx="80">
                  <c:v>5</c:v>
                </c:pt>
                <c:pt idx="81">
                  <c:v>5</c:v>
                </c:pt>
                <c:pt idx="82">
                  <c:v>5</c:v>
                </c:pt>
                <c:pt idx="83">
                  <c:v>5</c:v>
                </c:pt>
                <c:pt idx="84">
                  <c:v>6</c:v>
                </c:pt>
                <c:pt idx="85">
                  <c:v>5</c:v>
                </c:pt>
                <c:pt idx="86">
                  <c:v>6</c:v>
                </c:pt>
                <c:pt idx="87">
                  <c:v>5</c:v>
                </c:pt>
                <c:pt idx="88">
                  <c:v>5</c:v>
                </c:pt>
                <c:pt idx="89">
                  <c:v>5</c:v>
                </c:pt>
                <c:pt idx="90">
                  <c:v>5</c:v>
                </c:pt>
                <c:pt idx="91">
                  <c:v>6</c:v>
                </c:pt>
                <c:pt idx="92">
                  <c:v>5</c:v>
                </c:pt>
                <c:pt idx="93">
                  <c:v>5</c:v>
                </c:pt>
                <c:pt idx="94">
                  <c:v>#N/A</c:v>
                </c:pt>
                <c:pt idx="95">
                  <c:v>6</c:v>
                </c:pt>
                <c:pt idx="96">
                  <c:v>5</c:v>
                </c:pt>
                <c:pt idx="97">
                  <c:v>5</c:v>
                </c:pt>
                <c:pt idx="98">
                  <c:v>5</c:v>
                </c:pt>
                <c:pt idx="99">
                  <c:v>6</c:v>
                </c:pt>
                <c:pt idx="100">
                  <c:v>6</c:v>
                </c:pt>
                <c:pt idx="101">
                  <c:v>6</c:v>
                </c:pt>
                <c:pt idx="102">
                  <c:v>6</c:v>
                </c:pt>
                <c:pt idx="103">
                  <c:v>5</c:v>
                </c:pt>
                <c:pt idx="104">
                  <c:v>5</c:v>
                </c:pt>
                <c:pt idx="105">
                  <c:v>5</c:v>
                </c:pt>
                <c:pt idx="106">
                  <c:v>5</c:v>
                </c:pt>
                <c:pt idx="107">
                  <c:v>5</c:v>
                </c:pt>
                <c:pt idx="108">
                  <c:v>6</c:v>
                </c:pt>
                <c:pt idx="109">
                  <c:v>5</c:v>
                </c:pt>
                <c:pt idx="110">
                  <c:v>5</c:v>
                </c:pt>
                <c:pt idx="111">
                  <c:v>5</c:v>
                </c:pt>
                <c:pt idx="112">
                  <c:v>5</c:v>
                </c:pt>
                <c:pt idx="113">
                  <c:v>6</c:v>
                </c:pt>
                <c:pt idx="114">
                  <c:v>5</c:v>
                </c:pt>
                <c:pt idx="115">
                  <c:v>6</c:v>
                </c:pt>
                <c:pt idx="116">
                  <c:v>6</c:v>
                </c:pt>
                <c:pt idx="117">
                  <c:v>6</c:v>
                </c:pt>
                <c:pt idx="118">
                  <c:v>6</c:v>
                </c:pt>
                <c:pt idx="119">
                  <c:v>6</c:v>
                </c:pt>
                <c:pt idx="120">
                  <c:v>5</c:v>
                </c:pt>
                <c:pt idx="121">
                  <c:v>6</c:v>
                </c:pt>
                <c:pt idx="122">
                  <c:v>5</c:v>
                </c:pt>
                <c:pt idx="123">
                  <c:v>5</c:v>
                </c:pt>
                <c:pt idx="124">
                  <c:v>5</c:v>
                </c:pt>
                <c:pt idx="125">
                  <c:v>5</c:v>
                </c:pt>
                <c:pt idx="126">
                  <c:v>5</c:v>
                </c:pt>
                <c:pt idx="127">
                  <c:v>5</c:v>
                </c:pt>
                <c:pt idx="128">
                  <c:v>#N/A</c:v>
                </c:pt>
                <c:pt idx="129">
                  <c:v>5</c:v>
                </c:pt>
                <c:pt idx="130">
                  <c:v>5</c:v>
                </c:pt>
                <c:pt idx="131">
                  <c:v>5</c:v>
                </c:pt>
                <c:pt idx="132">
                  <c:v>5</c:v>
                </c:pt>
                <c:pt idx="133">
                  <c:v>6</c:v>
                </c:pt>
                <c:pt idx="134">
                  <c:v>6</c:v>
                </c:pt>
                <c:pt idx="135">
                  <c:v>5</c:v>
                </c:pt>
                <c:pt idx="136">
                  <c:v>5</c:v>
                </c:pt>
                <c:pt idx="137">
                  <c:v>5</c:v>
                </c:pt>
                <c:pt idx="138">
                  <c:v>5</c:v>
                </c:pt>
                <c:pt idx="139">
                  <c:v>5</c:v>
                </c:pt>
                <c:pt idx="140">
                  <c:v>5</c:v>
                </c:pt>
                <c:pt idx="141">
                  <c:v>5</c:v>
                </c:pt>
                <c:pt idx="142">
                  <c:v>6</c:v>
                </c:pt>
                <c:pt idx="143">
                  <c:v>5</c:v>
                </c:pt>
                <c:pt idx="144">
                  <c:v>6</c:v>
                </c:pt>
                <c:pt idx="145">
                  <c:v>5</c:v>
                </c:pt>
                <c:pt idx="146">
                  <c:v>5</c:v>
                </c:pt>
                <c:pt idx="147">
                  <c:v>5</c:v>
                </c:pt>
                <c:pt idx="148">
                  <c:v>6</c:v>
                </c:pt>
                <c:pt idx="149">
                  <c:v>6</c:v>
                </c:pt>
                <c:pt idx="150">
                  <c:v>6</c:v>
                </c:pt>
                <c:pt idx="151">
                  <c:v>#N/A</c:v>
                </c:pt>
                <c:pt idx="152">
                  <c:v>5</c:v>
                </c:pt>
                <c:pt idx="153">
                  <c:v>5</c:v>
                </c:pt>
                <c:pt idx="154">
                  <c:v>5</c:v>
                </c:pt>
                <c:pt idx="155">
                  <c:v>5</c:v>
                </c:pt>
                <c:pt idx="156">
                  <c:v>5</c:v>
                </c:pt>
                <c:pt idx="157">
                  <c:v>5</c:v>
                </c:pt>
                <c:pt idx="158">
                  <c:v>5</c:v>
                </c:pt>
                <c:pt idx="159">
                  <c:v>6</c:v>
                </c:pt>
                <c:pt idx="160">
                  <c:v>5</c:v>
                </c:pt>
                <c:pt idx="161">
                  <c:v>#N/A</c:v>
                </c:pt>
                <c:pt idx="162">
                  <c:v>6</c:v>
                </c:pt>
                <c:pt idx="163">
                  <c:v>5</c:v>
                </c:pt>
                <c:pt idx="164">
                  <c:v>5</c:v>
                </c:pt>
                <c:pt idx="165">
                  <c:v>5</c:v>
                </c:pt>
                <c:pt idx="166">
                  <c:v>5</c:v>
                </c:pt>
                <c:pt idx="167">
                  <c:v>#N/A</c:v>
                </c:pt>
                <c:pt idx="168">
                  <c:v>6</c:v>
                </c:pt>
                <c:pt idx="169">
                  <c:v>5</c:v>
                </c:pt>
                <c:pt idx="170">
                  <c:v>#N/A</c:v>
                </c:pt>
                <c:pt idx="171">
                  <c:v>6</c:v>
                </c:pt>
                <c:pt idx="172">
                  <c:v>6</c:v>
                </c:pt>
                <c:pt idx="173">
                  <c:v>6</c:v>
                </c:pt>
                <c:pt idx="174">
                  <c:v>5</c:v>
                </c:pt>
                <c:pt idx="175">
                  <c:v>5</c:v>
                </c:pt>
                <c:pt idx="176">
                  <c:v>5</c:v>
                </c:pt>
                <c:pt idx="177">
                  <c:v>6</c:v>
                </c:pt>
                <c:pt idx="178">
                  <c:v>5</c:v>
                </c:pt>
                <c:pt idx="179">
                  <c:v>5</c:v>
                </c:pt>
                <c:pt idx="180">
                  <c:v>5</c:v>
                </c:pt>
                <c:pt idx="181">
                  <c:v>5</c:v>
                </c:pt>
                <c:pt idx="182">
                  <c:v>5</c:v>
                </c:pt>
                <c:pt idx="183">
                  <c:v>5</c:v>
                </c:pt>
                <c:pt idx="184">
                  <c:v>6</c:v>
                </c:pt>
                <c:pt idx="185">
                  <c:v>5</c:v>
                </c:pt>
                <c:pt idx="186">
                  <c:v>5</c:v>
                </c:pt>
                <c:pt idx="187">
                  <c:v>5</c:v>
                </c:pt>
                <c:pt idx="188">
                  <c:v>5</c:v>
                </c:pt>
                <c:pt idx="189">
                  <c:v>5</c:v>
                </c:pt>
                <c:pt idx="190">
                  <c:v>5</c:v>
                </c:pt>
                <c:pt idx="191">
                  <c:v>6</c:v>
                </c:pt>
                <c:pt idx="192">
                  <c:v>5</c:v>
                </c:pt>
                <c:pt idx="193">
                  <c:v>5</c:v>
                </c:pt>
                <c:pt idx="194">
                  <c:v>5</c:v>
                </c:pt>
                <c:pt idx="195">
                  <c:v>5</c:v>
                </c:pt>
                <c:pt idx="196">
                  <c:v>5</c:v>
                </c:pt>
                <c:pt idx="197">
                  <c:v>6</c:v>
                </c:pt>
                <c:pt idx="198">
                  <c:v>#N/A</c:v>
                </c:pt>
                <c:pt idx="199">
                  <c:v>#N/A</c:v>
                </c:pt>
                <c:pt idx="200">
                  <c:v>#N/A</c:v>
                </c:pt>
                <c:pt idx="201">
                  <c:v>5</c:v>
                </c:pt>
                <c:pt idx="202">
                  <c:v>5</c:v>
                </c:pt>
                <c:pt idx="203">
                  <c:v>5</c:v>
                </c:pt>
                <c:pt idx="204">
                  <c:v>6</c:v>
                </c:pt>
                <c:pt idx="205">
                  <c:v>#N/A</c:v>
                </c:pt>
                <c:pt idx="206">
                  <c:v>#N/A</c:v>
                </c:pt>
                <c:pt idx="207">
                  <c:v>5</c:v>
                </c:pt>
                <c:pt idx="208">
                  <c:v>5</c:v>
                </c:pt>
                <c:pt idx="209">
                  <c:v>#N/A</c:v>
                </c:pt>
                <c:pt idx="210">
                  <c:v>6</c:v>
                </c:pt>
                <c:pt idx="211">
                  <c:v>6</c:v>
                </c:pt>
                <c:pt idx="212">
                  <c:v>6</c:v>
                </c:pt>
                <c:pt idx="213">
                  <c:v>5</c:v>
                </c:pt>
                <c:pt idx="214">
                  <c:v>6</c:v>
                </c:pt>
                <c:pt idx="215">
                  <c:v>5</c:v>
                </c:pt>
                <c:pt idx="216">
                  <c:v>5</c:v>
                </c:pt>
                <c:pt idx="217">
                  <c:v>5</c:v>
                </c:pt>
                <c:pt idx="218">
                  <c:v>5</c:v>
                </c:pt>
                <c:pt idx="219">
                  <c:v>5</c:v>
                </c:pt>
                <c:pt idx="220">
                  <c:v>6</c:v>
                </c:pt>
                <c:pt idx="221">
                  <c:v>5</c:v>
                </c:pt>
                <c:pt idx="222">
                  <c:v>5</c:v>
                </c:pt>
                <c:pt idx="223">
                  <c:v>6</c:v>
                </c:pt>
                <c:pt idx="224">
                  <c:v>#N/A</c:v>
                </c:pt>
                <c:pt idx="225">
                  <c:v>6</c:v>
                </c:pt>
                <c:pt idx="226">
                  <c:v>6</c:v>
                </c:pt>
                <c:pt idx="227">
                  <c:v>5</c:v>
                </c:pt>
                <c:pt idx="228">
                  <c:v>6</c:v>
                </c:pt>
                <c:pt idx="229">
                  <c:v>5</c:v>
                </c:pt>
                <c:pt idx="230">
                  <c:v>#N/A</c:v>
                </c:pt>
                <c:pt idx="231">
                  <c:v>6</c:v>
                </c:pt>
                <c:pt idx="232">
                  <c:v>6</c:v>
                </c:pt>
                <c:pt idx="233">
                  <c:v>5</c:v>
                </c:pt>
                <c:pt idx="234">
                  <c:v>6</c:v>
                </c:pt>
                <c:pt idx="235">
                  <c:v>6</c:v>
                </c:pt>
                <c:pt idx="236">
                  <c:v>6</c:v>
                </c:pt>
                <c:pt idx="237">
                  <c:v>6</c:v>
                </c:pt>
                <c:pt idx="238">
                  <c:v>6</c:v>
                </c:pt>
                <c:pt idx="239">
                  <c:v>6</c:v>
                </c:pt>
                <c:pt idx="240">
                  <c:v>5</c:v>
                </c:pt>
                <c:pt idx="241">
                  <c:v>6</c:v>
                </c:pt>
                <c:pt idx="242">
                  <c:v>6</c:v>
                </c:pt>
                <c:pt idx="243">
                  <c:v>#N/A</c:v>
                </c:pt>
                <c:pt idx="244">
                  <c:v>#N/A</c:v>
                </c:pt>
                <c:pt idx="245">
                  <c:v>6</c:v>
                </c:pt>
                <c:pt idx="246">
                  <c:v>5</c:v>
                </c:pt>
                <c:pt idx="247">
                  <c:v>5</c:v>
                </c:pt>
                <c:pt idx="248">
                  <c:v>6</c:v>
                </c:pt>
                <c:pt idx="249">
                  <c:v>6</c:v>
                </c:pt>
                <c:pt idx="250">
                  <c:v>6</c:v>
                </c:pt>
                <c:pt idx="251">
                  <c:v>6</c:v>
                </c:pt>
                <c:pt idx="252">
                  <c:v>5</c:v>
                </c:pt>
                <c:pt idx="253">
                  <c:v>5</c:v>
                </c:pt>
                <c:pt idx="254">
                  <c:v>6</c:v>
                </c:pt>
                <c:pt idx="255">
                  <c:v>5</c:v>
                </c:pt>
                <c:pt idx="256">
                  <c:v>5</c:v>
                </c:pt>
                <c:pt idx="257">
                  <c:v>5</c:v>
                </c:pt>
                <c:pt idx="258">
                  <c:v>5</c:v>
                </c:pt>
                <c:pt idx="259">
                  <c:v>#N/A</c:v>
                </c:pt>
                <c:pt idx="260">
                  <c:v>5</c:v>
                </c:pt>
                <c:pt idx="261">
                  <c:v>#N/A</c:v>
                </c:pt>
                <c:pt idx="262">
                  <c:v>5</c:v>
                </c:pt>
                <c:pt idx="263">
                  <c:v>5</c:v>
                </c:pt>
                <c:pt idx="264">
                  <c:v>5</c:v>
                </c:pt>
                <c:pt idx="265">
                  <c:v>#N/A</c:v>
                </c:pt>
                <c:pt idx="266">
                  <c:v>#N/A</c:v>
                </c:pt>
                <c:pt idx="267">
                  <c:v>#N/A</c:v>
                </c:pt>
                <c:pt idx="268">
                  <c:v>6</c:v>
                </c:pt>
                <c:pt idx="269">
                  <c:v>6</c:v>
                </c:pt>
                <c:pt idx="270">
                  <c:v>6</c:v>
                </c:pt>
                <c:pt idx="271">
                  <c:v>6</c:v>
                </c:pt>
                <c:pt idx="272">
                  <c:v>5</c:v>
                </c:pt>
                <c:pt idx="273">
                  <c:v>5</c:v>
                </c:pt>
                <c:pt idx="274">
                  <c:v>5</c:v>
                </c:pt>
                <c:pt idx="275">
                  <c:v>6</c:v>
                </c:pt>
                <c:pt idx="276">
                  <c:v>6</c:v>
                </c:pt>
                <c:pt idx="277">
                  <c:v>6</c:v>
                </c:pt>
                <c:pt idx="278">
                  <c:v>#N/A</c:v>
                </c:pt>
                <c:pt idx="279">
                  <c:v>#N/A</c:v>
                </c:pt>
                <c:pt idx="280">
                  <c:v>6</c:v>
                </c:pt>
                <c:pt idx="281">
                  <c:v>#N/A</c:v>
                </c:pt>
                <c:pt idx="282">
                  <c:v>5</c:v>
                </c:pt>
                <c:pt idx="283">
                  <c:v>#N/A</c:v>
                </c:pt>
                <c:pt idx="284">
                  <c:v>5</c:v>
                </c:pt>
                <c:pt idx="285">
                  <c:v>5</c:v>
                </c:pt>
                <c:pt idx="286">
                  <c:v>6</c:v>
                </c:pt>
                <c:pt idx="287">
                  <c:v>6</c:v>
                </c:pt>
                <c:pt idx="288">
                  <c:v>#N/A</c:v>
                </c:pt>
                <c:pt idx="289">
                  <c:v>5</c:v>
                </c:pt>
                <c:pt idx="290">
                  <c:v>#N/A</c:v>
                </c:pt>
                <c:pt idx="291">
                  <c:v>5</c:v>
                </c:pt>
                <c:pt idx="292">
                  <c:v>6</c:v>
                </c:pt>
                <c:pt idx="293">
                  <c:v>6</c:v>
                </c:pt>
                <c:pt idx="294">
                  <c:v>6</c:v>
                </c:pt>
                <c:pt idx="295">
                  <c:v>5</c:v>
                </c:pt>
                <c:pt idx="296">
                  <c:v>5</c:v>
                </c:pt>
                <c:pt idx="297">
                  <c:v>5</c:v>
                </c:pt>
                <c:pt idx="298">
                  <c:v>5</c:v>
                </c:pt>
                <c:pt idx="299">
                  <c:v>5</c:v>
                </c:pt>
                <c:pt idx="300">
                  <c:v>6</c:v>
                </c:pt>
                <c:pt idx="301">
                  <c:v>6</c:v>
                </c:pt>
                <c:pt idx="302">
                  <c:v>5</c:v>
                </c:pt>
                <c:pt idx="303">
                  <c:v>5</c:v>
                </c:pt>
                <c:pt idx="304">
                  <c:v>5</c:v>
                </c:pt>
                <c:pt idx="305">
                  <c:v>6</c:v>
                </c:pt>
                <c:pt idx="306">
                  <c:v>5</c:v>
                </c:pt>
                <c:pt idx="307">
                  <c:v>6</c:v>
                </c:pt>
                <c:pt idx="308">
                  <c:v>6</c:v>
                </c:pt>
                <c:pt idx="309">
                  <c:v>6</c:v>
                </c:pt>
                <c:pt idx="310">
                  <c:v>6</c:v>
                </c:pt>
                <c:pt idx="311">
                  <c:v>6</c:v>
                </c:pt>
                <c:pt idx="312">
                  <c:v>6</c:v>
                </c:pt>
                <c:pt idx="313">
                  <c:v>5</c:v>
                </c:pt>
                <c:pt idx="314">
                  <c:v>5</c:v>
                </c:pt>
                <c:pt idx="315">
                  <c:v>6</c:v>
                </c:pt>
                <c:pt idx="316">
                  <c:v>5</c:v>
                </c:pt>
                <c:pt idx="317">
                  <c:v>6</c:v>
                </c:pt>
                <c:pt idx="318">
                  <c:v>#N/A</c:v>
                </c:pt>
                <c:pt idx="319">
                  <c:v>6</c:v>
                </c:pt>
                <c:pt idx="320">
                  <c:v>#N/A</c:v>
                </c:pt>
                <c:pt idx="321">
                  <c:v>5</c:v>
                </c:pt>
                <c:pt idx="322">
                  <c:v>5</c:v>
                </c:pt>
                <c:pt idx="323">
                  <c:v>6</c:v>
                </c:pt>
                <c:pt idx="324">
                  <c:v>6</c:v>
                </c:pt>
                <c:pt idx="325">
                  <c:v>6</c:v>
                </c:pt>
                <c:pt idx="326">
                  <c:v>#N/A</c:v>
                </c:pt>
                <c:pt idx="327">
                  <c:v>5</c:v>
                </c:pt>
                <c:pt idx="328">
                  <c:v>6</c:v>
                </c:pt>
                <c:pt idx="329">
                  <c:v>5</c:v>
                </c:pt>
                <c:pt idx="330">
                  <c:v>6</c:v>
                </c:pt>
                <c:pt idx="331">
                  <c:v>6</c:v>
                </c:pt>
                <c:pt idx="332">
                  <c:v>6</c:v>
                </c:pt>
                <c:pt idx="333">
                  <c:v>5</c:v>
                </c:pt>
                <c:pt idx="334">
                  <c:v>#N/A</c:v>
                </c:pt>
                <c:pt idx="335">
                  <c:v>#N/A</c:v>
                </c:pt>
                <c:pt idx="336">
                  <c:v>6</c:v>
                </c:pt>
                <c:pt idx="337">
                  <c:v>5</c:v>
                </c:pt>
                <c:pt idx="338">
                  <c:v>6</c:v>
                </c:pt>
                <c:pt idx="339">
                  <c:v>#N/A</c:v>
                </c:pt>
                <c:pt idx="340">
                  <c:v>6</c:v>
                </c:pt>
                <c:pt idx="341">
                  <c:v>6</c:v>
                </c:pt>
                <c:pt idx="342">
                  <c:v>6</c:v>
                </c:pt>
                <c:pt idx="343">
                  <c:v>6</c:v>
                </c:pt>
                <c:pt idx="344">
                  <c:v>6</c:v>
                </c:pt>
                <c:pt idx="345">
                  <c:v>5</c:v>
                </c:pt>
                <c:pt idx="346">
                  <c:v>#N/A</c:v>
                </c:pt>
                <c:pt idx="347">
                  <c:v>6</c:v>
                </c:pt>
                <c:pt idx="348">
                  <c:v>6</c:v>
                </c:pt>
                <c:pt idx="349">
                  <c:v>6</c:v>
                </c:pt>
                <c:pt idx="350">
                  <c:v>6</c:v>
                </c:pt>
                <c:pt idx="351">
                  <c:v>6</c:v>
                </c:pt>
                <c:pt idx="352">
                  <c:v>5</c:v>
                </c:pt>
                <c:pt idx="353">
                  <c:v>5</c:v>
                </c:pt>
                <c:pt idx="354">
                  <c:v>6</c:v>
                </c:pt>
                <c:pt idx="355">
                  <c:v>6</c:v>
                </c:pt>
                <c:pt idx="356">
                  <c:v>5</c:v>
                </c:pt>
                <c:pt idx="357">
                  <c:v>#N/A</c:v>
                </c:pt>
                <c:pt idx="358">
                  <c:v>#N/A</c:v>
                </c:pt>
                <c:pt idx="359">
                  <c:v>6</c:v>
                </c:pt>
                <c:pt idx="360">
                  <c:v>5</c:v>
                </c:pt>
                <c:pt idx="361">
                  <c:v>6</c:v>
                </c:pt>
                <c:pt idx="362">
                  <c:v>5</c:v>
                </c:pt>
                <c:pt idx="363">
                  <c:v>5</c:v>
                </c:pt>
                <c:pt idx="364">
                  <c:v>#N/A</c:v>
                </c:pt>
                <c:pt idx="365">
                  <c:v>6</c:v>
                </c:pt>
                <c:pt idx="366">
                  <c:v>#N/A</c:v>
                </c:pt>
                <c:pt idx="367">
                  <c:v>5</c:v>
                </c:pt>
                <c:pt idx="368">
                  <c:v>5</c:v>
                </c:pt>
                <c:pt idx="369">
                  <c:v>#N/A</c:v>
                </c:pt>
                <c:pt idx="370">
                  <c:v>5</c:v>
                </c:pt>
                <c:pt idx="371">
                  <c:v>6</c:v>
                </c:pt>
                <c:pt idx="372">
                  <c:v>6</c:v>
                </c:pt>
                <c:pt idx="373">
                  <c:v>5</c:v>
                </c:pt>
                <c:pt idx="374">
                  <c:v>6</c:v>
                </c:pt>
                <c:pt idx="375">
                  <c:v>#N/A</c:v>
                </c:pt>
                <c:pt idx="376">
                  <c:v>6</c:v>
                </c:pt>
                <c:pt idx="377">
                  <c:v>#N/A</c:v>
                </c:pt>
                <c:pt idx="378">
                  <c:v>6</c:v>
                </c:pt>
                <c:pt idx="379">
                  <c:v>6</c:v>
                </c:pt>
                <c:pt idx="380">
                  <c:v>6</c:v>
                </c:pt>
                <c:pt idx="381">
                  <c:v>6</c:v>
                </c:pt>
                <c:pt idx="382">
                  <c:v>6</c:v>
                </c:pt>
                <c:pt idx="383">
                  <c:v>6</c:v>
                </c:pt>
                <c:pt idx="384">
                  <c:v>5</c:v>
                </c:pt>
                <c:pt idx="385">
                  <c:v>6</c:v>
                </c:pt>
                <c:pt idx="386">
                  <c:v>6</c:v>
                </c:pt>
                <c:pt idx="387">
                  <c:v>6</c:v>
                </c:pt>
                <c:pt idx="388">
                  <c:v>6</c:v>
                </c:pt>
                <c:pt idx="389">
                  <c:v>#N/A</c:v>
                </c:pt>
                <c:pt idx="390">
                  <c:v>#N/A</c:v>
                </c:pt>
                <c:pt idx="391">
                  <c:v>6</c:v>
                </c:pt>
                <c:pt idx="392">
                  <c:v>5</c:v>
                </c:pt>
                <c:pt idx="393">
                  <c:v>5</c:v>
                </c:pt>
                <c:pt idx="394">
                  <c:v>5</c:v>
                </c:pt>
                <c:pt idx="395">
                  <c:v>#N/A</c:v>
                </c:pt>
                <c:pt idx="396">
                  <c:v>5</c:v>
                </c:pt>
                <c:pt idx="397">
                  <c:v>6</c:v>
                </c:pt>
                <c:pt idx="398">
                  <c:v>6</c:v>
                </c:pt>
                <c:pt idx="399">
                  <c:v>5</c:v>
                </c:pt>
                <c:pt idx="400">
                  <c:v>5</c:v>
                </c:pt>
                <c:pt idx="401">
                  <c:v>6</c:v>
                </c:pt>
                <c:pt idx="402">
                  <c:v>6</c:v>
                </c:pt>
                <c:pt idx="403">
                  <c:v>6</c:v>
                </c:pt>
                <c:pt idx="404">
                  <c:v>5</c:v>
                </c:pt>
                <c:pt idx="405">
                  <c:v>6</c:v>
                </c:pt>
                <c:pt idx="406">
                  <c:v>6</c:v>
                </c:pt>
                <c:pt idx="407">
                  <c:v>#N/A</c:v>
                </c:pt>
                <c:pt idx="408">
                  <c:v>6</c:v>
                </c:pt>
                <c:pt idx="409">
                  <c:v>#N/A</c:v>
                </c:pt>
                <c:pt idx="410">
                  <c:v>6</c:v>
                </c:pt>
                <c:pt idx="411">
                  <c:v>5</c:v>
                </c:pt>
                <c:pt idx="412">
                  <c:v>5</c:v>
                </c:pt>
                <c:pt idx="413">
                  <c:v>#N/A</c:v>
                </c:pt>
                <c:pt idx="414">
                  <c:v>5</c:v>
                </c:pt>
                <c:pt idx="415">
                  <c:v>5</c:v>
                </c:pt>
                <c:pt idx="416">
                  <c:v>6</c:v>
                </c:pt>
                <c:pt idx="417">
                  <c:v>5</c:v>
                </c:pt>
                <c:pt idx="418">
                  <c:v>6</c:v>
                </c:pt>
                <c:pt idx="419">
                  <c:v>5</c:v>
                </c:pt>
                <c:pt idx="420">
                  <c:v>#N/A</c:v>
                </c:pt>
                <c:pt idx="421">
                  <c:v>#N/A</c:v>
                </c:pt>
                <c:pt idx="422">
                  <c:v>5</c:v>
                </c:pt>
                <c:pt idx="423">
                  <c:v>#N/A</c:v>
                </c:pt>
                <c:pt idx="424">
                  <c:v>5</c:v>
                </c:pt>
                <c:pt idx="425">
                  <c:v>#N/A</c:v>
                </c:pt>
                <c:pt idx="426">
                  <c:v>6</c:v>
                </c:pt>
                <c:pt idx="427">
                  <c:v>6</c:v>
                </c:pt>
                <c:pt idx="428">
                  <c:v>5</c:v>
                </c:pt>
                <c:pt idx="429">
                  <c:v>6</c:v>
                </c:pt>
                <c:pt idx="430">
                  <c:v>#N/A</c:v>
                </c:pt>
                <c:pt idx="431">
                  <c:v>5</c:v>
                </c:pt>
                <c:pt idx="432">
                  <c:v>6</c:v>
                </c:pt>
                <c:pt idx="433">
                  <c:v>5</c:v>
                </c:pt>
                <c:pt idx="434">
                  <c:v>6</c:v>
                </c:pt>
                <c:pt idx="435">
                  <c:v>5</c:v>
                </c:pt>
                <c:pt idx="436">
                  <c:v>6</c:v>
                </c:pt>
                <c:pt idx="437">
                  <c:v>6</c:v>
                </c:pt>
                <c:pt idx="438">
                  <c:v>6</c:v>
                </c:pt>
                <c:pt idx="439">
                  <c:v>5</c:v>
                </c:pt>
                <c:pt idx="440">
                  <c:v>#N/A</c:v>
                </c:pt>
                <c:pt idx="441">
                  <c:v>6</c:v>
                </c:pt>
                <c:pt idx="442">
                  <c:v>#N/A</c:v>
                </c:pt>
                <c:pt idx="443">
                  <c:v>#N/A</c:v>
                </c:pt>
                <c:pt idx="444">
                  <c:v>#N/A</c:v>
                </c:pt>
                <c:pt idx="445">
                  <c:v>6</c:v>
                </c:pt>
                <c:pt idx="446">
                  <c:v>5</c:v>
                </c:pt>
                <c:pt idx="447">
                  <c:v>5</c:v>
                </c:pt>
                <c:pt idx="448">
                  <c:v>6</c:v>
                </c:pt>
                <c:pt idx="449">
                  <c:v>6</c:v>
                </c:pt>
                <c:pt idx="450">
                  <c:v>6</c:v>
                </c:pt>
                <c:pt idx="451">
                  <c:v>6</c:v>
                </c:pt>
                <c:pt idx="452">
                  <c:v>6</c:v>
                </c:pt>
                <c:pt idx="453">
                  <c:v>#N/A</c:v>
                </c:pt>
                <c:pt idx="454">
                  <c:v>5</c:v>
                </c:pt>
                <c:pt idx="455">
                  <c:v>#N/A</c:v>
                </c:pt>
                <c:pt idx="456">
                  <c:v>5</c:v>
                </c:pt>
                <c:pt idx="457">
                  <c:v>5</c:v>
                </c:pt>
                <c:pt idx="458">
                  <c:v>#N/A</c:v>
                </c:pt>
                <c:pt idx="459">
                  <c:v>#N/A</c:v>
                </c:pt>
                <c:pt idx="460">
                  <c:v>6</c:v>
                </c:pt>
                <c:pt idx="461">
                  <c:v>5</c:v>
                </c:pt>
                <c:pt idx="462">
                  <c:v>5</c:v>
                </c:pt>
                <c:pt idx="463">
                  <c:v>5</c:v>
                </c:pt>
                <c:pt idx="464">
                  <c:v>6</c:v>
                </c:pt>
                <c:pt idx="465">
                  <c:v>5</c:v>
                </c:pt>
                <c:pt idx="466">
                  <c:v>6</c:v>
                </c:pt>
                <c:pt idx="467">
                  <c:v>6</c:v>
                </c:pt>
                <c:pt idx="468">
                  <c:v>6</c:v>
                </c:pt>
                <c:pt idx="469">
                  <c:v>5</c:v>
                </c:pt>
                <c:pt idx="470">
                  <c:v>5</c:v>
                </c:pt>
                <c:pt idx="471">
                  <c:v>6</c:v>
                </c:pt>
                <c:pt idx="472">
                  <c:v>6</c:v>
                </c:pt>
                <c:pt idx="473">
                  <c:v>5</c:v>
                </c:pt>
                <c:pt idx="474">
                  <c:v>6</c:v>
                </c:pt>
                <c:pt idx="475">
                  <c:v>5</c:v>
                </c:pt>
                <c:pt idx="476">
                  <c:v>5</c:v>
                </c:pt>
                <c:pt idx="477">
                  <c:v>6</c:v>
                </c:pt>
                <c:pt idx="478">
                  <c:v>5</c:v>
                </c:pt>
                <c:pt idx="479">
                  <c:v>6</c:v>
                </c:pt>
                <c:pt idx="480">
                  <c:v>5</c:v>
                </c:pt>
                <c:pt idx="481">
                  <c:v>#N/A</c:v>
                </c:pt>
                <c:pt idx="482">
                  <c:v>5</c:v>
                </c:pt>
                <c:pt idx="483">
                  <c:v>5</c:v>
                </c:pt>
                <c:pt idx="484">
                  <c:v>6</c:v>
                </c:pt>
                <c:pt idx="485">
                  <c:v>5</c:v>
                </c:pt>
                <c:pt idx="486">
                  <c:v>5</c:v>
                </c:pt>
                <c:pt idx="487">
                  <c:v>6</c:v>
                </c:pt>
                <c:pt idx="488">
                  <c:v>#N/A</c:v>
                </c:pt>
                <c:pt idx="489">
                  <c:v>6</c:v>
                </c:pt>
                <c:pt idx="490">
                  <c:v>6</c:v>
                </c:pt>
                <c:pt idx="491">
                  <c:v>#N/A</c:v>
                </c:pt>
                <c:pt idx="492">
                  <c:v>#N/A</c:v>
                </c:pt>
                <c:pt idx="493">
                  <c:v>6</c:v>
                </c:pt>
                <c:pt idx="494">
                  <c:v>6</c:v>
                </c:pt>
                <c:pt idx="495">
                  <c:v>#N/A</c:v>
                </c:pt>
                <c:pt idx="496">
                  <c:v>6</c:v>
                </c:pt>
                <c:pt idx="497">
                  <c:v>5</c:v>
                </c:pt>
                <c:pt idx="498">
                  <c:v>#N/A</c:v>
                </c:pt>
                <c:pt idx="499">
                  <c:v>6</c:v>
                </c:pt>
                <c:pt idx="500">
                  <c:v>6</c:v>
                </c:pt>
                <c:pt idx="501">
                  <c:v>#N/A</c:v>
                </c:pt>
                <c:pt idx="502">
                  <c:v>#N/A</c:v>
                </c:pt>
                <c:pt idx="503">
                  <c:v>#N/A</c:v>
                </c:pt>
                <c:pt idx="504">
                  <c:v>#N/A</c:v>
                </c:pt>
                <c:pt idx="505">
                  <c:v>#N/A</c:v>
                </c:pt>
                <c:pt idx="506">
                  <c:v>#N/A</c:v>
                </c:pt>
                <c:pt idx="507">
                  <c:v>6</c:v>
                </c:pt>
                <c:pt idx="508">
                  <c:v>6</c:v>
                </c:pt>
                <c:pt idx="509">
                  <c:v>#N/A</c:v>
                </c:pt>
                <c:pt idx="510">
                  <c:v>5</c:v>
                </c:pt>
                <c:pt idx="511">
                  <c:v>6</c:v>
                </c:pt>
                <c:pt idx="512">
                  <c:v>6</c:v>
                </c:pt>
                <c:pt idx="513">
                  <c:v>#N/A</c:v>
                </c:pt>
                <c:pt idx="514">
                  <c:v>#N/A</c:v>
                </c:pt>
                <c:pt idx="515">
                  <c:v>5</c:v>
                </c:pt>
                <c:pt idx="516">
                  <c:v>6</c:v>
                </c:pt>
                <c:pt idx="517">
                  <c:v>#N/A</c:v>
                </c:pt>
                <c:pt idx="518">
                  <c:v>6</c:v>
                </c:pt>
                <c:pt idx="519">
                  <c:v>5</c:v>
                </c:pt>
                <c:pt idx="520">
                  <c:v>6</c:v>
                </c:pt>
                <c:pt idx="521">
                  <c:v>5</c:v>
                </c:pt>
                <c:pt idx="522">
                  <c:v>5</c:v>
                </c:pt>
                <c:pt idx="523">
                  <c:v>5</c:v>
                </c:pt>
                <c:pt idx="524">
                  <c:v>5</c:v>
                </c:pt>
                <c:pt idx="525">
                  <c:v>5</c:v>
                </c:pt>
                <c:pt idx="526">
                  <c:v>5</c:v>
                </c:pt>
                <c:pt idx="527">
                  <c:v>6</c:v>
                </c:pt>
                <c:pt idx="528">
                  <c:v>6</c:v>
                </c:pt>
                <c:pt idx="529">
                  <c:v>5</c:v>
                </c:pt>
                <c:pt idx="530">
                  <c:v>6</c:v>
                </c:pt>
                <c:pt idx="531">
                  <c:v>5</c:v>
                </c:pt>
                <c:pt idx="532">
                  <c:v>5</c:v>
                </c:pt>
                <c:pt idx="533">
                  <c:v>6</c:v>
                </c:pt>
                <c:pt idx="534">
                  <c:v>6</c:v>
                </c:pt>
                <c:pt idx="535">
                  <c:v>6</c:v>
                </c:pt>
                <c:pt idx="536">
                  <c:v>5</c:v>
                </c:pt>
                <c:pt idx="537">
                  <c:v>6</c:v>
                </c:pt>
                <c:pt idx="538">
                  <c:v>#N/A</c:v>
                </c:pt>
                <c:pt idx="539">
                  <c:v>5</c:v>
                </c:pt>
                <c:pt idx="540">
                  <c:v>5</c:v>
                </c:pt>
                <c:pt idx="541">
                  <c:v>6</c:v>
                </c:pt>
                <c:pt idx="542">
                  <c:v>5</c:v>
                </c:pt>
                <c:pt idx="543">
                  <c:v>6</c:v>
                </c:pt>
                <c:pt idx="544">
                  <c:v>6</c:v>
                </c:pt>
                <c:pt idx="545">
                  <c:v>5</c:v>
                </c:pt>
                <c:pt idx="546">
                  <c:v>6</c:v>
                </c:pt>
                <c:pt idx="547">
                  <c:v>6</c:v>
                </c:pt>
                <c:pt idx="548">
                  <c:v>6</c:v>
                </c:pt>
                <c:pt idx="549">
                  <c:v>6</c:v>
                </c:pt>
                <c:pt idx="550">
                  <c:v>6</c:v>
                </c:pt>
                <c:pt idx="551">
                  <c:v>6</c:v>
                </c:pt>
                <c:pt idx="552">
                  <c:v>6</c:v>
                </c:pt>
                <c:pt idx="553">
                  <c:v>5</c:v>
                </c:pt>
                <c:pt idx="554">
                  <c:v>5</c:v>
                </c:pt>
                <c:pt idx="555">
                  <c:v>5</c:v>
                </c:pt>
                <c:pt idx="556">
                  <c:v>6</c:v>
                </c:pt>
                <c:pt idx="557">
                  <c:v>5</c:v>
                </c:pt>
                <c:pt idx="558">
                  <c:v>6</c:v>
                </c:pt>
                <c:pt idx="559">
                  <c:v>6</c:v>
                </c:pt>
                <c:pt idx="560">
                  <c:v>5</c:v>
                </c:pt>
                <c:pt idx="561">
                  <c:v>5</c:v>
                </c:pt>
                <c:pt idx="562">
                  <c:v>5</c:v>
                </c:pt>
                <c:pt idx="563">
                  <c:v>6</c:v>
                </c:pt>
                <c:pt idx="564">
                  <c:v>6</c:v>
                </c:pt>
                <c:pt idx="565">
                  <c:v>5</c:v>
                </c:pt>
                <c:pt idx="566">
                  <c:v>6</c:v>
                </c:pt>
                <c:pt idx="567">
                  <c:v>6</c:v>
                </c:pt>
                <c:pt idx="568">
                  <c:v>6</c:v>
                </c:pt>
                <c:pt idx="569">
                  <c:v>6</c:v>
                </c:pt>
                <c:pt idx="570">
                  <c:v>6</c:v>
                </c:pt>
                <c:pt idx="571">
                  <c:v>6</c:v>
                </c:pt>
                <c:pt idx="572">
                  <c:v>5</c:v>
                </c:pt>
                <c:pt idx="573">
                  <c:v>#N/A</c:v>
                </c:pt>
                <c:pt idx="574">
                  <c:v>6</c:v>
                </c:pt>
                <c:pt idx="575">
                  <c:v>6</c:v>
                </c:pt>
                <c:pt idx="576">
                  <c:v>#N/A</c:v>
                </c:pt>
                <c:pt idx="577">
                  <c:v>5</c:v>
                </c:pt>
                <c:pt idx="578">
                  <c:v>5</c:v>
                </c:pt>
                <c:pt idx="579">
                  <c:v>6</c:v>
                </c:pt>
                <c:pt idx="580">
                  <c:v>5</c:v>
                </c:pt>
                <c:pt idx="581">
                  <c:v>5</c:v>
                </c:pt>
                <c:pt idx="582">
                  <c:v>5</c:v>
                </c:pt>
                <c:pt idx="583">
                  <c:v>#N/A</c:v>
                </c:pt>
                <c:pt idx="584">
                  <c:v>#N/A</c:v>
                </c:pt>
                <c:pt idx="585">
                  <c:v>6</c:v>
                </c:pt>
                <c:pt idx="586">
                  <c:v>#N/A</c:v>
                </c:pt>
                <c:pt idx="587">
                  <c:v>5</c:v>
                </c:pt>
                <c:pt idx="588">
                  <c:v>#N/A</c:v>
                </c:pt>
                <c:pt idx="589">
                  <c:v>#N/A</c:v>
                </c:pt>
                <c:pt idx="590">
                  <c:v>5</c:v>
                </c:pt>
                <c:pt idx="591">
                  <c:v>6</c:v>
                </c:pt>
                <c:pt idx="592">
                  <c:v>5</c:v>
                </c:pt>
                <c:pt idx="593">
                  <c:v>5</c:v>
                </c:pt>
                <c:pt idx="594">
                  <c:v>5</c:v>
                </c:pt>
                <c:pt idx="595">
                  <c:v>5</c:v>
                </c:pt>
                <c:pt idx="596">
                  <c:v>6</c:v>
                </c:pt>
                <c:pt idx="597">
                  <c:v>6</c:v>
                </c:pt>
                <c:pt idx="598">
                  <c:v>6</c:v>
                </c:pt>
                <c:pt idx="599">
                  <c:v>6</c:v>
                </c:pt>
                <c:pt idx="600">
                  <c:v>#N/A</c:v>
                </c:pt>
                <c:pt idx="601">
                  <c:v>6</c:v>
                </c:pt>
                <c:pt idx="602">
                  <c:v>5</c:v>
                </c:pt>
                <c:pt idx="603">
                  <c:v>6</c:v>
                </c:pt>
                <c:pt idx="604">
                  <c:v>6</c:v>
                </c:pt>
                <c:pt idx="605">
                  <c:v>6</c:v>
                </c:pt>
                <c:pt idx="606">
                  <c:v>#N/A</c:v>
                </c:pt>
                <c:pt idx="607">
                  <c:v>6</c:v>
                </c:pt>
                <c:pt idx="608">
                  <c:v>6</c:v>
                </c:pt>
                <c:pt idx="609">
                  <c:v>6</c:v>
                </c:pt>
                <c:pt idx="610">
                  <c:v>5</c:v>
                </c:pt>
                <c:pt idx="611">
                  <c:v>5</c:v>
                </c:pt>
                <c:pt idx="612">
                  <c:v>6</c:v>
                </c:pt>
                <c:pt idx="613">
                  <c:v>5</c:v>
                </c:pt>
                <c:pt idx="614">
                  <c:v>6</c:v>
                </c:pt>
                <c:pt idx="615">
                  <c:v>5</c:v>
                </c:pt>
                <c:pt idx="616">
                  <c:v>5</c:v>
                </c:pt>
                <c:pt idx="617">
                  <c:v>6</c:v>
                </c:pt>
                <c:pt idx="618">
                  <c:v>5</c:v>
                </c:pt>
                <c:pt idx="619">
                  <c:v>5</c:v>
                </c:pt>
                <c:pt idx="620">
                  <c:v>5</c:v>
                </c:pt>
                <c:pt idx="621">
                  <c:v>5</c:v>
                </c:pt>
                <c:pt idx="622">
                  <c:v>5</c:v>
                </c:pt>
                <c:pt idx="623">
                  <c:v>6</c:v>
                </c:pt>
                <c:pt idx="624">
                  <c:v>5</c:v>
                </c:pt>
                <c:pt idx="625">
                  <c:v>5</c:v>
                </c:pt>
                <c:pt idx="626">
                  <c:v>5</c:v>
                </c:pt>
                <c:pt idx="627">
                  <c:v>5</c:v>
                </c:pt>
                <c:pt idx="628">
                  <c:v>6</c:v>
                </c:pt>
                <c:pt idx="629">
                  <c:v>5</c:v>
                </c:pt>
                <c:pt idx="630">
                  <c:v>6</c:v>
                </c:pt>
                <c:pt idx="631">
                  <c:v>5</c:v>
                </c:pt>
                <c:pt idx="632">
                  <c:v>6</c:v>
                </c:pt>
                <c:pt idx="633">
                  <c:v>#N/A</c:v>
                </c:pt>
                <c:pt idx="634">
                  <c:v>5</c:v>
                </c:pt>
                <c:pt idx="635">
                  <c:v>5</c:v>
                </c:pt>
                <c:pt idx="636">
                  <c:v>5</c:v>
                </c:pt>
                <c:pt idx="637">
                  <c:v>5</c:v>
                </c:pt>
                <c:pt idx="638">
                  <c:v>#N/A</c:v>
                </c:pt>
                <c:pt idx="639">
                  <c:v>6</c:v>
                </c:pt>
                <c:pt idx="640">
                  <c:v>5</c:v>
                </c:pt>
                <c:pt idx="641">
                  <c:v>5</c:v>
                </c:pt>
                <c:pt idx="642">
                  <c:v>5</c:v>
                </c:pt>
                <c:pt idx="643">
                  <c:v>5</c:v>
                </c:pt>
                <c:pt idx="644">
                  <c:v>5</c:v>
                </c:pt>
                <c:pt idx="645">
                  <c:v>#N/A</c:v>
                </c:pt>
                <c:pt idx="646">
                  <c:v>5</c:v>
                </c:pt>
                <c:pt idx="647">
                  <c:v>#N/A</c:v>
                </c:pt>
                <c:pt idx="648">
                  <c:v>#N/A</c:v>
                </c:pt>
                <c:pt idx="649">
                  <c:v>6</c:v>
                </c:pt>
                <c:pt idx="650">
                  <c:v>5</c:v>
                </c:pt>
                <c:pt idx="651">
                  <c:v>5</c:v>
                </c:pt>
                <c:pt idx="652">
                  <c:v>5</c:v>
                </c:pt>
                <c:pt idx="653">
                  <c:v>6</c:v>
                </c:pt>
                <c:pt idx="654">
                  <c:v>5</c:v>
                </c:pt>
                <c:pt idx="655">
                  <c:v>5</c:v>
                </c:pt>
                <c:pt idx="656">
                  <c:v>5</c:v>
                </c:pt>
                <c:pt idx="657">
                  <c:v>#N/A</c:v>
                </c:pt>
                <c:pt idx="658">
                  <c:v>6</c:v>
                </c:pt>
                <c:pt idx="659">
                  <c:v>#N/A</c:v>
                </c:pt>
                <c:pt idx="660">
                  <c:v>6</c:v>
                </c:pt>
                <c:pt idx="661">
                  <c:v>5</c:v>
                </c:pt>
                <c:pt idx="662">
                  <c:v>6</c:v>
                </c:pt>
                <c:pt idx="663">
                  <c:v>6</c:v>
                </c:pt>
                <c:pt idx="664">
                  <c:v>5</c:v>
                </c:pt>
                <c:pt idx="665">
                  <c:v>5</c:v>
                </c:pt>
                <c:pt idx="666">
                  <c:v>6</c:v>
                </c:pt>
                <c:pt idx="667">
                  <c:v>6</c:v>
                </c:pt>
                <c:pt idx="668">
                  <c:v>5</c:v>
                </c:pt>
                <c:pt idx="669">
                  <c:v>6</c:v>
                </c:pt>
                <c:pt idx="670">
                  <c:v>5</c:v>
                </c:pt>
                <c:pt idx="671">
                  <c:v>5</c:v>
                </c:pt>
                <c:pt idx="672">
                  <c:v>5</c:v>
                </c:pt>
                <c:pt idx="673">
                  <c:v>5</c:v>
                </c:pt>
                <c:pt idx="674">
                  <c:v>6</c:v>
                </c:pt>
                <c:pt idx="675">
                  <c:v>5</c:v>
                </c:pt>
                <c:pt idx="676">
                  <c:v>6</c:v>
                </c:pt>
                <c:pt idx="677">
                  <c:v>5</c:v>
                </c:pt>
                <c:pt idx="678">
                  <c:v>5</c:v>
                </c:pt>
                <c:pt idx="679">
                  <c:v>5</c:v>
                </c:pt>
                <c:pt idx="680">
                  <c:v>5</c:v>
                </c:pt>
                <c:pt idx="681">
                  <c:v>6</c:v>
                </c:pt>
                <c:pt idx="682">
                  <c:v>5</c:v>
                </c:pt>
                <c:pt idx="683">
                  <c:v>5</c:v>
                </c:pt>
                <c:pt idx="684">
                  <c:v>5</c:v>
                </c:pt>
                <c:pt idx="685">
                  <c:v>5</c:v>
                </c:pt>
                <c:pt idx="686">
                  <c:v>5</c:v>
                </c:pt>
                <c:pt idx="687">
                  <c:v>5</c:v>
                </c:pt>
                <c:pt idx="688">
                  <c:v>5</c:v>
                </c:pt>
                <c:pt idx="689">
                  <c:v>5</c:v>
                </c:pt>
                <c:pt idx="690">
                  <c:v>#N/A</c:v>
                </c:pt>
                <c:pt idx="691">
                  <c:v>5</c:v>
                </c:pt>
                <c:pt idx="692">
                  <c:v>5</c:v>
                </c:pt>
                <c:pt idx="693">
                  <c:v>5</c:v>
                </c:pt>
                <c:pt idx="694">
                  <c:v>5</c:v>
                </c:pt>
                <c:pt idx="695">
                  <c:v>6</c:v>
                </c:pt>
                <c:pt idx="696">
                  <c:v>6</c:v>
                </c:pt>
                <c:pt idx="697">
                  <c:v>6</c:v>
                </c:pt>
                <c:pt idx="698">
                  <c:v>5</c:v>
                </c:pt>
                <c:pt idx="699">
                  <c:v>6</c:v>
                </c:pt>
                <c:pt idx="700">
                  <c:v>6</c:v>
                </c:pt>
                <c:pt idx="701">
                  <c:v>6</c:v>
                </c:pt>
                <c:pt idx="702">
                  <c:v>6</c:v>
                </c:pt>
                <c:pt idx="703">
                  <c:v>#N/A</c:v>
                </c:pt>
                <c:pt idx="704">
                  <c:v>#N/A</c:v>
                </c:pt>
                <c:pt idx="705">
                  <c:v>5</c:v>
                </c:pt>
                <c:pt idx="706">
                  <c:v>5</c:v>
                </c:pt>
                <c:pt idx="707">
                  <c:v>5</c:v>
                </c:pt>
                <c:pt idx="708">
                  <c:v>6</c:v>
                </c:pt>
                <c:pt idx="709">
                  <c:v>6</c:v>
                </c:pt>
                <c:pt idx="710">
                  <c:v>5</c:v>
                </c:pt>
                <c:pt idx="711">
                  <c:v>5</c:v>
                </c:pt>
                <c:pt idx="712">
                  <c:v>5</c:v>
                </c:pt>
                <c:pt idx="713">
                  <c:v>5</c:v>
                </c:pt>
                <c:pt idx="714">
                  <c:v>5</c:v>
                </c:pt>
                <c:pt idx="715">
                  <c:v>6</c:v>
                </c:pt>
                <c:pt idx="716">
                  <c:v>5</c:v>
                </c:pt>
                <c:pt idx="717">
                  <c:v>5</c:v>
                </c:pt>
                <c:pt idx="718">
                  <c:v>5</c:v>
                </c:pt>
                <c:pt idx="719">
                  <c:v>5</c:v>
                </c:pt>
                <c:pt idx="720">
                  <c:v>5</c:v>
                </c:pt>
                <c:pt idx="721">
                  <c:v>5</c:v>
                </c:pt>
                <c:pt idx="722">
                  <c:v>5</c:v>
                </c:pt>
                <c:pt idx="723">
                  <c:v>5</c:v>
                </c:pt>
                <c:pt idx="724">
                  <c:v>#N/A</c:v>
                </c:pt>
                <c:pt idx="725">
                  <c:v>5</c:v>
                </c:pt>
                <c:pt idx="726">
                  <c:v>6</c:v>
                </c:pt>
                <c:pt idx="727">
                  <c:v>5</c:v>
                </c:pt>
                <c:pt idx="728">
                  <c:v>5</c:v>
                </c:pt>
                <c:pt idx="729">
                  <c:v>6</c:v>
                </c:pt>
                <c:pt idx="730">
                  <c:v>5</c:v>
                </c:pt>
                <c:pt idx="731">
                  <c:v>5</c:v>
                </c:pt>
                <c:pt idx="732">
                  <c:v>5</c:v>
                </c:pt>
                <c:pt idx="733">
                  <c:v>5</c:v>
                </c:pt>
                <c:pt idx="734">
                  <c:v>5</c:v>
                </c:pt>
                <c:pt idx="735">
                  <c:v>5</c:v>
                </c:pt>
                <c:pt idx="736">
                  <c:v>5</c:v>
                </c:pt>
                <c:pt idx="737">
                  <c:v>6</c:v>
                </c:pt>
                <c:pt idx="738">
                  <c:v>5</c:v>
                </c:pt>
                <c:pt idx="739">
                  <c:v>5</c:v>
                </c:pt>
                <c:pt idx="740">
                  <c:v>6</c:v>
                </c:pt>
                <c:pt idx="741">
                  <c:v>5</c:v>
                </c:pt>
                <c:pt idx="742">
                  <c:v>5</c:v>
                </c:pt>
                <c:pt idx="743">
                  <c:v>5</c:v>
                </c:pt>
                <c:pt idx="744">
                  <c:v>5</c:v>
                </c:pt>
                <c:pt idx="745">
                  <c:v>6</c:v>
                </c:pt>
                <c:pt idx="746">
                  <c:v>6</c:v>
                </c:pt>
                <c:pt idx="747">
                  <c:v>5</c:v>
                </c:pt>
                <c:pt idx="748">
                  <c:v>6</c:v>
                </c:pt>
                <c:pt idx="749">
                  <c:v>6</c:v>
                </c:pt>
                <c:pt idx="750">
                  <c:v>5</c:v>
                </c:pt>
                <c:pt idx="751">
                  <c:v>5</c:v>
                </c:pt>
                <c:pt idx="752">
                  <c:v>5</c:v>
                </c:pt>
                <c:pt idx="753">
                  <c:v>5</c:v>
                </c:pt>
                <c:pt idx="754">
                  <c:v>6</c:v>
                </c:pt>
                <c:pt idx="755">
                  <c:v>6</c:v>
                </c:pt>
                <c:pt idx="756">
                  <c:v>6</c:v>
                </c:pt>
                <c:pt idx="757">
                  <c:v>5</c:v>
                </c:pt>
                <c:pt idx="758">
                  <c:v>5</c:v>
                </c:pt>
                <c:pt idx="759">
                  <c:v>5</c:v>
                </c:pt>
                <c:pt idx="760">
                  <c:v>5</c:v>
                </c:pt>
                <c:pt idx="761">
                  <c:v>5</c:v>
                </c:pt>
                <c:pt idx="762">
                  <c:v>6</c:v>
                </c:pt>
                <c:pt idx="763">
                  <c:v>5</c:v>
                </c:pt>
                <c:pt idx="764">
                  <c:v>6</c:v>
                </c:pt>
                <c:pt idx="765">
                  <c:v>6</c:v>
                </c:pt>
                <c:pt idx="766">
                  <c:v>5</c:v>
                </c:pt>
                <c:pt idx="767">
                  <c:v>5</c:v>
                </c:pt>
                <c:pt idx="768">
                  <c:v>6</c:v>
                </c:pt>
                <c:pt idx="769">
                  <c:v>5</c:v>
                </c:pt>
                <c:pt idx="770">
                  <c:v>6</c:v>
                </c:pt>
                <c:pt idx="771">
                  <c:v>5</c:v>
                </c:pt>
                <c:pt idx="772">
                  <c:v>5</c:v>
                </c:pt>
                <c:pt idx="773">
                  <c:v>6</c:v>
                </c:pt>
                <c:pt idx="774">
                  <c:v>6</c:v>
                </c:pt>
                <c:pt idx="775">
                  <c:v>5</c:v>
                </c:pt>
                <c:pt idx="776">
                  <c:v>6</c:v>
                </c:pt>
                <c:pt idx="777">
                  <c:v>6</c:v>
                </c:pt>
                <c:pt idx="778">
                  <c:v>5</c:v>
                </c:pt>
                <c:pt idx="779">
                  <c:v>5</c:v>
                </c:pt>
                <c:pt idx="780">
                  <c:v>6</c:v>
                </c:pt>
                <c:pt idx="781">
                  <c:v>5</c:v>
                </c:pt>
                <c:pt idx="782">
                  <c:v>5</c:v>
                </c:pt>
                <c:pt idx="783">
                  <c:v>5</c:v>
                </c:pt>
                <c:pt idx="784">
                  <c:v>5</c:v>
                </c:pt>
                <c:pt idx="785">
                  <c:v>5</c:v>
                </c:pt>
                <c:pt idx="786">
                  <c:v>5</c:v>
                </c:pt>
                <c:pt idx="787">
                  <c:v>6</c:v>
                </c:pt>
                <c:pt idx="788">
                  <c:v>6</c:v>
                </c:pt>
                <c:pt idx="789">
                  <c:v>5</c:v>
                </c:pt>
                <c:pt idx="790">
                  <c:v>6</c:v>
                </c:pt>
                <c:pt idx="791">
                  <c:v>5</c:v>
                </c:pt>
                <c:pt idx="792">
                  <c:v>6</c:v>
                </c:pt>
                <c:pt idx="793">
                  <c:v>5</c:v>
                </c:pt>
                <c:pt idx="794">
                  <c:v>6</c:v>
                </c:pt>
                <c:pt idx="795">
                  <c:v>5</c:v>
                </c:pt>
                <c:pt idx="796">
                  <c:v>5</c:v>
                </c:pt>
                <c:pt idx="797">
                  <c:v>#N/A</c:v>
                </c:pt>
                <c:pt idx="798">
                  <c:v>6</c:v>
                </c:pt>
                <c:pt idx="799">
                  <c:v>6</c:v>
                </c:pt>
                <c:pt idx="800">
                  <c:v>5</c:v>
                </c:pt>
                <c:pt idx="801">
                  <c:v>5</c:v>
                </c:pt>
                <c:pt idx="802">
                  <c:v>#N/A</c:v>
                </c:pt>
                <c:pt idx="803">
                  <c:v>6</c:v>
                </c:pt>
                <c:pt idx="804">
                  <c:v>6</c:v>
                </c:pt>
                <c:pt idx="805">
                  <c:v>#N/A</c:v>
                </c:pt>
                <c:pt idx="806">
                  <c:v>#N/A</c:v>
                </c:pt>
                <c:pt idx="807">
                  <c:v>#N/A</c:v>
                </c:pt>
                <c:pt idx="808">
                  <c:v>5</c:v>
                </c:pt>
                <c:pt idx="809">
                  <c:v>6</c:v>
                </c:pt>
                <c:pt idx="810">
                  <c:v>5</c:v>
                </c:pt>
                <c:pt idx="811">
                  <c:v>6</c:v>
                </c:pt>
                <c:pt idx="812">
                  <c:v>5</c:v>
                </c:pt>
                <c:pt idx="813">
                  <c:v>#N/A</c:v>
                </c:pt>
                <c:pt idx="814">
                  <c:v>6</c:v>
                </c:pt>
                <c:pt idx="815">
                  <c:v>5</c:v>
                </c:pt>
                <c:pt idx="816">
                  <c:v>6</c:v>
                </c:pt>
                <c:pt idx="817">
                  <c:v>6</c:v>
                </c:pt>
                <c:pt idx="818">
                  <c:v>5</c:v>
                </c:pt>
                <c:pt idx="819">
                  <c:v>5</c:v>
                </c:pt>
                <c:pt idx="820">
                  <c:v>5</c:v>
                </c:pt>
                <c:pt idx="821">
                  <c:v>#N/A</c:v>
                </c:pt>
                <c:pt idx="822">
                  <c:v>5</c:v>
                </c:pt>
                <c:pt idx="823">
                  <c:v>5</c:v>
                </c:pt>
                <c:pt idx="824">
                  <c:v>5</c:v>
                </c:pt>
                <c:pt idx="825">
                  <c:v>5</c:v>
                </c:pt>
                <c:pt idx="826">
                  <c:v>#N/A</c:v>
                </c:pt>
                <c:pt idx="827">
                  <c:v>5</c:v>
                </c:pt>
                <c:pt idx="828">
                  <c:v>#N/A</c:v>
                </c:pt>
                <c:pt idx="829">
                  <c:v>6</c:v>
                </c:pt>
                <c:pt idx="830">
                  <c:v>#N/A</c:v>
                </c:pt>
                <c:pt idx="831">
                  <c:v>6</c:v>
                </c:pt>
                <c:pt idx="832">
                  <c:v>#N/A</c:v>
                </c:pt>
                <c:pt idx="833">
                  <c:v>#N/A</c:v>
                </c:pt>
                <c:pt idx="834">
                  <c:v>5</c:v>
                </c:pt>
                <c:pt idx="835">
                  <c:v>5</c:v>
                </c:pt>
                <c:pt idx="836">
                  <c:v>#N/A</c:v>
                </c:pt>
                <c:pt idx="837">
                  <c:v>#N/A</c:v>
                </c:pt>
                <c:pt idx="838">
                  <c:v>#N/A</c:v>
                </c:pt>
                <c:pt idx="839">
                  <c:v>5</c:v>
                </c:pt>
                <c:pt idx="840">
                  <c:v>#N/A</c:v>
                </c:pt>
                <c:pt idx="841">
                  <c:v>5</c:v>
                </c:pt>
                <c:pt idx="842">
                  <c:v>6</c:v>
                </c:pt>
                <c:pt idx="843">
                  <c:v>5</c:v>
                </c:pt>
                <c:pt idx="844">
                  <c:v>6</c:v>
                </c:pt>
                <c:pt idx="845">
                  <c:v>5</c:v>
                </c:pt>
                <c:pt idx="846">
                  <c:v>5</c:v>
                </c:pt>
                <c:pt idx="847">
                  <c:v>6</c:v>
                </c:pt>
                <c:pt idx="848">
                  <c:v>5</c:v>
                </c:pt>
                <c:pt idx="849">
                  <c:v>5</c:v>
                </c:pt>
                <c:pt idx="850">
                  <c:v>5</c:v>
                </c:pt>
                <c:pt idx="851">
                  <c:v>5</c:v>
                </c:pt>
                <c:pt idx="852">
                  <c:v>5</c:v>
                </c:pt>
                <c:pt idx="853">
                  <c:v>6</c:v>
                </c:pt>
                <c:pt idx="854">
                  <c:v>6</c:v>
                </c:pt>
                <c:pt idx="855">
                  <c:v>#N/A</c:v>
                </c:pt>
                <c:pt idx="856">
                  <c:v>6</c:v>
                </c:pt>
                <c:pt idx="857">
                  <c:v>#N/A</c:v>
                </c:pt>
                <c:pt idx="858">
                  <c:v>#N/A</c:v>
                </c:pt>
                <c:pt idx="859">
                  <c:v>6</c:v>
                </c:pt>
                <c:pt idx="860">
                  <c:v>5</c:v>
                </c:pt>
                <c:pt idx="861">
                  <c:v>6</c:v>
                </c:pt>
                <c:pt idx="862">
                  <c:v>5</c:v>
                </c:pt>
                <c:pt idx="863">
                  <c:v>5</c:v>
                </c:pt>
                <c:pt idx="864">
                  <c:v>5</c:v>
                </c:pt>
                <c:pt idx="865">
                  <c:v>5</c:v>
                </c:pt>
                <c:pt idx="866">
                  <c:v>6</c:v>
                </c:pt>
                <c:pt idx="867">
                  <c:v>6</c:v>
                </c:pt>
                <c:pt idx="868">
                  <c:v>6</c:v>
                </c:pt>
                <c:pt idx="869">
                  <c:v>6</c:v>
                </c:pt>
                <c:pt idx="870">
                  <c:v>6</c:v>
                </c:pt>
                <c:pt idx="871">
                  <c:v>5</c:v>
                </c:pt>
                <c:pt idx="872">
                  <c:v>#N/A</c:v>
                </c:pt>
                <c:pt idx="873">
                  <c:v>#N/A</c:v>
                </c:pt>
                <c:pt idx="874">
                  <c:v>#N/A</c:v>
                </c:pt>
                <c:pt idx="875">
                  <c:v>#N/A</c:v>
                </c:pt>
                <c:pt idx="876">
                  <c:v>#N/A</c:v>
                </c:pt>
                <c:pt idx="877">
                  <c:v>6</c:v>
                </c:pt>
                <c:pt idx="878">
                  <c:v>6</c:v>
                </c:pt>
                <c:pt idx="879">
                  <c:v>5</c:v>
                </c:pt>
                <c:pt idx="880">
                  <c:v>5</c:v>
                </c:pt>
                <c:pt idx="881">
                  <c:v>6</c:v>
                </c:pt>
                <c:pt idx="882">
                  <c:v>6</c:v>
                </c:pt>
                <c:pt idx="883">
                  <c:v>5</c:v>
                </c:pt>
                <c:pt idx="884">
                  <c:v>6</c:v>
                </c:pt>
                <c:pt idx="885">
                  <c:v>5</c:v>
                </c:pt>
                <c:pt idx="886">
                  <c:v>6</c:v>
                </c:pt>
                <c:pt idx="887">
                  <c:v>#N/A</c:v>
                </c:pt>
                <c:pt idx="888">
                  <c:v>6</c:v>
                </c:pt>
                <c:pt idx="889">
                  <c:v>5</c:v>
                </c:pt>
                <c:pt idx="890">
                  <c:v>5</c:v>
                </c:pt>
                <c:pt idx="891">
                  <c:v>5</c:v>
                </c:pt>
                <c:pt idx="892">
                  <c:v>6</c:v>
                </c:pt>
                <c:pt idx="893">
                  <c:v>5</c:v>
                </c:pt>
                <c:pt idx="894">
                  <c:v>6</c:v>
                </c:pt>
                <c:pt idx="895">
                  <c:v>6</c:v>
                </c:pt>
                <c:pt idx="896">
                  <c:v>#N/A</c:v>
                </c:pt>
                <c:pt idx="897">
                  <c:v>6</c:v>
                </c:pt>
                <c:pt idx="898">
                  <c:v>#N/A</c:v>
                </c:pt>
                <c:pt idx="899">
                  <c:v>#N/A</c:v>
                </c:pt>
                <c:pt idx="900">
                  <c:v>5</c:v>
                </c:pt>
                <c:pt idx="901">
                  <c:v>#N/A</c:v>
                </c:pt>
                <c:pt idx="902">
                  <c:v>#N/A</c:v>
                </c:pt>
                <c:pt idx="903">
                  <c:v>#N/A</c:v>
                </c:pt>
                <c:pt idx="904">
                  <c:v>#N/A</c:v>
                </c:pt>
                <c:pt idx="905">
                  <c:v>5</c:v>
                </c:pt>
                <c:pt idx="906">
                  <c:v>5</c:v>
                </c:pt>
                <c:pt idx="907">
                  <c:v>6</c:v>
                </c:pt>
                <c:pt idx="908">
                  <c:v>6</c:v>
                </c:pt>
                <c:pt idx="909">
                  <c:v>6</c:v>
                </c:pt>
                <c:pt idx="910">
                  <c:v>6</c:v>
                </c:pt>
                <c:pt idx="911">
                  <c:v>6</c:v>
                </c:pt>
                <c:pt idx="912">
                  <c:v>6</c:v>
                </c:pt>
                <c:pt idx="913">
                  <c:v>#N/A</c:v>
                </c:pt>
                <c:pt idx="914">
                  <c:v>6</c:v>
                </c:pt>
                <c:pt idx="915">
                  <c:v>6</c:v>
                </c:pt>
                <c:pt idx="916">
                  <c:v>5</c:v>
                </c:pt>
                <c:pt idx="917">
                  <c:v>6</c:v>
                </c:pt>
                <c:pt idx="918">
                  <c:v>6</c:v>
                </c:pt>
                <c:pt idx="919">
                  <c:v>6</c:v>
                </c:pt>
                <c:pt idx="920">
                  <c:v>5</c:v>
                </c:pt>
                <c:pt idx="921">
                  <c:v>6</c:v>
                </c:pt>
                <c:pt idx="922">
                  <c:v>6</c:v>
                </c:pt>
                <c:pt idx="923">
                  <c:v>6</c:v>
                </c:pt>
                <c:pt idx="924">
                  <c:v>5</c:v>
                </c:pt>
                <c:pt idx="925">
                  <c:v>#N/A</c:v>
                </c:pt>
                <c:pt idx="926">
                  <c:v>6</c:v>
                </c:pt>
                <c:pt idx="927">
                  <c:v>#N/A</c:v>
                </c:pt>
                <c:pt idx="928">
                  <c:v>5</c:v>
                </c:pt>
                <c:pt idx="929">
                  <c:v>#N/A</c:v>
                </c:pt>
                <c:pt idx="930">
                  <c:v>5</c:v>
                </c:pt>
                <c:pt idx="931">
                  <c:v>5</c:v>
                </c:pt>
                <c:pt idx="932">
                  <c:v>6</c:v>
                </c:pt>
                <c:pt idx="933">
                  <c:v>5</c:v>
                </c:pt>
                <c:pt idx="934">
                  <c:v>5</c:v>
                </c:pt>
                <c:pt idx="935">
                  <c:v>6</c:v>
                </c:pt>
                <c:pt idx="936">
                  <c:v>6</c:v>
                </c:pt>
                <c:pt idx="937">
                  <c:v>#N/A</c:v>
                </c:pt>
                <c:pt idx="938">
                  <c:v>#N/A</c:v>
                </c:pt>
                <c:pt idx="939">
                  <c:v>5</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6</c:v>
                </c:pt>
                <c:pt idx="955">
                  <c:v>5</c:v>
                </c:pt>
                <c:pt idx="956">
                  <c:v>6</c:v>
                </c:pt>
                <c:pt idx="957">
                  <c:v>6</c:v>
                </c:pt>
                <c:pt idx="958">
                  <c:v>#N/A</c:v>
                </c:pt>
                <c:pt idx="959">
                  <c:v>5</c:v>
                </c:pt>
                <c:pt idx="960">
                  <c:v>6</c:v>
                </c:pt>
                <c:pt idx="961">
                  <c:v>5</c:v>
                </c:pt>
                <c:pt idx="962">
                  <c:v>5</c:v>
                </c:pt>
                <c:pt idx="963">
                  <c:v>6</c:v>
                </c:pt>
                <c:pt idx="964">
                  <c:v>6</c:v>
                </c:pt>
                <c:pt idx="965">
                  <c:v>6</c:v>
                </c:pt>
                <c:pt idx="966">
                  <c:v>#N/A</c:v>
                </c:pt>
                <c:pt idx="967">
                  <c:v>5</c:v>
                </c:pt>
                <c:pt idx="968">
                  <c:v>6</c:v>
                </c:pt>
                <c:pt idx="969">
                  <c:v>5</c:v>
                </c:pt>
                <c:pt idx="970">
                  <c:v>6</c:v>
                </c:pt>
                <c:pt idx="971">
                  <c:v>6</c:v>
                </c:pt>
                <c:pt idx="972">
                  <c:v>#N/A</c:v>
                </c:pt>
                <c:pt idx="973">
                  <c:v>5</c:v>
                </c:pt>
                <c:pt idx="974">
                  <c:v>#N/A</c:v>
                </c:pt>
                <c:pt idx="975">
                  <c:v>5</c:v>
                </c:pt>
                <c:pt idx="976">
                  <c:v>5</c:v>
                </c:pt>
                <c:pt idx="977">
                  <c:v>5</c:v>
                </c:pt>
                <c:pt idx="978">
                  <c:v>#N/A</c:v>
                </c:pt>
                <c:pt idx="979">
                  <c:v>5</c:v>
                </c:pt>
                <c:pt idx="980">
                  <c:v>6</c:v>
                </c:pt>
                <c:pt idx="981">
                  <c:v>5</c:v>
                </c:pt>
                <c:pt idx="982">
                  <c:v>6</c:v>
                </c:pt>
                <c:pt idx="983">
                  <c:v>6</c:v>
                </c:pt>
                <c:pt idx="984">
                  <c:v>5</c:v>
                </c:pt>
                <c:pt idx="985">
                  <c:v>6</c:v>
                </c:pt>
                <c:pt idx="986">
                  <c:v>#N/A</c:v>
                </c:pt>
                <c:pt idx="987">
                  <c:v>5</c:v>
                </c:pt>
                <c:pt idx="988">
                  <c:v>5</c:v>
                </c:pt>
                <c:pt idx="989">
                  <c:v>6</c:v>
                </c:pt>
                <c:pt idx="990">
                  <c:v>5</c:v>
                </c:pt>
                <c:pt idx="991">
                  <c:v>5</c:v>
                </c:pt>
                <c:pt idx="992">
                  <c:v>6</c:v>
                </c:pt>
                <c:pt idx="993">
                  <c:v>5</c:v>
                </c:pt>
                <c:pt idx="994">
                  <c:v>5</c:v>
                </c:pt>
                <c:pt idx="995">
                  <c:v>6</c:v>
                </c:pt>
                <c:pt idx="996">
                  <c:v>#N/A</c:v>
                </c:pt>
                <c:pt idx="997">
                  <c:v>#N/A</c:v>
                </c:pt>
                <c:pt idx="998">
                  <c:v>6</c:v>
                </c:pt>
                <c:pt idx="999">
                  <c:v>6</c:v>
                </c:pt>
                <c:pt idx="1000">
                  <c:v>#N/A</c:v>
                </c:pt>
                <c:pt idx="1001">
                  <c:v>#N/A</c:v>
                </c:pt>
                <c:pt idx="1002">
                  <c:v>#N/A</c:v>
                </c:pt>
                <c:pt idx="1003">
                  <c:v>#N/A</c:v>
                </c:pt>
                <c:pt idx="1004">
                  <c:v>5</c:v>
                </c:pt>
                <c:pt idx="1005">
                  <c:v>#N/A</c:v>
                </c:pt>
                <c:pt idx="1006">
                  <c:v>#N/A</c:v>
                </c:pt>
                <c:pt idx="1007">
                  <c:v>#N/A</c:v>
                </c:pt>
                <c:pt idx="1008">
                  <c:v>#N/A</c:v>
                </c:pt>
                <c:pt idx="1009">
                  <c:v>5</c:v>
                </c:pt>
                <c:pt idx="1010">
                  <c:v>#N/A</c:v>
                </c:pt>
                <c:pt idx="1011">
                  <c:v>6</c:v>
                </c:pt>
                <c:pt idx="1012">
                  <c:v>5</c:v>
                </c:pt>
                <c:pt idx="1013">
                  <c:v>6</c:v>
                </c:pt>
                <c:pt idx="1014">
                  <c:v>6</c:v>
                </c:pt>
                <c:pt idx="1015">
                  <c:v>6</c:v>
                </c:pt>
                <c:pt idx="1016">
                  <c:v>#N/A</c:v>
                </c:pt>
                <c:pt idx="1017">
                  <c:v>6</c:v>
                </c:pt>
                <c:pt idx="1018">
                  <c:v>6</c:v>
                </c:pt>
                <c:pt idx="1019">
                  <c:v>5</c:v>
                </c:pt>
                <c:pt idx="1020">
                  <c:v>6</c:v>
                </c:pt>
                <c:pt idx="1021">
                  <c:v>6</c:v>
                </c:pt>
                <c:pt idx="1022">
                  <c:v>5</c:v>
                </c:pt>
                <c:pt idx="1023">
                  <c:v>6</c:v>
                </c:pt>
                <c:pt idx="1024">
                  <c:v>#N/A</c:v>
                </c:pt>
                <c:pt idx="1025">
                  <c:v>6</c:v>
                </c:pt>
                <c:pt idx="1026">
                  <c:v>6</c:v>
                </c:pt>
                <c:pt idx="1027">
                  <c:v>5</c:v>
                </c:pt>
                <c:pt idx="1028">
                  <c:v>6</c:v>
                </c:pt>
                <c:pt idx="1029">
                  <c:v>#N/A</c:v>
                </c:pt>
                <c:pt idx="1030">
                  <c:v>#N/A</c:v>
                </c:pt>
                <c:pt idx="1031">
                  <c:v>#N/A</c:v>
                </c:pt>
                <c:pt idx="1032">
                  <c:v>5</c:v>
                </c:pt>
                <c:pt idx="1033">
                  <c:v>6</c:v>
                </c:pt>
                <c:pt idx="1034">
                  <c:v>6</c:v>
                </c:pt>
                <c:pt idx="1035">
                  <c:v>#N/A</c:v>
                </c:pt>
                <c:pt idx="1036">
                  <c:v>#N/A</c:v>
                </c:pt>
                <c:pt idx="1037">
                  <c:v>5</c:v>
                </c:pt>
                <c:pt idx="1038">
                  <c:v>#N/A</c:v>
                </c:pt>
                <c:pt idx="1039">
                  <c:v>6</c:v>
                </c:pt>
                <c:pt idx="1040">
                  <c:v>5</c:v>
                </c:pt>
                <c:pt idx="1041">
                  <c:v>6</c:v>
                </c:pt>
                <c:pt idx="1042">
                  <c:v>6</c:v>
                </c:pt>
                <c:pt idx="1043">
                  <c:v>#N/A</c:v>
                </c:pt>
                <c:pt idx="1044">
                  <c:v>6</c:v>
                </c:pt>
                <c:pt idx="1045">
                  <c:v>6</c:v>
                </c:pt>
                <c:pt idx="1046">
                  <c:v>6</c:v>
                </c:pt>
                <c:pt idx="1047">
                  <c:v>5</c:v>
                </c:pt>
                <c:pt idx="1048">
                  <c:v>6</c:v>
                </c:pt>
                <c:pt idx="1049">
                  <c:v>6</c:v>
                </c:pt>
                <c:pt idx="1050">
                  <c:v>5</c:v>
                </c:pt>
                <c:pt idx="1051">
                  <c:v>5</c:v>
                </c:pt>
                <c:pt idx="1052">
                  <c:v>5</c:v>
                </c:pt>
                <c:pt idx="1053">
                  <c:v>#N/A</c:v>
                </c:pt>
                <c:pt idx="1054">
                  <c:v>6</c:v>
                </c:pt>
                <c:pt idx="1055">
                  <c:v>6</c:v>
                </c:pt>
                <c:pt idx="1056">
                  <c:v>#N/A</c:v>
                </c:pt>
                <c:pt idx="1057">
                  <c:v>5</c:v>
                </c:pt>
                <c:pt idx="1058">
                  <c:v>#N/A</c:v>
                </c:pt>
                <c:pt idx="1059">
                  <c:v>#N/A</c:v>
                </c:pt>
                <c:pt idx="1060">
                  <c:v>6</c:v>
                </c:pt>
                <c:pt idx="1061">
                  <c:v>#N/A</c:v>
                </c:pt>
                <c:pt idx="1062">
                  <c:v>6</c:v>
                </c:pt>
                <c:pt idx="1063">
                  <c:v>6</c:v>
                </c:pt>
                <c:pt idx="1064">
                  <c:v>6</c:v>
                </c:pt>
                <c:pt idx="1065">
                  <c:v>6</c:v>
                </c:pt>
                <c:pt idx="1066">
                  <c:v>#N/A</c:v>
                </c:pt>
                <c:pt idx="1067">
                  <c:v>#N/A</c:v>
                </c:pt>
                <c:pt idx="1068">
                  <c:v>#N/A</c:v>
                </c:pt>
                <c:pt idx="1069">
                  <c:v>5</c:v>
                </c:pt>
                <c:pt idx="1070">
                  <c:v>#N/A</c:v>
                </c:pt>
                <c:pt idx="1071">
                  <c:v>5</c:v>
                </c:pt>
                <c:pt idx="1072">
                  <c:v>6</c:v>
                </c:pt>
                <c:pt idx="1073">
                  <c:v>6</c:v>
                </c:pt>
                <c:pt idx="1074">
                  <c:v>5</c:v>
                </c:pt>
                <c:pt idx="1075">
                  <c:v>#N/A</c:v>
                </c:pt>
                <c:pt idx="1076">
                  <c:v>6</c:v>
                </c:pt>
                <c:pt idx="1077">
                  <c:v>5</c:v>
                </c:pt>
                <c:pt idx="1078">
                  <c:v>5</c:v>
                </c:pt>
                <c:pt idx="1079">
                  <c:v>#N/A</c:v>
                </c:pt>
                <c:pt idx="1080">
                  <c:v>6</c:v>
                </c:pt>
                <c:pt idx="1081">
                  <c:v>#N/A</c:v>
                </c:pt>
                <c:pt idx="1082">
                  <c:v>6</c:v>
                </c:pt>
                <c:pt idx="1083">
                  <c:v>6</c:v>
                </c:pt>
                <c:pt idx="1084">
                  <c:v>6</c:v>
                </c:pt>
                <c:pt idx="1085">
                  <c:v>5</c:v>
                </c:pt>
                <c:pt idx="1086">
                  <c:v>#N/A</c:v>
                </c:pt>
                <c:pt idx="1087">
                  <c:v>6</c:v>
                </c:pt>
                <c:pt idx="1088">
                  <c:v>#N/A</c:v>
                </c:pt>
                <c:pt idx="1089">
                  <c:v>#N/A</c:v>
                </c:pt>
                <c:pt idx="1090">
                  <c:v>#N/A</c:v>
                </c:pt>
                <c:pt idx="1091">
                  <c:v>6</c:v>
                </c:pt>
                <c:pt idx="1092">
                  <c:v>6</c:v>
                </c:pt>
                <c:pt idx="1093">
                  <c:v>#N/A</c:v>
                </c:pt>
                <c:pt idx="1094">
                  <c:v>6</c:v>
                </c:pt>
                <c:pt idx="1095">
                  <c:v>5</c:v>
                </c:pt>
                <c:pt idx="1096">
                  <c:v>6</c:v>
                </c:pt>
                <c:pt idx="1097">
                  <c:v>5</c:v>
                </c:pt>
                <c:pt idx="1098">
                  <c:v>#N/A</c:v>
                </c:pt>
                <c:pt idx="1099">
                  <c:v>5</c:v>
                </c:pt>
                <c:pt idx="1100">
                  <c:v>6</c:v>
                </c:pt>
                <c:pt idx="1101">
                  <c:v>6</c:v>
                </c:pt>
                <c:pt idx="1102">
                  <c:v>6</c:v>
                </c:pt>
                <c:pt idx="1103">
                  <c:v>6</c:v>
                </c:pt>
                <c:pt idx="1104">
                  <c:v>6</c:v>
                </c:pt>
                <c:pt idx="1105">
                  <c:v>5</c:v>
                </c:pt>
                <c:pt idx="1106">
                  <c:v>6</c:v>
                </c:pt>
                <c:pt idx="1107">
                  <c:v>#N/A</c:v>
                </c:pt>
                <c:pt idx="1108">
                  <c:v>5</c:v>
                </c:pt>
                <c:pt idx="1109">
                  <c:v>6</c:v>
                </c:pt>
                <c:pt idx="1110">
                  <c:v>6</c:v>
                </c:pt>
                <c:pt idx="1111">
                  <c:v>#N/A</c:v>
                </c:pt>
                <c:pt idx="1112">
                  <c:v>6</c:v>
                </c:pt>
                <c:pt idx="1113">
                  <c:v>6</c:v>
                </c:pt>
                <c:pt idx="1114">
                  <c:v>6</c:v>
                </c:pt>
                <c:pt idx="1115">
                  <c:v>6</c:v>
                </c:pt>
                <c:pt idx="1116">
                  <c:v>6</c:v>
                </c:pt>
                <c:pt idx="1117">
                  <c:v>6</c:v>
                </c:pt>
                <c:pt idx="1118">
                  <c:v>6</c:v>
                </c:pt>
                <c:pt idx="1119">
                  <c:v>5</c:v>
                </c:pt>
                <c:pt idx="1120">
                  <c:v>#N/A</c:v>
                </c:pt>
                <c:pt idx="1121">
                  <c:v>6</c:v>
                </c:pt>
                <c:pt idx="1122">
                  <c:v>6</c:v>
                </c:pt>
                <c:pt idx="1123">
                  <c:v>6</c:v>
                </c:pt>
                <c:pt idx="1124">
                  <c:v>#N/A</c:v>
                </c:pt>
                <c:pt idx="1125">
                  <c:v>#N/A</c:v>
                </c:pt>
                <c:pt idx="1126">
                  <c:v>6</c:v>
                </c:pt>
                <c:pt idx="1127">
                  <c:v>6</c:v>
                </c:pt>
                <c:pt idx="1128">
                  <c:v>5</c:v>
                </c:pt>
                <c:pt idx="1129">
                  <c:v>6</c:v>
                </c:pt>
                <c:pt idx="1130">
                  <c:v>6</c:v>
                </c:pt>
                <c:pt idx="1131">
                  <c:v>5</c:v>
                </c:pt>
                <c:pt idx="1132">
                  <c:v>#N/A</c:v>
                </c:pt>
                <c:pt idx="1133">
                  <c:v>#N/A</c:v>
                </c:pt>
                <c:pt idx="1134">
                  <c:v>#N/A</c:v>
                </c:pt>
                <c:pt idx="1135">
                  <c:v>6</c:v>
                </c:pt>
                <c:pt idx="1136">
                  <c:v>6</c:v>
                </c:pt>
                <c:pt idx="1137">
                  <c:v>6</c:v>
                </c:pt>
                <c:pt idx="1138">
                  <c:v>5</c:v>
                </c:pt>
                <c:pt idx="1139">
                  <c:v>6</c:v>
                </c:pt>
                <c:pt idx="1140">
                  <c:v>6</c:v>
                </c:pt>
                <c:pt idx="1141">
                  <c:v>6</c:v>
                </c:pt>
                <c:pt idx="1142">
                  <c:v>6</c:v>
                </c:pt>
                <c:pt idx="1143">
                  <c:v>6</c:v>
                </c:pt>
                <c:pt idx="1144">
                  <c:v>5</c:v>
                </c:pt>
                <c:pt idx="1145">
                  <c:v>6</c:v>
                </c:pt>
                <c:pt idx="1146">
                  <c:v>6</c:v>
                </c:pt>
                <c:pt idx="1147">
                  <c:v>#N/A</c:v>
                </c:pt>
                <c:pt idx="1148">
                  <c:v>6</c:v>
                </c:pt>
                <c:pt idx="1149">
                  <c:v>6</c:v>
                </c:pt>
                <c:pt idx="1150">
                  <c:v>#N/A</c:v>
                </c:pt>
                <c:pt idx="1151">
                  <c:v>6</c:v>
                </c:pt>
                <c:pt idx="1152">
                  <c:v>5</c:v>
                </c:pt>
                <c:pt idx="1153">
                  <c:v>6</c:v>
                </c:pt>
                <c:pt idx="1154">
                  <c:v>6</c:v>
                </c:pt>
                <c:pt idx="1155">
                  <c:v>5</c:v>
                </c:pt>
                <c:pt idx="1156">
                  <c:v>#N/A</c:v>
                </c:pt>
                <c:pt idx="1157">
                  <c:v>#N/A</c:v>
                </c:pt>
                <c:pt idx="1158">
                  <c:v>6</c:v>
                </c:pt>
                <c:pt idx="1159">
                  <c:v>5</c:v>
                </c:pt>
                <c:pt idx="1160">
                  <c:v>#N/A</c:v>
                </c:pt>
                <c:pt idx="1161">
                  <c:v>6</c:v>
                </c:pt>
                <c:pt idx="1162">
                  <c:v>#N/A</c:v>
                </c:pt>
                <c:pt idx="1163">
                  <c:v>5</c:v>
                </c:pt>
                <c:pt idx="1164">
                  <c:v>5</c:v>
                </c:pt>
                <c:pt idx="1165">
                  <c:v>5</c:v>
                </c:pt>
                <c:pt idx="1166">
                  <c:v>5</c:v>
                </c:pt>
                <c:pt idx="1167">
                  <c:v>#N/A</c:v>
                </c:pt>
                <c:pt idx="1168">
                  <c:v>6</c:v>
                </c:pt>
                <c:pt idx="1169">
                  <c:v>6</c:v>
                </c:pt>
                <c:pt idx="1170">
                  <c:v>6</c:v>
                </c:pt>
                <c:pt idx="1171">
                  <c:v>6</c:v>
                </c:pt>
                <c:pt idx="1172">
                  <c:v>6</c:v>
                </c:pt>
                <c:pt idx="1173">
                  <c:v>6</c:v>
                </c:pt>
                <c:pt idx="1174">
                  <c:v>6</c:v>
                </c:pt>
                <c:pt idx="1175">
                  <c:v>6</c:v>
                </c:pt>
                <c:pt idx="1176">
                  <c:v>#N/A</c:v>
                </c:pt>
                <c:pt idx="1177">
                  <c:v>#N/A</c:v>
                </c:pt>
                <c:pt idx="1178">
                  <c:v>5</c:v>
                </c:pt>
                <c:pt idx="1179">
                  <c:v>6</c:v>
                </c:pt>
                <c:pt idx="1180">
                  <c:v>6</c:v>
                </c:pt>
                <c:pt idx="1181">
                  <c:v>5</c:v>
                </c:pt>
                <c:pt idx="1182">
                  <c:v>6</c:v>
                </c:pt>
                <c:pt idx="1183">
                  <c:v>5</c:v>
                </c:pt>
                <c:pt idx="1184">
                  <c:v>5</c:v>
                </c:pt>
                <c:pt idx="1185">
                  <c:v>6</c:v>
                </c:pt>
                <c:pt idx="1186">
                  <c:v>5</c:v>
                </c:pt>
                <c:pt idx="1187">
                  <c:v>6</c:v>
                </c:pt>
                <c:pt idx="1188">
                  <c:v>5</c:v>
                </c:pt>
                <c:pt idx="1189">
                  <c:v>#N/A</c:v>
                </c:pt>
                <c:pt idx="1190">
                  <c:v>6</c:v>
                </c:pt>
                <c:pt idx="1191">
                  <c:v>5</c:v>
                </c:pt>
                <c:pt idx="1192">
                  <c:v>#N/A</c:v>
                </c:pt>
                <c:pt idx="1193">
                  <c:v>5</c:v>
                </c:pt>
                <c:pt idx="1194">
                  <c:v>6</c:v>
                </c:pt>
                <c:pt idx="1195">
                  <c:v>6</c:v>
                </c:pt>
                <c:pt idx="1196">
                  <c:v>6</c:v>
                </c:pt>
                <c:pt idx="1197">
                  <c:v>6</c:v>
                </c:pt>
                <c:pt idx="1198">
                  <c:v>6</c:v>
                </c:pt>
                <c:pt idx="1199">
                  <c:v>6</c:v>
                </c:pt>
                <c:pt idx="1200">
                  <c:v>6</c:v>
                </c:pt>
                <c:pt idx="1201">
                  <c:v>#N/A</c:v>
                </c:pt>
                <c:pt idx="1202">
                  <c:v>#N/A</c:v>
                </c:pt>
                <c:pt idx="1203">
                  <c:v>5</c:v>
                </c:pt>
                <c:pt idx="1204">
                  <c:v>#N/A</c:v>
                </c:pt>
                <c:pt idx="1205">
                  <c:v>#N/A</c:v>
                </c:pt>
                <c:pt idx="1206">
                  <c:v>#N/A</c:v>
                </c:pt>
                <c:pt idx="1207">
                  <c:v>5</c:v>
                </c:pt>
                <c:pt idx="1208">
                  <c:v>#N/A</c:v>
                </c:pt>
                <c:pt idx="1209">
                  <c:v>#N/A</c:v>
                </c:pt>
                <c:pt idx="1210">
                  <c:v>6</c:v>
                </c:pt>
                <c:pt idx="1211">
                  <c:v>5</c:v>
                </c:pt>
                <c:pt idx="1212">
                  <c:v>6</c:v>
                </c:pt>
                <c:pt idx="1213">
                  <c:v>6</c:v>
                </c:pt>
                <c:pt idx="1214">
                  <c:v>6</c:v>
                </c:pt>
                <c:pt idx="1215">
                  <c:v>6</c:v>
                </c:pt>
                <c:pt idx="1216">
                  <c:v>6</c:v>
                </c:pt>
                <c:pt idx="1217">
                  <c:v>6</c:v>
                </c:pt>
                <c:pt idx="1218">
                  <c:v>6</c:v>
                </c:pt>
                <c:pt idx="1219">
                  <c:v>6</c:v>
                </c:pt>
                <c:pt idx="1220">
                  <c:v>6</c:v>
                </c:pt>
                <c:pt idx="1221">
                  <c:v>6</c:v>
                </c:pt>
                <c:pt idx="1222">
                  <c:v>6</c:v>
                </c:pt>
                <c:pt idx="1223">
                  <c:v>6</c:v>
                </c:pt>
                <c:pt idx="1224">
                  <c:v>6</c:v>
                </c:pt>
                <c:pt idx="1225">
                  <c:v>5</c:v>
                </c:pt>
                <c:pt idx="1226">
                  <c:v>5</c:v>
                </c:pt>
                <c:pt idx="1227">
                  <c:v>5</c:v>
                </c:pt>
                <c:pt idx="1228">
                  <c:v>#N/A</c:v>
                </c:pt>
                <c:pt idx="1229">
                  <c:v>5</c:v>
                </c:pt>
                <c:pt idx="1230">
                  <c:v>6</c:v>
                </c:pt>
                <c:pt idx="1231">
                  <c:v>5</c:v>
                </c:pt>
                <c:pt idx="1232">
                  <c:v>5</c:v>
                </c:pt>
                <c:pt idx="1233">
                  <c:v>#N/A</c:v>
                </c:pt>
                <c:pt idx="1234">
                  <c:v>6</c:v>
                </c:pt>
                <c:pt idx="1235">
                  <c:v>#N/A</c:v>
                </c:pt>
                <c:pt idx="1236">
                  <c:v>6</c:v>
                </c:pt>
                <c:pt idx="1237">
                  <c:v>6</c:v>
                </c:pt>
                <c:pt idx="1238">
                  <c:v>#N/A</c:v>
                </c:pt>
                <c:pt idx="1239">
                  <c:v>#N/A</c:v>
                </c:pt>
                <c:pt idx="1240">
                  <c:v>5</c:v>
                </c:pt>
                <c:pt idx="1241">
                  <c:v>5</c:v>
                </c:pt>
                <c:pt idx="1242">
                  <c:v>6</c:v>
                </c:pt>
                <c:pt idx="1243">
                  <c:v>5</c:v>
                </c:pt>
                <c:pt idx="1244">
                  <c:v>6</c:v>
                </c:pt>
                <c:pt idx="1245">
                  <c:v>5</c:v>
                </c:pt>
                <c:pt idx="1246">
                  <c:v>5</c:v>
                </c:pt>
                <c:pt idx="1247">
                  <c:v>5</c:v>
                </c:pt>
                <c:pt idx="1248">
                  <c:v>6</c:v>
                </c:pt>
                <c:pt idx="1249">
                  <c:v>6</c:v>
                </c:pt>
                <c:pt idx="1250">
                  <c:v>6</c:v>
                </c:pt>
                <c:pt idx="1251">
                  <c:v>5</c:v>
                </c:pt>
                <c:pt idx="1252">
                  <c:v>5</c:v>
                </c:pt>
                <c:pt idx="1253">
                  <c:v>5</c:v>
                </c:pt>
                <c:pt idx="1254">
                  <c:v>5</c:v>
                </c:pt>
                <c:pt idx="1255">
                  <c:v>5</c:v>
                </c:pt>
                <c:pt idx="1256">
                  <c:v>5</c:v>
                </c:pt>
                <c:pt idx="1257">
                  <c:v>6</c:v>
                </c:pt>
                <c:pt idx="1258">
                  <c:v>6</c:v>
                </c:pt>
                <c:pt idx="1259">
                  <c:v>6</c:v>
                </c:pt>
                <c:pt idx="1260">
                  <c:v>5</c:v>
                </c:pt>
                <c:pt idx="1261">
                  <c:v>#N/A</c:v>
                </c:pt>
                <c:pt idx="1262">
                  <c:v>5</c:v>
                </c:pt>
                <c:pt idx="1263">
                  <c:v>#N/A</c:v>
                </c:pt>
                <c:pt idx="1264">
                  <c:v>6</c:v>
                </c:pt>
                <c:pt idx="1265">
                  <c:v>6</c:v>
                </c:pt>
                <c:pt idx="1266">
                  <c:v>6</c:v>
                </c:pt>
                <c:pt idx="1267">
                  <c:v>6</c:v>
                </c:pt>
                <c:pt idx="1268">
                  <c:v>6</c:v>
                </c:pt>
                <c:pt idx="1269">
                  <c:v>#N/A</c:v>
                </c:pt>
                <c:pt idx="1270">
                  <c:v>6</c:v>
                </c:pt>
                <c:pt idx="1271">
                  <c:v>6</c:v>
                </c:pt>
                <c:pt idx="1272">
                  <c:v>5</c:v>
                </c:pt>
                <c:pt idx="1273">
                  <c:v>5</c:v>
                </c:pt>
                <c:pt idx="1274">
                  <c:v>6</c:v>
                </c:pt>
                <c:pt idx="1275">
                  <c:v>6</c:v>
                </c:pt>
                <c:pt idx="1276">
                  <c:v>#N/A</c:v>
                </c:pt>
                <c:pt idx="1277">
                  <c:v>6</c:v>
                </c:pt>
                <c:pt idx="1278">
                  <c:v>6</c:v>
                </c:pt>
                <c:pt idx="1279">
                  <c:v>#N/A</c:v>
                </c:pt>
                <c:pt idx="1280">
                  <c:v>6</c:v>
                </c:pt>
                <c:pt idx="1281">
                  <c:v>6</c:v>
                </c:pt>
                <c:pt idx="1282">
                  <c:v>6</c:v>
                </c:pt>
                <c:pt idx="1283">
                  <c:v>6</c:v>
                </c:pt>
                <c:pt idx="1284">
                  <c:v>5</c:v>
                </c:pt>
                <c:pt idx="1285">
                  <c:v>5</c:v>
                </c:pt>
                <c:pt idx="1286">
                  <c:v>6</c:v>
                </c:pt>
                <c:pt idx="1287">
                  <c:v>5</c:v>
                </c:pt>
                <c:pt idx="1288">
                  <c:v>5</c:v>
                </c:pt>
                <c:pt idx="1289">
                  <c:v>5</c:v>
                </c:pt>
                <c:pt idx="1290">
                  <c:v>5</c:v>
                </c:pt>
                <c:pt idx="1291">
                  <c:v>6</c:v>
                </c:pt>
                <c:pt idx="1292">
                  <c:v>6</c:v>
                </c:pt>
                <c:pt idx="1293">
                  <c:v>#N/A</c:v>
                </c:pt>
                <c:pt idx="1294">
                  <c:v>6</c:v>
                </c:pt>
                <c:pt idx="1295">
                  <c:v>5</c:v>
                </c:pt>
                <c:pt idx="1296">
                  <c:v>5</c:v>
                </c:pt>
                <c:pt idx="1297">
                  <c:v>6</c:v>
                </c:pt>
                <c:pt idx="1298">
                  <c:v>6</c:v>
                </c:pt>
                <c:pt idx="1299">
                  <c:v>#N/A</c:v>
                </c:pt>
                <c:pt idx="1300">
                  <c:v>6</c:v>
                </c:pt>
                <c:pt idx="1301">
                  <c:v>6</c:v>
                </c:pt>
                <c:pt idx="1302">
                  <c:v>6</c:v>
                </c:pt>
                <c:pt idx="1303">
                  <c:v>5</c:v>
                </c:pt>
                <c:pt idx="1304">
                  <c:v>5</c:v>
                </c:pt>
                <c:pt idx="1305">
                  <c:v>5</c:v>
                </c:pt>
                <c:pt idx="1306">
                  <c:v>5</c:v>
                </c:pt>
                <c:pt idx="1307">
                  <c:v>#N/A</c:v>
                </c:pt>
                <c:pt idx="1308">
                  <c:v>5</c:v>
                </c:pt>
                <c:pt idx="1309">
                  <c:v>5</c:v>
                </c:pt>
                <c:pt idx="1310">
                  <c:v>5</c:v>
                </c:pt>
                <c:pt idx="1311">
                  <c:v>6</c:v>
                </c:pt>
                <c:pt idx="1312">
                  <c:v>5</c:v>
                </c:pt>
                <c:pt idx="1313">
                  <c:v>6</c:v>
                </c:pt>
                <c:pt idx="1314">
                  <c:v>6</c:v>
                </c:pt>
                <c:pt idx="1315">
                  <c:v>6</c:v>
                </c:pt>
                <c:pt idx="1316">
                  <c:v>6</c:v>
                </c:pt>
                <c:pt idx="1317">
                  <c:v>6</c:v>
                </c:pt>
                <c:pt idx="1318">
                  <c:v>6</c:v>
                </c:pt>
                <c:pt idx="1319">
                  <c:v>6</c:v>
                </c:pt>
                <c:pt idx="1320">
                  <c:v>5</c:v>
                </c:pt>
                <c:pt idx="1321">
                  <c:v>6</c:v>
                </c:pt>
                <c:pt idx="1322">
                  <c:v>5</c:v>
                </c:pt>
                <c:pt idx="1323">
                  <c:v>#N/A</c:v>
                </c:pt>
                <c:pt idx="1324">
                  <c:v>6</c:v>
                </c:pt>
                <c:pt idx="1325">
                  <c:v>6</c:v>
                </c:pt>
                <c:pt idx="1326">
                  <c:v>6</c:v>
                </c:pt>
                <c:pt idx="1327">
                  <c:v>6</c:v>
                </c:pt>
                <c:pt idx="1328">
                  <c:v>5</c:v>
                </c:pt>
                <c:pt idx="1329">
                  <c:v>6</c:v>
                </c:pt>
                <c:pt idx="1330">
                  <c:v>6</c:v>
                </c:pt>
                <c:pt idx="1331">
                  <c:v>5</c:v>
                </c:pt>
                <c:pt idx="1332">
                  <c:v>6</c:v>
                </c:pt>
                <c:pt idx="1333">
                  <c:v>5</c:v>
                </c:pt>
                <c:pt idx="1334">
                  <c:v>5</c:v>
                </c:pt>
                <c:pt idx="1335">
                  <c:v>6</c:v>
                </c:pt>
                <c:pt idx="1336">
                  <c:v>5</c:v>
                </c:pt>
                <c:pt idx="1337">
                  <c:v>5</c:v>
                </c:pt>
                <c:pt idx="1338">
                  <c:v>5</c:v>
                </c:pt>
                <c:pt idx="1339">
                  <c:v>6</c:v>
                </c:pt>
                <c:pt idx="1340">
                  <c:v>6</c:v>
                </c:pt>
                <c:pt idx="1341">
                  <c:v>6</c:v>
                </c:pt>
                <c:pt idx="1342">
                  <c:v>6</c:v>
                </c:pt>
                <c:pt idx="1343">
                  <c:v>6</c:v>
                </c:pt>
                <c:pt idx="1344">
                  <c:v>5</c:v>
                </c:pt>
                <c:pt idx="1345">
                  <c:v>6</c:v>
                </c:pt>
                <c:pt idx="1346">
                  <c:v>5</c:v>
                </c:pt>
                <c:pt idx="1347">
                  <c:v>5</c:v>
                </c:pt>
                <c:pt idx="1348">
                  <c:v>5</c:v>
                </c:pt>
                <c:pt idx="1349">
                  <c:v>5</c:v>
                </c:pt>
                <c:pt idx="1350">
                  <c:v>5</c:v>
                </c:pt>
                <c:pt idx="1351">
                  <c:v>6</c:v>
                </c:pt>
                <c:pt idx="1352">
                  <c:v>5</c:v>
                </c:pt>
                <c:pt idx="1353">
                  <c:v>5</c:v>
                </c:pt>
                <c:pt idx="1354">
                  <c:v>5</c:v>
                </c:pt>
                <c:pt idx="1355">
                  <c:v>5</c:v>
                </c:pt>
                <c:pt idx="1356">
                  <c:v>5</c:v>
                </c:pt>
                <c:pt idx="1357">
                  <c:v>6</c:v>
                </c:pt>
                <c:pt idx="1358">
                  <c:v>5</c:v>
                </c:pt>
                <c:pt idx="1359">
                  <c:v>6</c:v>
                </c:pt>
                <c:pt idx="1360">
                  <c:v>5</c:v>
                </c:pt>
                <c:pt idx="1361">
                  <c:v>5</c:v>
                </c:pt>
                <c:pt idx="1362">
                  <c:v>6</c:v>
                </c:pt>
                <c:pt idx="1363">
                  <c:v>#N/A</c:v>
                </c:pt>
                <c:pt idx="1364">
                  <c:v>6</c:v>
                </c:pt>
                <c:pt idx="1365">
                  <c:v>5</c:v>
                </c:pt>
                <c:pt idx="1366">
                  <c:v>5</c:v>
                </c:pt>
                <c:pt idx="1367">
                  <c:v>6</c:v>
                </c:pt>
                <c:pt idx="1368">
                  <c:v>6</c:v>
                </c:pt>
                <c:pt idx="1369">
                  <c:v>#N/A</c:v>
                </c:pt>
                <c:pt idx="1370">
                  <c:v>5</c:v>
                </c:pt>
                <c:pt idx="1371">
                  <c:v>6</c:v>
                </c:pt>
                <c:pt idx="1372">
                  <c:v>5</c:v>
                </c:pt>
                <c:pt idx="1373">
                  <c:v>5</c:v>
                </c:pt>
                <c:pt idx="1374">
                  <c:v>#N/A</c:v>
                </c:pt>
                <c:pt idx="1375">
                  <c:v>5</c:v>
                </c:pt>
                <c:pt idx="1376">
                  <c:v>5</c:v>
                </c:pt>
                <c:pt idx="1377">
                  <c:v>6</c:v>
                </c:pt>
                <c:pt idx="1378">
                  <c:v>6</c:v>
                </c:pt>
                <c:pt idx="1379">
                  <c:v>6</c:v>
                </c:pt>
                <c:pt idx="1380">
                  <c:v>6</c:v>
                </c:pt>
                <c:pt idx="1381">
                  <c:v>5</c:v>
                </c:pt>
                <c:pt idx="1382">
                  <c:v>5</c:v>
                </c:pt>
                <c:pt idx="1383">
                  <c:v>5</c:v>
                </c:pt>
                <c:pt idx="1384">
                  <c:v>5</c:v>
                </c:pt>
                <c:pt idx="1385">
                  <c:v>5</c:v>
                </c:pt>
                <c:pt idx="1386">
                  <c:v>5</c:v>
                </c:pt>
                <c:pt idx="1387">
                  <c:v>5</c:v>
                </c:pt>
                <c:pt idx="1388">
                  <c:v>5</c:v>
                </c:pt>
                <c:pt idx="1389">
                  <c:v>5</c:v>
                </c:pt>
                <c:pt idx="1390">
                  <c:v>6</c:v>
                </c:pt>
                <c:pt idx="1391">
                  <c:v>5</c:v>
                </c:pt>
                <c:pt idx="1392">
                  <c:v>5</c:v>
                </c:pt>
                <c:pt idx="1393">
                  <c:v>5</c:v>
                </c:pt>
                <c:pt idx="1394">
                  <c:v>5</c:v>
                </c:pt>
                <c:pt idx="1395">
                  <c:v>6</c:v>
                </c:pt>
                <c:pt idx="1396">
                  <c:v>5</c:v>
                </c:pt>
                <c:pt idx="1397">
                  <c:v>5</c:v>
                </c:pt>
                <c:pt idx="1398">
                  <c:v>#N/A</c:v>
                </c:pt>
                <c:pt idx="1399">
                  <c:v>6</c:v>
                </c:pt>
                <c:pt idx="1400">
                  <c:v>5</c:v>
                </c:pt>
                <c:pt idx="1401">
                  <c:v>5</c:v>
                </c:pt>
                <c:pt idx="1402">
                  <c:v>6</c:v>
                </c:pt>
                <c:pt idx="1403">
                  <c:v>#N/A</c:v>
                </c:pt>
                <c:pt idx="1404">
                  <c:v>6</c:v>
                </c:pt>
                <c:pt idx="1405">
                  <c:v>#N/A</c:v>
                </c:pt>
                <c:pt idx="1406">
                  <c:v>6</c:v>
                </c:pt>
                <c:pt idx="1407">
                  <c:v>6</c:v>
                </c:pt>
                <c:pt idx="1408">
                  <c:v>#N/A</c:v>
                </c:pt>
                <c:pt idx="1409">
                  <c:v>6</c:v>
                </c:pt>
                <c:pt idx="1410">
                  <c:v>6</c:v>
                </c:pt>
                <c:pt idx="1411">
                  <c:v>6</c:v>
                </c:pt>
                <c:pt idx="1412">
                  <c:v>6</c:v>
                </c:pt>
                <c:pt idx="1413">
                  <c:v>5</c:v>
                </c:pt>
                <c:pt idx="1414">
                  <c:v>5</c:v>
                </c:pt>
                <c:pt idx="1415">
                  <c:v>5</c:v>
                </c:pt>
                <c:pt idx="1416">
                  <c:v>5</c:v>
                </c:pt>
                <c:pt idx="1417">
                  <c:v>#N/A</c:v>
                </c:pt>
                <c:pt idx="1418">
                  <c:v>5</c:v>
                </c:pt>
                <c:pt idx="1419">
                  <c:v>5</c:v>
                </c:pt>
                <c:pt idx="1420">
                  <c:v>5</c:v>
                </c:pt>
                <c:pt idx="1421">
                  <c:v>5</c:v>
                </c:pt>
                <c:pt idx="1422">
                  <c:v>6</c:v>
                </c:pt>
                <c:pt idx="1423">
                  <c:v>#N/A</c:v>
                </c:pt>
                <c:pt idx="1424">
                  <c:v>6</c:v>
                </c:pt>
                <c:pt idx="1425">
                  <c:v>6</c:v>
                </c:pt>
                <c:pt idx="1426">
                  <c:v>6</c:v>
                </c:pt>
                <c:pt idx="1427">
                  <c:v>5</c:v>
                </c:pt>
                <c:pt idx="1428">
                  <c:v>5</c:v>
                </c:pt>
                <c:pt idx="1429">
                  <c:v>5</c:v>
                </c:pt>
                <c:pt idx="1430">
                  <c:v>5</c:v>
                </c:pt>
                <c:pt idx="1431">
                  <c:v>6</c:v>
                </c:pt>
                <c:pt idx="1432">
                  <c:v>6</c:v>
                </c:pt>
                <c:pt idx="1433">
                  <c:v>#N/A</c:v>
                </c:pt>
                <c:pt idx="1434">
                  <c:v>6</c:v>
                </c:pt>
                <c:pt idx="1435">
                  <c:v>6</c:v>
                </c:pt>
                <c:pt idx="1436">
                  <c:v>5</c:v>
                </c:pt>
                <c:pt idx="1437">
                  <c:v>5</c:v>
                </c:pt>
                <c:pt idx="1438">
                  <c:v>5</c:v>
                </c:pt>
                <c:pt idx="1439">
                  <c:v>6</c:v>
                </c:pt>
                <c:pt idx="1440">
                  <c:v>#N/A</c:v>
                </c:pt>
                <c:pt idx="1441">
                  <c:v>6</c:v>
                </c:pt>
                <c:pt idx="1442">
                  <c:v>5</c:v>
                </c:pt>
                <c:pt idx="1443">
                  <c:v>5</c:v>
                </c:pt>
                <c:pt idx="1444">
                  <c:v>6</c:v>
                </c:pt>
                <c:pt idx="1445">
                  <c:v>6</c:v>
                </c:pt>
                <c:pt idx="1446">
                  <c:v>5</c:v>
                </c:pt>
                <c:pt idx="1447">
                  <c:v>5</c:v>
                </c:pt>
                <c:pt idx="1448">
                  <c:v>5</c:v>
                </c:pt>
                <c:pt idx="1449">
                  <c:v>#N/A</c:v>
                </c:pt>
                <c:pt idx="1450">
                  <c:v>#N/A</c:v>
                </c:pt>
                <c:pt idx="1451">
                  <c:v>#N/A</c:v>
                </c:pt>
                <c:pt idx="1452">
                  <c:v>#N/A</c:v>
                </c:pt>
                <c:pt idx="1453">
                  <c:v>5</c:v>
                </c:pt>
                <c:pt idx="1454">
                  <c:v>6</c:v>
                </c:pt>
                <c:pt idx="1455">
                  <c:v>6</c:v>
                </c:pt>
                <c:pt idx="1456">
                  <c:v>6</c:v>
                </c:pt>
                <c:pt idx="1457">
                  <c:v>5</c:v>
                </c:pt>
                <c:pt idx="1458">
                  <c:v>5</c:v>
                </c:pt>
                <c:pt idx="1459">
                  <c:v>#N/A</c:v>
                </c:pt>
                <c:pt idx="1460">
                  <c:v>6</c:v>
                </c:pt>
                <c:pt idx="1461">
                  <c:v>#N/A</c:v>
                </c:pt>
                <c:pt idx="1462">
                  <c:v>6</c:v>
                </c:pt>
                <c:pt idx="1463">
                  <c:v>6</c:v>
                </c:pt>
                <c:pt idx="1464">
                  <c:v>5</c:v>
                </c:pt>
                <c:pt idx="1465">
                  <c:v>5</c:v>
                </c:pt>
                <c:pt idx="1466">
                  <c:v>#N/A</c:v>
                </c:pt>
                <c:pt idx="1467">
                  <c:v>#N/A</c:v>
                </c:pt>
                <c:pt idx="1468">
                  <c:v>#N/A</c:v>
                </c:pt>
                <c:pt idx="1469">
                  <c:v>#N/A</c:v>
                </c:pt>
                <c:pt idx="1470">
                  <c:v>5</c:v>
                </c:pt>
                <c:pt idx="1471">
                  <c:v>5</c:v>
                </c:pt>
                <c:pt idx="1472">
                  <c:v>6</c:v>
                </c:pt>
                <c:pt idx="1473">
                  <c:v>5</c:v>
                </c:pt>
                <c:pt idx="1474">
                  <c:v>5</c:v>
                </c:pt>
                <c:pt idx="1475">
                  <c:v>#N/A</c:v>
                </c:pt>
                <c:pt idx="1476">
                  <c:v>5</c:v>
                </c:pt>
                <c:pt idx="1477">
                  <c:v>#N/A</c:v>
                </c:pt>
                <c:pt idx="1478">
                  <c:v>#N/A</c:v>
                </c:pt>
                <c:pt idx="1479">
                  <c:v>5</c:v>
                </c:pt>
                <c:pt idx="1480">
                  <c:v>#N/A</c:v>
                </c:pt>
                <c:pt idx="1481">
                  <c:v>5</c:v>
                </c:pt>
                <c:pt idx="1482">
                  <c:v>#N/A</c:v>
                </c:pt>
                <c:pt idx="1483">
                  <c:v>5</c:v>
                </c:pt>
                <c:pt idx="1484">
                  <c:v>#N/A</c:v>
                </c:pt>
                <c:pt idx="1485">
                  <c:v>5</c:v>
                </c:pt>
                <c:pt idx="1486">
                  <c:v>5</c:v>
                </c:pt>
                <c:pt idx="1487">
                  <c:v>5</c:v>
                </c:pt>
                <c:pt idx="1488">
                  <c:v>5</c:v>
                </c:pt>
                <c:pt idx="1489">
                  <c:v>6</c:v>
                </c:pt>
                <c:pt idx="1490">
                  <c:v>6</c:v>
                </c:pt>
                <c:pt idx="1491">
                  <c:v>5</c:v>
                </c:pt>
                <c:pt idx="1492">
                  <c:v>5</c:v>
                </c:pt>
                <c:pt idx="1493">
                  <c:v>5</c:v>
                </c:pt>
                <c:pt idx="1494">
                  <c:v>#N/A</c:v>
                </c:pt>
                <c:pt idx="1495">
                  <c:v>6</c:v>
                </c:pt>
                <c:pt idx="1496">
                  <c:v>5</c:v>
                </c:pt>
                <c:pt idx="1497">
                  <c:v>6</c:v>
                </c:pt>
                <c:pt idx="1498">
                  <c:v>6</c:v>
                </c:pt>
                <c:pt idx="1499">
                  <c:v>6</c:v>
                </c:pt>
                <c:pt idx="1500">
                  <c:v>5</c:v>
                </c:pt>
                <c:pt idx="1501">
                  <c:v>5</c:v>
                </c:pt>
                <c:pt idx="1502">
                  <c:v>5</c:v>
                </c:pt>
                <c:pt idx="1503">
                  <c:v>6</c:v>
                </c:pt>
                <c:pt idx="1504">
                  <c:v>6</c:v>
                </c:pt>
                <c:pt idx="1505">
                  <c:v>#N/A</c:v>
                </c:pt>
                <c:pt idx="1506">
                  <c:v>6</c:v>
                </c:pt>
                <c:pt idx="1507">
                  <c:v>6</c:v>
                </c:pt>
                <c:pt idx="1508">
                  <c:v>6</c:v>
                </c:pt>
                <c:pt idx="1509">
                  <c:v>5</c:v>
                </c:pt>
                <c:pt idx="1510">
                  <c:v>6</c:v>
                </c:pt>
                <c:pt idx="1511">
                  <c:v>5</c:v>
                </c:pt>
                <c:pt idx="1512">
                  <c:v>6</c:v>
                </c:pt>
                <c:pt idx="1513">
                  <c:v>6</c:v>
                </c:pt>
                <c:pt idx="1514">
                  <c:v>6</c:v>
                </c:pt>
                <c:pt idx="1515">
                  <c:v>6</c:v>
                </c:pt>
                <c:pt idx="1516">
                  <c:v>5</c:v>
                </c:pt>
                <c:pt idx="1517">
                  <c:v>6</c:v>
                </c:pt>
                <c:pt idx="1518">
                  <c:v>5</c:v>
                </c:pt>
                <c:pt idx="1519">
                  <c:v>5</c:v>
                </c:pt>
                <c:pt idx="1520">
                  <c:v>6</c:v>
                </c:pt>
                <c:pt idx="1521">
                  <c:v>#N/A</c:v>
                </c:pt>
                <c:pt idx="1522">
                  <c:v>5</c:v>
                </c:pt>
                <c:pt idx="1523">
                  <c:v>5</c:v>
                </c:pt>
                <c:pt idx="1524">
                  <c:v>6</c:v>
                </c:pt>
                <c:pt idx="1525">
                  <c:v>5</c:v>
                </c:pt>
                <c:pt idx="1526">
                  <c:v>6</c:v>
                </c:pt>
                <c:pt idx="1527">
                  <c:v>6</c:v>
                </c:pt>
                <c:pt idx="1528">
                  <c:v>6</c:v>
                </c:pt>
                <c:pt idx="1529">
                  <c:v>6</c:v>
                </c:pt>
                <c:pt idx="1530">
                  <c:v>6</c:v>
                </c:pt>
                <c:pt idx="1531">
                  <c:v>5</c:v>
                </c:pt>
                <c:pt idx="1532">
                  <c:v>6</c:v>
                </c:pt>
                <c:pt idx="1533">
                  <c:v>5</c:v>
                </c:pt>
                <c:pt idx="1534">
                  <c:v>#N/A</c:v>
                </c:pt>
                <c:pt idx="1535">
                  <c:v>6</c:v>
                </c:pt>
                <c:pt idx="1536">
                  <c:v>6</c:v>
                </c:pt>
                <c:pt idx="1537">
                  <c:v>6</c:v>
                </c:pt>
                <c:pt idx="1538">
                  <c:v>5</c:v>
                </c:pt>
                <c:pt idx="1539">
                  <c:v>5</c:v>
                </c:pt>
                <c:pt idx="1540">
                  <c:v>6</c:v>
                </c:pt>
                <c:pt idx="1541">
                  <c:v>#N/A</c:v>
                </c:pt>
                <c:pt idx="1542">
                  <c:v>6</c:v>
                </c:pt>
                <c:pt idx="1543">
                  <c:v>6</c:v>
                </c:pt>
                <c:pt idx="1544">
                  <c:v>#N/A</c:v>
                </c:pt>
                <c:pt idx="1545">
                  <c:v>6</c:v>
                </c:pt>
                <c:pt idx="1546">
                  <c:v>5</c:v>
                </c:pt>
                <c:pt idx="1547">
                  <c:v>5</c:v>
                </c:pt>
                <c:pt idx="1548">
                  <c:v>5</c:v>
                </c:pt>
                <c:pt idx="1549">
                  <c:v>#N/A</c:v>
                </c:pt>
                <c:pt idx="1550">
                  <c:v>5</c:v>
                </c:pt>
                <c:pt idx="1551">
                  <c:v>5</c:v>
                </c:pt>
                <c:pt idx="1552">
                  <c:v>6</c:v>
                </c:pt>
                <c:pt idx="1553">
                  <c:v>5</c:v>
                </c:pt>
                <c:pt idx="1554">
                  <c:v>6</c:v>
                </c:pt>
                <c:pt idx="1555">
                  <c:v>#N/A</c:v>
                </c:pt>
                <c:pt idx="1556">
                  <c:v>5</c:v>
                </c:pt>
                <c:pt idx="1557">
                  <c:v>6</c:v>
                </c:pt>
                <c:pt idx="1558">
                  <c:v>5</c:v>
                </c:pt>
                <c:pt idx="1559">
                  <c:v>5</c:v>
                </c:pt>
                <c:pt idx="1560">
                  <c:v>5</c:v>
                </c:pt>
                <c:pt idx="1561">
                  <c:v>5</c:v>
                </c:pt>
                <c:pt idx="1562">
                  <c:v>5</c:v>
                </c:pt>
                <c:pt idx="1563">
                  <c:v>5</c:v>
                </c:pt>
                <c:pt idx="1564">
                  <c:v>5</c:v>
                </c:pt>
                <c:pt idx="1565">
                  <c:v>6</c:v>
                </c:pt>
                <c:pt idx="1566">
                  <c:v>6</c:v>
                </c:pt>
                <c:pt idx="1567">
                  <c:v>5</c:v>
                </c:pt>
                <c:pt idx="1568">
                  <c:v>5</c:v>
                </c:pt>
                <c:pt idx="1569">
                  <c:v>6</c:v>
                </c:pt>
                <c:pt idx="1570">
                  <c:v>6</c:v>
                </c:pt>
                <c:pt idx="1571">
                  <c:v>6</c:v>
                </c:pt>
                <c:pt idx="1572">
                  <c:v>5</c:v>
                </c:pt>
                <c:pt idx="1573">
                  <c:v>6</c:v>
                </c:pt>
                <c:pt idx="1574">
                  <c:v>6</c:v>
                </c:pt>
                <c:pt idx="1575">
                  <c:v>6</c:v>
                </c:pt>
                <c:pt idx="1576">
                  <c:v>6</c:v>
                </c:pt>
                <c:pt idx="1577">
                  <c:v>6</c:v>
                </c:pt>
                <c:pt idx="1578">
                  <c:v>6</c:v>
                </c:pt>
                <c:pt idx="1579">
                  <c:v>5</c:v>
                </c:pt>
                <c:pt idx="1580">
                  <c:v>6</c:v>
                </c:pt>
                <c:pt idx="1581">
                  <c:v>5</c:v>
                </c:pt>
                <c:pt idx="1582">
                  <c:v>5</c:v>
                </c:pt>
                <c:pt idx="1583">
                  <c:v>5</c:v>
                </c:pt>
                <c:pt idx="1584">
                  <c:v>#N/A</c:v>
                </c:pt>
                <c:pt idx="1585">
                  <c:v>6</c:v>
                </c:pt>
                <c:pt idx="1586">
                  <c:v>6</c:v>
                </c:pt>
                <c:pt idx="1587">
                  <c:v>6</c:v>
                </c:pt>
                <c:pt idx="1588">
                  <c:v>6</c:v>
                </c:pt>
                <c:pt idx="1589">
                  <c:v>5</c:v>
                </c:pt>
                <c:pt idx="1590">
                  <c:v>6</c:v>
                </c:pt>
                <c:pt idx="1591">
                  <c:v>6</c:v>
                </c:pt>
                <c:pt idx="1592">
                  <c:v>6</c:v>
                </c:pt>
                <c:pt idx="1593">
                  <c:v>6</c:v>
                </c:pt>
                <c:pt idx="1594">
                  <c:v>5</c:v>
                </c:pt>
                <c:pt idx="1595">
                  <c:v>6</c:v>
                </c:pt>
                <c:pt idx="1596">
                  <c:v>6</c:v>
                </c:pt>
                <c:pt idx="1597">
                  <c:v>5</c:v>
                </c:pt>
                <c:pt idx="1598">
                  <c:v>6</c:v>
                </c:pt>
              </c:numCache>
            </c:numRef>
          </c:yVal>
          <c:smooth val="0"/>
          <c:extLst>
            <c:ext xmlns:c16="http://schemas.microsoft.com/office/drawing/2014/chart" uri="{C3380CC4-5D6E-409C-BE32-E72D297353CC}">
              <c16:uniqueId val="{00000001-3645-427A-A7AB-B1556F00A55C}"/>
            </c:ext>
          </c:extLst>
        </c:ser>
        <c:ser>
          <c:idx val="2"/>
          <c:order val="2"/>
          <c:tx>
            <c:v>High</c:v>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rnd">
                <a:solidFill>
                  <a:schemeClr val="accent3"/>
                </a:solidFill>
                <a:round/>
              </a:ln>
              <a:effectLst>
                <a:outerShdw blurRad="57150" dist="19050" dir="5400000" algn="ctr" rotWithShape="0">
                  <a:srgbClr val="000000">
                    <a:alpha val="63000"/>
                  </a:srgbClr>
                </a:outerShdw>
              </a:effectLst>
            </c:spPr>
          </c:marker>
          <c:xVal>
            <c:numRef>
              <c:f>'winequality-red'!$W$2:$W$1600</c:f>
              <c:numCache>
                <c:formatCode>General</c:formatCode>
                <c:ptCount val="1599"/>
                <c:pt idx="0">
                  <c:v>#N/A</c:v>
                </c:pt>
                <c:pt idx="1">
                  <c:v>#N/A</c:v>
                </c:pt>
                <c:pt idx="2">
                  <c:v>#N/A</c:v>
                </c:pt>
                <c:pt idx="3">
                  <c:v>#N/A</c:v>
                </c:pt>
                <c:pt idx="4">
                  <c:v>#N/A</c:v>
                </c:pt>
                <c:pt idx="5">
                  <c:v>#N/A</c:v>
                </c:pt>
                <c:pt idx="6">
                  <c:v>#N/A</c:v>
                </c:pt>
                <c:pt idx="7">
                  <c:v>10</c:v>
                </c:pt>
                <c:pt idx="8">
                  <c:v>9.5</c:v>
                </c:pt>
                <c:pt idx="9">
                  <c:v>#N/A</c:v>
                </c:pt>
                <c:pt idx="10">
                  <c:v>#N/A</c:v>
                </c:pt>
                <c:pt idx="11">
                  <c:v>#N/A</c:v>
                </c:pt>
                <c:pt idx="12">
                  <c:v>#N/A</c:v>
                </c:pt>
                <c:pt idx="13">
                  <c:v>#N/A</c:v>
                </c:pt>
                <c:pt idx="14">
                  <c:v>#N/A</c:v>
                </c:pt>
                <c:pt idx="15">
                  <c:v>#N/A</c:v>
                </c:pt>
                <c:pt idx="16">
                  <c:v>10.5</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9.6999999999999993</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9.5</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10.5</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13</c:v>
                </c:pt>
                <c:pt idx="199">
                  <c:v>#N/A</c:v>
                </c:pt>
                <c:pt idx="200">
                  <c:v>10.3</c:v>
                </c:pt>
                <c:pt idx="201">
                  <c:v>#N/A</c:v>
                </c:pt>
                <c:pt idx="202">
                  <c:v>#N/A</c:v>
                </c:pt>
                <c:pt idx="203">
                  <c:v>#N/A</c:v>
                </c:pt>
                <c:pt idx="204">
                  <c:v>#N/A</c:v>
                </c:pt>
                <c:pt idx="205">
                  <c:v>10.8</c:v>
                </c:pt>
                <c:pt idx="206">
                  <c:v>10.8</c:v>
                </c:pt>
                <c:pt idx="207">
                  <c:v>#N/A</c:v>
                </c:pt>
                <c:pt idx="208">
                  <c:v>#N/A</c:v>
                </c:pt>
                <c:pt idx="209">
                  <c:v>10.5</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12.2</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9.1999999999999993</c:v>
                </c:pt>
                <c:pt idx="244">
                  <c:v>9.1999999999999993</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10.5</c:v>
                </c:pt>
                <c:pt idx="260">
                  <c:v>#N/A</c:v>
                </c:pt>
                <c:pt idx="261">
                  <c:v>#N/A</c:v>
                </c:pt>
                <c:pt idx="262">
                  <c:v>#N/A</c:v>
                </c:pt>
                <c:pt idx="263">
                  <c:v>#N/A</c:v>
                </c:pt>
                <c:pt idx="264">
                  <c:v>#N/A</c:v>
                </c:pt>
                <c:pt idx="265">
                  <c:v>10.199999999999999</c:v>
                </c:pt>
                <c:pt idx="266">
                  <c:v>#N/A</c:v>
                </c:pt>
                <c:pt idx="267">
                  <c:v>12.8</c:v>
                </c:pt>
                <c:pt idx="268">
                  <c:v>#N/A</c:v>
                </c:pt>
                <c:pt idx="269">
                  <c:v>#N/A</c:v>
                </c:pt>
                <c:pt idx="270">
                  <c:v>#N/A</c:v>
                </c:pt>
                <c:pt idx="271">
                  <c:v>#N/A</c:v>
                </c:pt>
                <c:pt idx="272">
                  <c:v>#N/A</c:v>
                </c:pt>
                <c:pt idx="273">
                  <c:v>#N/A</c:v>
                </c:pt>
                <c:pt idx="274">
                  <c:v>#N/A</c:v>
                </c:pt>
                <c:pt idx="275">
                  <c:v>#N/A</c:v>
                </c:pt>
                <c:pt idx="276">
                  <c:v>#N/A</c:v>
                </c:pt>
                <c:pt idx="277">
                  <c:v>#N/A</c:v>
                </c:pt>
                <c:pt idx="278">
                  <c:v>12.6</c:v>
                </c:pt>
                <c:pt idx="279">
                  <c:v>10.5</c:v>
                </c:pt>
                <c:pt idx="280">
                  <c:v>#N/A</c:v>
                </c:pt>
                <c:pt idx="281">
                  <c:v>9.9</c:v>
                </c:pt>
                <c:pt idx="282">
                  <c:v>#N/A</c:v>
                </c:pt>
                <c:pt idx="283">
                  <c:v>10.5</c:v>
                </c:pt>
                <c:pt idx="284">
                  <c:v>#N/A</c:v>
                </c:pt>
                <c:pt idx="285">
                  <c:v>#N/A</c:v>
                </c:pt>
                <c:pt idx="286">
                  <c:v>#N/A</c:v>
                </c:pt>
                <c:pt idx="287">
                  <c:v>#N/A</c:v>
                </c:pt>
                <c:pt idx="288">
                  <c:v>10.6</c:v>
                </c:pt>
                <c:pt idx="289">
                  <c:v>#N/A</c:v>
                </c:pt>
                <c:pt idx="290">
                  <c:v>10.6</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11.5</c:v>
                </c:pt>
                <c:pt idx="319">
                  <c:v>#N/A</c:v>
                </c:pt>
                <c:pt idx="320">
                  <c:v>11.5</c:v>
                </c:pt>
                <c:pt idx="321">
                  <c:v>#N/A</c:v>
                </c:pt>
                <c:pt idx="322">
                  <c:v>#N/A</c:v>
                </c:pt>
                <c:pt idx="323">
                  <c:v>#N/A</c:v>
                </c:pt>
                <c:pt idx="324">
                  <c:v>#N/A</c:v>
                </c:pt>
                <c:pt idx="325">
                  <c:v>#N/A</c:v>
                </c:pt>
                <c:pt idx="326">
                  <c:v>11.5</c:v>
                </c:pt>
                <c:pt idx="327">
                  <c:v>#N/A</c:v>
                </c:pt>
                <c:pt idx="328">
                  <c:v>#N/A</c:v>
                </c:pt>
                <c:pt idx="329">
                  <c:v>#N/A</c:v>
                </c:pt>
                <c:pt idx="330">
                  <c:v>#N/A</c:v>
                </c:pt>
                <c:pt idx="331">
                  <c:v>#N/A</c:v>
                </c:pt>
                <c:pt idx="332">
                  <c:v>#N/A</c:v>
                </c:pt>
                <c:pt idx="333">
                  <c:v>#N/A</c:v>
                </c:pt>
                <c:pt idx="334">
                  <c:v>11.7</c:v>
                </c:pt>
                <c:pt idx="335">
                  <c:v>12.2</c:v>
                </c:pt>
                <c:pt idx="336">
                  <c:v>#N/A</c:v>
                </c:pt>
                <c:pt idx="337">
                  <c:v>#N/A</c:v>
                </c:pt>
                <c:pt idx="338">
                  <c:v>#N/A</c:v>
                </c:pt>
                <c:pt idx="339">
                  <c:v>9.8000000000000007</c:v>
                </c:pt>
                <c:pt idx="340">
                  <c:v>#N/A</c:v>
                </c:pt>
                <c:pt idx="341">
                  <c:v>#N/A</c:v>
                </c:pt>
                <c:pt idx="342">
                  <c:v>#N/A</c:v>
                </c:pt>
                <c:pt idx="343">
                  <c:v>#N/A</c:v>
                </c:pt>
                <c:pt idx="344">
                  <c:v>#N/A</c:v>
                </c:pt>
                <c:pt idx="345">
                  <c:v>#N/A</c:v>
                </c:pt>
                <c:pt idx="346">
                  <c:v>12.3</c:v>
                </c:pt>
                <c:pt idx="347">
                  <c:v>#N/A</c:v>
                </c:pt>
                <c:pt idx="348">
                  <c:v>#N/A</c:v>
                </c:pt>
                <c:pt idx="349">
                  <c:v>#N/A</c:v>
                </c:pt>
                <c:pt idx="350">
                  <c:v>#N/A</c:v>
                </c:pt>
                <c:pt idx="351">
                  <c:v>#N/A</c:v>
                </c:pt>
                <c:pt idx="352">
                  <c:v>#N/A</c:v>
                </c:pt>
                <c:pt idx="353">
                  <c:v>#N/A</c:v>
                </c:pt>
                <c:pt idx="354">
                  <c:v>#N/A</c:v>
                </c:pt>
                <c:pt idx="355">
                  <c:v>#N/A</c:v>
                </c:pt>
                <c:pt idx="356">
                  <c:v>#N/A</c:v>
                </c:pt>
                <c:pt idx="357">
                  <c:v>11.7</c:v>
                </c:pt>
                <c:pt idx="358">
                  <c:v>10.4</c:v>
                </c:pt>
                <c:pt idx="359">
                  <c:v>#N/A</c:v>
                </c:pt>
                <c:pt idx="360">
                  <c:v>#N/A</c:v>
                </c:pt>
                <c:pt idx="361">
                  <c:v>#N/A</c:v>
                </c:pt>
                <c:pt idx="362">
                  <c:v>#N/A</c:v>
                </c:pt>
                <c:pt idx="363">
                  <c:v>#N/A</c:v>
                </c:pt>
                <c:pt idx="364">
                  <c:v>10</c:v>
                </c:pt>
                <c:pt idx="365">
                  <c:v>#N/A</c:v>
                </c:pt>
                <c:pt idx="366">
                  <c:v>10</c:v>
                </c:pt>
                <c:pt idx="367">
                  <c:v>#N/A</c:v>
                </c:pt>
                <c:pt idx="368">
                  <c:v>#N/A</c:v>
                </c:pt>
                <c:pt idx="369">
                  <c:v>12</c:v>
                </c:pt>
                <c:pt idx="370">
                  <c:v>#N/A</c:v>
                </c:pt>
                <c:pt idx="371">
                  <c:v>#N/A</c:v>
                </c:pt>
                <c:pt idx="372">
                  <c:v>#N/A</c:v>
                </c:pt>
                <c:pt idx="373">
                  <c:v>#N/A</c:v>
                </c:pt>
                <c:pt idx="374">
                  <c:v>#N/A</c:v>
                </c:pt>
                <c:pt idx="375">
                  <c:v>11.8</c:v>
                </c:pt>
                <c:pt idx="376">
                  <c:v>#N/A</c:v>
                </c:pt>
                <c:pt idx="377">
                  <c:v>12</c:v>
                </c:pt>
                <c:pt idx="378">
                  <c:v>#N/A</c:v>
                </c:pt>
                <c:pt idx="379">
                  <c:v>#N/A</c:v>
                </c:pt>
                <c:pt idx="380">
                  <c:v>#N/A</c:v>
                </c:pt>
                <c:pt idx="381">
                  <c:v>#N/A</c:v>
                </c:pt>
                <c:pt idx="382">
                  <c:v>#N/A</c:v>
                </c:pt>
                <c:pt idx="383">
                  <c:v>#N/A</c:v>
                </c:pt>
                <c:pt idx="384">
                  <c:v>#N/A</c:v>
                </c:pt>
                <c:pt idx="385">
                  <c:v>#N/A</c:v>
                </c:pt>
                <c:pt idx="386">
                  <c:v>#N/A</c:v>
                </c:pt>
                <c:pt idx="387">
                  <c:v>#N/A</c:v>
                </c:pt>
                <c:pt idx="388">
                  <c:v>#N/A</c:v>
                </c:pt>
                <c:pt idx="389">
                  <c:v>10</c:v>
                </c:pt>
                <c:pt idx="390">
                  <c:v>12.9</c:v>
                </c:pt>
                <c:pt idx="391">
                  <c:v>#N/A</c:v>
                </c:pt>
                <c:pt idx="392">
                  <c:v>#N/A</c:v>
                </c:pt>
                <c:pt idx="393">
                  <c:v>#N/A</c:v>
                </c:pt>
                <c:pt idx="394">
                  <c:v>#N/A</c:v>
                </c:pt>
                <c:pt idx="395">
                  <c:v>13</c:v>
                </c:pt>
                <c:pt idx="396">
                  <c:v>#N/A</c:v>
                </c:pt>
                <c:pt idx="397">
                  <c:v>#N/A</c:v>
                </c:pt>
                <c:pt idx="398">
                  <c:v>#N/A</c:v>
                </c:pt>
                <c:pt idx="399">
                  <c:v>#N/A</c:v>
                </c:pt>
                <c:pt idx="400">
                  <c:v>#N/A</c:v>
                </c:pt>
                <c:pt idx="401">
                  <c:v>#N/A</c:v>
                </c:pt>
                <c:pt idx="402">
                  <c:v>#N/A</c:v>
                </c:pt>
                <c:pt idx="403">
                  <c:v>#N/A</c:v>
                </c:pt>
                <c:pt idx="404">
                  <c:v>#N/A</c:v>
                </c:pt>
                <c:pt idx="405">
                  <c:v>#N/A</c:v>
                </c:pt>
                <c:pt idx="406">
                  <c:v>#N/A</c:v>
                </c:pt>
                <c:pt idx="407">
                  <c:v>10.8</c:v>
                </c:pt>
                <c:pt idx="408">
                  <c:v>#N/A</c:v>
                </c:pt>
                <c:pt idx="409">
                  <c:v>#N/A</c:v>
                </c:pt>
                <c:pt idx="410">
                  <c:v>#N/A</c:v>
                </c:pt>
                <c:pt idx="411">
                  <c:v>#N/A</c:v>
                </c:pt>
                <c:pt idx="412">
                  <c:v>#N/A</c:v>
                </c:pt>
                <c:pt idx="413">
                  <c:v>11.7</c:v>
                </c:pt>
                <c:pt idx="414">
                  <c:v>#N/A</c:v>
                </c:pt>
                <c:pt idx="415">
                  <c:v>#N/A</c:v>
                </c:pt>
                <c:pt idx="416">
                  <c:v>#N/A</c:v>
                </c:pt>
                <c:pt idx="417">
                  <c:v>#N/A</c:v>
                </c:pt>
                <c:pt idx="418">
                  <c:v>#N/A</c:v>
                </c:pt>
                <c:pt idx="419">
                  <c:v>#N/A</c:v>
                </c:pt>
                <c:pt idx="420">
                  <c:v>11.8</c:v>
                </c:pt>
                <c:pt idx="421">
                  <c:v>12.3</c:v>
                </c:pt>
                <c:pt idx="422">
                  <c:v>#N/A</c:v>
                </c:pt>
                <c:pt idx="423">
                  <c:v>11</c:v>
                </c:pt>
                <c:pt idx="424">
                  <c:v>#N/A</c:v>
                </c:pt>
                <c:pt idx="425">
                  <c:v>12.3</c:v>
                </c:pt>
                <c:pt idx="426">
                  <c:v>#N/A</c:v>
                </c:pt>
                <c:pt idx="427">
                  <c:v>#N/A</c:v>
                </c:pt>
                <c:pt idx="428">
                  <c:v>#N/A</c:v>
                </c:pt>
                <c:pt idx="429">
                  <c:v>#N/A</c:v>
                </c:pt>
                <c:pt idx="430">
                  <c:v>11</c:v>
                </c:pt>
                <c:pt idx="431">
                  <c:v>#N/A</c:v>
                </c:pt>
                <c:pt idx="432">
                  <c:v>#N/A</c:v>
                </c:pt>
                <c:pt idx="433">
                  <c:v>#N/A</c:v>
                </c:pt>
                <c:pt idx="434">
                  <c:v>#N/A</c:v>
                </c:pt>
                <c:pt idx="435">
                  <c:v>#N/A</c:v>
                </c:pt>
                <c:pt idx="436">
                  <c:v>#N/A</c:v>
                </c:pt>
                <c:pt idx="437">
                  <c:v>#N/A</c:v>
                </c:pt>
                <c:pt idx="438">
                  <c:v>#N/A</c:v>
                </c:pt>
                <c:pt idx="439">
                  <c:v>#N/A</c:v>
                </c:pt>
                <c:pt idx="440">
                  <c:v>9.8000000000000007</c:v>
                </c:pt>
                <c:pt idx="441">
                  <c:v>#N/A</c:v>
                </c:pt>
                <c:pt idx="442">
                  <c:v>11.2</c:v>
                </c:pt>
                <c:pt idx="443">
                  <c:v>11.6</c:v>
                </c:pt>
                <c:pt idx="444">
                  <c:v>12.5</c:v>
                </c:pt>
                <c:pt idx="445">
                  <c:v>#N/A</c:v>
                </c:pt>
                <c:pt idx="446">
                  <c:v>#N/A</c:v>
                </c:pt>
                <c:pt idx="447">
                  <c:v>#N/A</c:v>
                </c:pt>
                <c:pt idx="448">
                  <c:v>#N/A</c:v>
                </c:pt>
                <c:pt idx="449">
                  <c:v>#N/A</c:v>
                </c:pt>
                <c:pt idx="450">
                  <c:v>#N/A</c:v>
                </c:pt>
                <c:pt idx="451">
                  <c:v>#N/A</c:v>
                </c:pt>
                <c:pt idx="452">
                  <c:v>#N/A</c:v>
                </c:pt>
                <c:pt idx="453">
                  <c:v>11.2</c:v>
                </c:pt>
                <c:pt idx="454">
                  <c:v>#N/A</c:v>
                </c:pt>
                <c:pt idx="455">
                  <c:v>13.4</c:v>
                </c:pt>
                <c:pt idx="456">
                  <c:v>#N/A</c:v>
                </c:pt>
                <c:pt idx="457">
                  <c:v>#N/A</c:v>
                </c:pt>
                <c:pt idx="458">
                  <c:v>11.2</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11.7</c:v>
                </c:pt>
                <c:pt idx="482">
                  <c:v>#N/A</c:v>
                </c:pt>
                <c:pt idx="483">
                  <c:v>#N/A</c:v>
                </c:pt>
                <c:pt idx="484">
                  <c:v>#N/A</c:v>
                </c:pt>
                <c:pt idx="485">
                  <c:v>#N/A</c:v>
                </c:pt>
                <c:pt idx="486">
                  <c:v>#N/A</c:v>
                </c:pt>
                <c:pt idx="487">
                  <c:v>#N/A</c:v>
                </c:pt>
                <c:pt idx="488">
                  <c:v>10.8</c:v>
                </c:pt>
                <c:pt idx="489">
                  <c:v>#N/A</c:v>
                </c:pt>
                <c:pt idx="490">
                  <c:v>#N/A</c:v>
                </c:pt>
                <c:pt idx="491">
                  <c:v>13.3</c:v>
                </c:pt>
                <c:pt idx="492">
                  <c:v>13.4</c:v>
                </c:pt>
                <c:pt idx="493">
                  <c:v>#N/A</c:v>
                </c:pt>
                <c:pt idx="494">
                  <c:v>#N/A</c:v>
                </c:pt>
                <c:pt idx="495">
                  <c:v>11</c:v>
                </c:pt>
                <c:pt idx="496">
                  <c:v>#N/A</c:v>
                </c:pt>
                <c:pt idx="497">
                  <c:v>#N/A</c:v>
                </c:pt>
                <c:pt idx="498">
                  <c:v>11</c:v>
                </c:pt>
                <c:pt idx="499">
                  <c:v>#N/A</c:v>
                </c:pt>
                <c:pt idx="500">
                  <c:v>#N/A</c:v>
                </c:pt>
                <c:pt idx="501">
                  <c:v>12</c:v>
                </c:pt>
                <c:pt idx="502">
                  <c:v>12</c:v>
                </c:pt>
                <c:pt idx="503">
                  <c:v>10.9</c:v>
                </c:pt>
                <c:pt idx="504">
                  <c:v>10.8</c:v>
                </c:pt>
                <c:pt idx="505">
                  <c:v>12.5</c:v>
                </c:pt>
                <c:pt idx="506">
                  <c:v>10.8</c:v>
                </c:pt>
                <c:pt idx="507">
                  <c:v>#N/A</c:v>
                </c:pt>
                <c:pt idx="508">
                  <c:v>#N/A</c:v>
                </c:pt>
                <c:pt idx="509">
                  <c:v>11.4</c:v>
                </c:pt>
                <c:pt idx="510">
                  <c:v>#N/A</c:v>
                </c:pt>
                <c:pt idx="511">
                  <c:v>#N/A</c:v>
                </c:pt>
                <c:pt idx="512">
                  <c:v>#N/A</c:v>
                </c:pt>
                <c:pt idx="513">
                  <c:v>11.8</c:v>
                </c:pt>
                <c:pt idx="514">
                  <c:v>11.8</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12</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9.9</c:v>
                </c:pt>
                <c:pt idx="584">
                  <c:v>10.7</c:v>
                </c:pt>
                <c:pt idx="585">
                  <c:v>#N/A</c:v>
                </c:pt>
                <c:pt idx="586">
                  <c:v>10.6</c:v>
                </c:pt>
                <c:pt idx="587">
                  <c:v>#N/A</c:v>
                </c:pt>
                <c:pt idx="588">
                  <c:v>14</c:v>
                </c:pt>
                <c:pt idx="589">
                  <c:v>10.5</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12.2</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10.199999999999999</c:v>
                </c:pt>
                <c:pt idx="639">
                  <c:v>#N/A</c:v>
                </c:pt>
                <c:pt idx="640">
                  <c:v>#N/A</c:v>
                </c:pt>
                <c:pt idx="641">
                  <c:v>#N/A</c:v>
                </c:pt>
                <c:pt idx="642">
                  <c:v>#N/A</c:v>
                </c:pt>
                <c:pt idx="643">
                  <c:v>#N/A</c:v>
                </c:pt>
                <c:pt idx="644">
                  <c:v>#N/A</c:v>
                </c:pt>
                <c:pt idx="645">
                  <c:v>10.1</c:v>
                </c:pt>
                <c:pt idx="646">
                  <c:v>#N/A</c:v>
                </c:pt>
                <c:pt idx="647">
                  <c:v>#N/A</c:v>
                </c:pt>
                <c:pt idx="648">
                  <c:v>11.2</c:v>
                </c:pt>
                <c:pt idx="649">
                  <c:v>#N/A</c:v>
                </c:pt>
                <c:pt idx="650">
                  <c:v>#N/A</c:v>
                </c:pt>
                <c:pt idx="651">
                  <c:v>#N/A</c:v>
                </c:pt>
                <c:pt idx="652">
                  <c:v>#N/A</c:v>
                </c:pt>
                <c:pt idx="653">
                  <c:v>#N/A</c:v>
                </c:pt>
                <c:pt idx="654">
                  <c:v>#N/A</c:v>
                </c:pt>
                <c:pt idx="655">
                  <c:v>#N/A</c:v>
                </c:pt>
                <c:pt idx="656">
                  <c:v>#N/A</c:v>
                </c:pt>
                <c:pt idx="657">
                  <c:v>10.5</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10.8</c:v>
                </c:pt>
                <c:pt idx="798">
                  <c:v>#N/A</c:v>
                </c:pt>
                <c:pt idx="799">
                  <c:v>#N/A</c:v>
                </c:pt>
                <c:pt idx="800">
                  <c:v>#N/A</c:v>
                </c:pt>
                <c:pt idx="801">
                  <c:v>#N/A</c:v>
                </c:pt>
                <c:pt idx="802">
                  <c:v>12.9</c:v>
                </c:pt>
                <c:pt idx="803">
                  <c:v>#N/A</c:v>
                </c:pt>
                <c:pt idx="804">
                  <c:v>#N/A</c:v>
                </c:pt>
                <c:pt idx="805">
                  <c:v>12.8</c:v>
                </c:pt>
                <c:pt idx="806">
                  <c:v>12.5</c:v>
                </c:pt>
                <c:pt idx="807">
                  <c:v>12.8</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14</c:v>
                </c:pt>
                <c:pt idx="822">
                  <c:v>#N/A</c:v>
                </c:pt>
                <c:pt idx="823">
                  <c:v>#N/A</c:v>
                </c:pt>
                <c:pt idx="824">
                  <c:v>#N/A</c:v>
                </c:pt>
                <c:pt idx="825">
                  <c:v>#N/A</c:v>
                </c:pt>
                <c:pt idx="826">
                  <c:v>11</c:v>
                </c:pt>
                <c:pt idx="827">
                  <c:v>#N/A</c:v>
                </c:pt>
                <c:pt idx="828">
                  <c:v>12.7</c:v>
                </c:pt>
                <c:pt idx="829">
                  <c:v>#N/A</c:v>
                </c:pt>
                <c:pt idx="830">
                  <c:v>#N/A</c:v>
                </c:pt>
                <c:pt idx="831">
                  <c:v>#N/A</c:v>
                </c:pt>
                <c:pt idx="832">
                  <c:v>#N/A</c:v>
                </c:pt>
                <c:pt idx="833">
                  <c:v>#N/A</c:v>
                </c:pt>
                <c:pt idx="834">
                  <c:v>#N/A</c:v>
                </c:pt>
                <c:pt idx="835">
                  <c:v>#N/A</c:v>
                </c:pt>
                <c:pt idx="836">
                  <c:v>11.7</c:v>
                </c:pt>
                <c:pt idx="837">
                  <c:v>11.7</c:v>
                </c:pt>
                <c:pt idx="838">
                  <c:v>11.2</c:v>
                </c:pt>
                <c:pt idx="839">
                  <c:v>#N/A</c:v>
                </c:pt>
                <c:pt idx="840">
                  <c:v>12.1</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11.7</c:v>
                </c:pt>
                <c:pt idx="856">
                  <c:v>#N/A</c:v>
                </c:pt>
                <c:pt idx="857">
                  <c:v>11.3</c:v>
                </c:pt>
                <c:pt idx="858">
                  <c:v>10.6</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11.1</c:v>
                </c:pt>
                <c:pt idx="874">
                  <c:v>11.8</c:v>
                </c:pt>
                <c:pt idx="875">
                  <c:v>11.8</c:v>
                </c:pt>
                <c:pt idx="876">
                  <c:v>#N/A</c:v>
                </c:pt>
                <c:pt idx="877">
                  <c:v>#N/A</c:v>
                </c:pt>
                <c:pt idx="878">
                  <c:v>#N/A</c:v>
                </c:pt>
                <c:pt idx="879">
                  <c:v>#N/A</c:v>
                </c:pt>
                <c:pt idx="880">
                  <c:v>#N/A</c:v>
                </c:pt>
                <c:pt idx="881">
                  <c:v>#N/A</c:v>
                </c:pt>
                <c:pt idx="882">
                  <c:v>#N/A</c:v>
                </c:pt>
                <c:pt idx="883">
                  <c:v>#N/A</c:v>
                </c:pt>
                <c:pt idx="884">
                  <c:v>#N/A</c:v>
                </c:pt>
                <c:pt idx="885">
                  <c:v>#N/A</c:v>
                </c:pt>
                <c:pt idx="886">
                  <c:v>#N/A</c:v>
                </c:pt>
                <c:pt idx="887">
                  <c:v>12.1</c:v>
                </c:pt>
                <c:pt idx="888">
                  <c:v>#N/A</c:v>
                </c:pt>
                <c:pt idx="889">
                  <c:v>#N/A</c:v>
                </c:pt>
                <c:pt idx="890">
                  <c:v>#N/A</c:v>
                </c:pt>
                <c:pt idx="891">
                  <c:v>#N/A</c:v>
                </c:pt>
                <c:pt idx="892">
                  <c:v>#N/A</c:v>
                </c:pt>
                <c:pt idx="893">
                  <c:v>#N/A</c:v>
                </c:pt>
                <c:pt idx="894">
                  <c:v>#N/A</c:v>
                </c:pt>
                <c:pt idx="895">
                  <c:v>#N/A</c:v>
                </c:pt>
                <c:pt idx="896">
                  <c:v>12.5</c:v>
                </c:pt>
                <c:pt idx="897">
                  <c:v>#N/A</c:v>
                </c:pt>
                <c:pt idx="898">
                  <c:v>12.5</c:v>
                </c:pt>
                <c:pt idx="899">
                  <c:v>#N/A</c:v>
                </c:pt>
                <c:pt idx="900">
                  <c:v>#N/A</c:v>
                </c:pt>
                <c:pt idx="901">
                  <c:v>10.8</c:v>
                </c:pt>
                <c:pt idx="902">
                  <c:v>10.8</c:v>
                </c:pt>
                <c:pt idx="903">
                  <c:v>10.8</c:v>
                </c:pt>
                <c:pt idx="904">
                  <c:v>10.8</c:v>
                </c:pt>
                <c:pt idx="905">
                  <c:v>#N/A</c:v>
                </c:pt>
                <c:pt idx="906">
                  <c:v>#N/A</c:v>
                </c:pt>
                <c:pt idx="907">
                  <c:v>#N/A</c:v>
                </c:pt>
                <c:pt idx="908">
                  <c:v>#N/A</c:v>
                </c:pt>
                <c:pt idx="909">
                  <c:v>#N/A</c:v>
                </c:pt>
                <c:pt idx="910">
                  <c:v>#N/A</c:v>
                </c:pt>
                <c:pt idx="911">
                  <c:v>#N/A</c:v>
                </c:pt>
                <c:pt idx="912">
                  <c:v>#N/A</c:v>
                </c:pt>
                <c:pt idx="913">
                  <c:v>12.2</c:v>
                </c:pt>
                <c:pt idx="914">
                  <c:v>#N/A</c:v>
                </c:pt>
                <c:pt idx="915">
                  <c:v>#N/A</c:v>
                </c:pt>
                <c:pt idx="916">
                  <c:v>#N/A</c:v>
                </c:pt>
                <c:pt idx="917">
                  <c:v>#N/A</c:v>
                </c:pt>
                <c:pt idx="918">
                  <c:v>#N/A</c:v>
                </c:pt>
                <c:pt idx="919">
                  <c:v>#N/A</c:v>
                </c:pt>
                <c:pt idx="920">
                  <c:v>#N/A</c:v>
                </c:pt>
                <c:pt idx="921">
                  <c:v>#N/A</c:v>
                </c:pt>
                <c:pt idx="922">
                  <c:v>#N/A</c:v>
                </c:pt>
                <c:pt idx="923">
                  <c:v>#N/A</c:v>
                </c:pt>
                <c:pt idx="924">
                  <c:v>#N/A</c:v>
                </c:pt>
                <c:pt idx="925">
                  <c:v>11</c:v>
                </c:pt>
                <c:pt idx="926">
                  <c:v>#N/A</c:v>
                </c:pt>
                <c:pt idx="927">
                  <c:v>#N/A</c:v>
                </c:pt>
                <c:pt idx="928">
                  <c:v>#N/A</c:v>
                </c:pt>
                <c:pt idx="929">
                  <c:v>12</c:v>
                </c:pt>
                <c:pt idx="930">
                  <c:v>#N/A</c:v>
                </c:pt>
                <c:pt idx="931">
                  <c:v>#N/A</c:v>
                </c:pt>
                <c:pt idx="932">
                  <c:v>#N/A</c:v>
                </c:pt>
                <c:pt idx="933">
                  <c:v>#N/A</c:v>
                </c:pt>
                <c:pt idx="934">
                  <c:v>#N/A</c:v>
                </c:pt>
                <c:pt idx="935">
                  <c:v>#N/A</c:v>
                </c:pt>
                <c:pt idx="936">
                  <c:v>#N/A</c:v>
                </c:pt>
                <c:pt idx="937">
                  <c:v>#N/A</c:v>
                </c:pt>
                <c:pt idx="938">
                  <c:v>12.9</c:v>
                </c:pt>
                <c:pt idx="939">
                  <c:v>#N/A</c:v>
                </c:pt>
                <c:pt idx="940">
                  <c:v>12.4</c:v>
                </c:pt>
                <c:pt idx="941">
                  <c:v>12.5</c:v>
                </c:pt>
                <c:pt idx="942">
                  <c:v>10</c:v>
                </c:pt>
                <c:pt idx="943">
                  <c:v>9.6999999999999993</c:v>
                </c:pt>
                <c:pt idx="944">
                  <c:v>12.1</c:v>
                </c:pt>
                <c:pt idx="945">
                  <c:v>11.1</c:v>
                </c:pt>
                <c:pt idx="946">
                  <c:v>12</c:v>
                </c:pt>
                <c:pt idx="947">
                  <c:v>12.4</c:v>
                </c:pt>
                <c:pt idx="948">
                  <c:v>11.9</c:v>
                </c:pt>
                <c:pt idx="949">
                  <c:v>11.9</c:v>
                </c:pt>
                <c:pt idx="950">
                  <c:v>11.9</c:v>
                </c:pt>
                <c:pt idx="951">
                  <c:v>12.4</c:v>
                </c:pt>
                <c:pt idx="952">
                  <c:v>11.2</c:v>
                </c:pt>
                <c:pt idx="953">
                  <c:v>12.1</c:v>
                </c:pt>
                <c:pt idx="954">
                  <c:v>#N/A</c:v>
                </c:pt>
                <c:pt idx="955">
                  <c:v>#N/A</c:v>
                </c:pt>
                <c:pt idx="956">
                  <c:v>#N/A</c:v>
                </c:pt>
                <c:pt idx="957">
                  <c:v>#N/A</c:v>
                </c:pt>
                <c:pt idx="958">
                  <c:v>11.3</c:v>
                </c:pt>
                <c:pt idx="959">
                  <c:v>#N/A</c:v>
                </c:pt>
                <c:pt idx="960">
                  <c:v>#N/A</c:v>
                </c:pt>
                <c:pt idx="961">
                  <c:v>#N/A</c:v>
                </c:pt>
                <c:pt idx="962">
                  <c:v>#N/A</c:v>
                </c:pt>
                <c:pt idx="963">
                  <c:v>#N/A</c:v>
                </c:pt>
                <c:pt idx="964">
                  <c:v>#N/A</c:v>
                </c:pt>
                <c:pt idx="965">
                  <c:v>#N/A</c:v>
                </c:pt>
                <c:pt idx="966">
                  <c:v>11.9</c:v>
                </c:pt>
                <c:pt idx="967">
                  <c:v>#N/A</c:v>
                </c:pt>
                <c:pt idx="968">
                  <c:v>#N/A</c:v>
                </c:pt>
                <c:pt idx="969">
                  <c:v>#N/A</c:v>
                </c:pt>
                <c:pt idx="970">
                  <c:v>#N/A</c:v>
                </c:pt>
                <c:pt idx="971">
                  <c:v>#N/A</c:v>
                </c:pt>
                <c:pt idx="972">
                  <c:v>11.6</c:v>
                </c:pt>
                <c:pt idx="973">
                  <c:v>#N/A</c:v>
                </c:pt>
                <c:pt idx="974">
                  <c:v>12.1</c:v>
                </c:pt>
                <c:pt idx="975">
                  <c:v>#N/A</c:v>
                </c:pt>
                <c:pt idx="976">
                  <c:v>#N/A</c:v>
                </c:pt>
                <c:pt idx="977">
                  <c:v>#N/A</c:v>
                </c:pt>
                <c:pt idx="978">
                  <c:v>11.3</c:v>
                </c:pt>
                <c:pt idx="979">
                  <c:v>#N/A</c:v>
                </c:pt>
                <c:pt idx="980">
                  <c:v>#N/A</c:v>
                </c:pt>
                <c:pt idx="981">
                  <c:v>#N/A</c:v>
                </c:pt>
                <c:pt idx="982">
                  <c:v>#N/A</c:v>
                </c:pt>
                <c:pt idx="983">
                  <c:v>#N/A</c:v>
                </c:pt>
                <c:pt idx="984">
                  <c:v>#N/A</c:v>
                </c:pt>
                <c:pt idx="985">
                  <c:v>#N/A</c:v>
                </c:pt>
                <c:pt idx="986">
                  <c:v>11.4</c:v>
                </c:pt>
                <c:pt idx="987">
                  <c:v>#N/A</c:v>
                </c:pt>
                <c:pt idx="988">
                  <c:v>#N/A</c:v>
                </c:pt>
                <c:pt idx="989">
                  <c:v>#N/A</c:v>
                </c:pt>
                <c:pt idx="990">
                  <c:v>#N/A</c:v>
                </c:pt>
                <c:pt idx="991">
                  <c:v>#N/A</c:v>
                </c:pt>
                <c:pt idx="992">
                  <c:v>#N/A</c:v>
                </c:pt>
                <c:pt idx="993">
                  <c:v>#N/A</c:v>
                </c:pt>
                <c:pt idx="994">
                  <c:v>#N/A</c:v>
                </c:pt>
                <c:pt idx="995">
                  <c:v>#N/A</c:v>
                </c:pt>
                <c:pt idx="996">
                  <c:v>12.8</c:v>
                </c:pt>
                <c:pt idx="997">
                  <c:v>12.8</c:v>
                </c:pt>
                <c:pt idx="998">
                  <c:v>#N/A</c:v>
                </c:pt>
                <c:pt idx="999">
                  <c:v>#N/A</c:v>
                </c:pt>
                <c:pt idx="1000">
                  <c:v>11.5</c:v>
                </c:pt>
                <c:pt idx="1001">
                  <c:v>10.6</c:v>
                </c:pt>
                <c:pt idx="1002">
                  <c:v>11.7</c:v>
                </c:pt>
                <c:pt idx="1003">
                  <c:v>12.8</c:v>
                </c:pt>
                <c:pt idx="1004">
                  <c:v>#N/A</c:v>
                </c:pt>
                <c:pt idx="1005">
                  <c:v>12.8</c:v>
                </c:pt>
                <c:pt idx="1006">
                  <c:v>11.7</c:v>
                </c:pt>
                <c:pt idx="1007">
                  <c:v>11.7</c:v>
                </c:pt>
                <c:pt idx="1008">
                  <c:v>12</c:v>
                </c:pt>
                <c:pt idx="1009">
                  <c:v>#N/A</c:v>
                </c:pt>
                <c:pt idx="1010">
                  <c:v>12.3</c:v>
                </c:pt>
                <c:pt idx="1011">
                  <c:v>#N/A</c:v>
                </c:pt>
                <c:pt idx="1012">
                  <c:v>#N/A</c:v>
                </c:pt>
                <c:pt idx="1013">
                  <c:v>#N/A</c:v>
                </c:pt>
                <c:pt idx="1014">
                  <c:v>#N/A</c:v>
                </c:pt>
                <c:pt idx="1015">
                  <c:v>#N/A</c:v>
                </c:pt>
                <c:pt idx="1016">
                  <c:v>12.6</c:v>
                </c:pt>
                <c:pt idx="1017">
                  <c:v>#N/A</c:v>
                </c:pt>
                <c:pt idx="1018">
                  <c:v>#N/A</c:v>
                </c:pt>
                <c:pt idx="1019">
                  <c:v>#N/A</c:v>
                </c:pt>
                <c:pt idx="1020">
                  <c:v>#N/A</c:v>
                </c:pt>
                <c:pt idx="1021">
                  <c:v>#N/A</c:v>
                </c:pt>
                <c:pt idx="1022">
                  <c:v>#N/A</c:v>
                </c:pt>
                <c:pt idx="1023">
                  <c:v>#N/A</c:v>
                </c:pt>
                <c:pt idx="1024">
                  <c:v>10.5</c:v>
                </c:pt>
                <c:pt idx="1025">
                  <c:v>#N/A</c:v>
                </c:pt>
                <c:pt idx="1026">
                  <c:v>#N/A</c:v>
                </c:pt>
                <c:pt idx="1027">
                  <c:v>#N/A</c:v>
                </c:pt>
                <c:pt idx="1028">
                  <c:v>#N/A</c:v>
                </c:pt>
                <c:pt idx="1029">
                  <c:v>10.5</c:v>
                </c:pt>
                <c:pt idx="1030">
                  <c:v>11.5</c:v>
                </c:pt>
                <c:pt idx="1031">
                  <c:v>11</c:v>
                </c:pt>
                <c:pt idx="1032">
                  <c:v>#N/A</c:v>
                </c:pt>
                <c:pt idx="1033">
                  <c:v>#N/A</c:v>
                </c:pt>
                <c:pt idx="1034">
                  <c:v>#N/A</c:v>
                </c:pt>
                <c:pt idx="1035">
                  <c:v>10.6</c:v>
                </c:pt>
                <c:pt idx="1036">
                  <c:v>12.5</c:v>
                </c:pt>
                <c:pt idx="1037">
                  <c:v>#N/A</c:v>
                </c:pt>
                <c:pt idx="1038">
                  <c:v>12.6</c:v>
                </c:pt>
                <c:pt idx="1039">
                  <c:v>#N/A</c:v>
                </c:pt>
                <c:pt idx="1040">
                  <c:v>#N/A</c:v>
                </c:pt>
                <c:pt idx="1041">
                  <c:v>#N/A</c:v>
                </c:pt>
                <c:pt idx="1042">
                  <c:v>#N/A</c:v>
                </c:pt>
                <c:pt idx="1043">
                  <c:v>10.9</c:v>
                </c:pt>
                <c:pt idx="1044">
                  <c:v>#N/A</c:v>
                </c:pt>
                <c:pt idx="1045">
                  <c:v>#N/A</c:v>
                </c:pt>
                <c:pt idx="1046">
                  <c:v>#N/A</c:v>
                </c:pt>
                <c:pt idx="1047">
                  <c:v>#N/A</c:v>
                </c:pt>
                <c:pt idx="1048">
                  <c:v>#N/A</c:v>
                </c:pt>
                <c:pt idx="1049">
                  <c:v>#N/A</c:v>
                </c:pt>
                <c:pt idx="1050">
                  <c:v>#N/A</c:v>
                </c:pt>
                <c:pt idx="1051">
                  <c:v>#N/A</c:v>
                </c:pt>
                <c:pt idx="1052">
                  <c:v>#N/A</c:v>
                </c:pt>
                <c:pt idx="1053">
                  <c:v>12.7</c:v>
                </c:pt>
                <c:pt idx="1054">
                  <c:v>#N/A</c:v>
                </c:pt>
                <c:pt idx="1055">
                  <c:v>#N/A</c:v>
                </c:pt>
                <c:pt idx="1056">
                  <c:v>12.1</c:v>
                </c:pt>
                <c:pt idx="1057">
                  <c:v>#N/A</c:v>
                </c:pt>
                <c:pt idx="1058">
                  <c:v>11.6</c:v>
                </c:pt>
                <c:pt idx="1059">
                  <c:v>12.1</c:v>
                </c:pt>
                <c:pt idx="1060">
                  <c:v>#N/A</c:v>
                </c:pt>
                <c:pt idx="1061">
                  <c:v>12.5</c:v>
                </c:pt>
                <c:pt idx="1062">
                  <c:v>#N/A</c:v>
                </c:pt>
                <c:pt idx="1063">
                  <c:v>#N/A</c:v>
                </c:pt>
                <c:pt idx="1064">
                  <c:v>#N/A</c:v>
                </c:pt>
                <c:pt idx="1065">
                  <c:v>#N/A</c:v>
                </c:pt>
                <c:pt idx="1066">
                  <c:v>12.5</c:v>
                </c:pt>
                <c:pt idx="1067">
                  <c:v>10.9</c:v>
                </c:pt>
                <c:pt idx="1068">
                  <c:v>10.9</c:v>
                </c:pt>
                <c:pt idx="1069">
                  <c:v>#N/A</c:v>
                </c:pt>
                <c:pt idx="1070">
                  <c:v>11.1</c:v>
                </c:pt>
                <c:pt idx="1071">
                  <c:v>#N/A</c:v>
                </c:pt>
                <c:pt idx="1072">
                  <c:v>#N/A</c:v>
                </c:pt>
                <c:pt idx="1073">
                  <c:v>#N/A</c:v>
                </c:pt>
                <c:pt idx="1074">
                  <c:v>#N/A</c:v>
                </c:pt>
                <c:pt idx="1075">
                  <c:v>10.199999999999999</c:v>
                </c:pt>
                <c:pt idx="1076">
                  <c:v>#N/A</c:v>
                </c:pt>
                <c:pt idx="1077">
                  <c:v>#N/A</c:v>
                </c:pt>
                <c:pt idx="1078">
                  <c:v>#N/A</c:v>
                </c:pt>
                <c:pt idx="1079">
                  <c:v>12.3</c:v>
                </c:pt>
                <c:pt idx="1080">
                  <c:v>#N/A</c:v>
                </c:pt>
                <c:pt idx="1081">
                  <c:v>12.3</c:v>
                </c:pt>
                <c:pt idx="1082">
                  <c:v>#N/A</c:v>
                </c:pt>
                <c:pt idx="1083">
                  <c:v>#N/A</c:v>
                </c:pt>
                <c:pt idx="1084">
                  <c:v>#N/A</c:v>
                </c:pt>
                <c:pt idx="1085">
                  <c:v>#N/A</c:v>
                </c:pt>
                <c:pt idx="1086">
                  <c:v>11.6</c:v>
                </c:pt>
                <c:pt idx="1087">
                  <c:v>#N/A</c:v>
                </c:pt>
                <c:pt idx="1088">
                  <c:v>9.9</c:v>
                </c:pt>
                <c:pt idx="1089">
                  <c:v>9.9</c:v>
                </c:pt>
                <c:pt idx="1090">
                  <c:v>11.8</c:v>
                </c:pt>
                <c:pt idx="1091">
                  <c:v>#N/A</c:v>
                </c:pt>
                <c:pt idx="1092">
                  <c:v>#N/A</c:v>
                </c:pt>
                <c:pt idx="1093">
                  <c:v>12</c:v>
                </c:pt>
                <c:pt idx="1094">
                  <c:v>#N/A</c:v>
                </c:pt>
                <c:pt idx="1095">
                  <c:v>#N/A</c:v>
                </c:pt>
                <c:pt idx="1096">
                  <c:v>#N/A</c:v>
                </c:pt>
                <c:pt idx="1097">
                  <c:v>#N/A</c:v>
                </c:pt>
                <c:pt idx="1098">
                  <c:v>12.5</c:v>
                </c:pt>
                <c:pt idx="1099">
                  <c:v>#N/A</c:v>
                </c:pt>
                <c:pt idx="1100">
                  <c:v>#N/A</c:v>
                </c:pt>
                <c:pt idx="1101">
                  <c:v>#N/A</c:v>
                </c:pt>
                <c:pt idx="1102">
                  <c:v>#N/A</c:v>
                </c:pt>
                <c:pt idx="1103">
                  <c:v>#N/A</c:v>
                </c:pt>
                <c:pt idx="1104">
                  <c:v>#N/A</c:v>
                </c:pt>
                <c:pt idx="1105">
                  <c:v>#N/A</c:v>
                </c:pt>
                <c:pt idx="1106">
                  <c:v>#N/A</c:v>
                </c:pt>
                <c:pt idx="1107">
                  <c:v>11.7</c:v>
                </c:pt>
                <c:pt idx="1108">
                  <c:v>#N/A</c:v>
                </c:pt>
                <c:pt idx="1109">
                  <c:v>#N/A</c:v>
                </c:pt>
                <c:pt idx="1110">
                  <c:v>#N/A</c:v>
                </c:pt>
                <c:pt idx="1111">
                  <c:v>12.3</c:v>
                </c:pt>
                <c:pt idx="1112">
                  <c:v>#N/A</c:v>
                </c:pt>
                <c:pt idx="1113">
                  <c:v>#N/A</c:v>
                </c:pt>
                <c:pt idx="1114">
                  <c:v>#N/A</c:v>
                </c:pt>
                <c:pt idx="1115">
                  <c:v>#N/A</c:v>
                </c:pt>
                <c:pt idx="1116">
                  <c:v>#N/A</c:v>
                </c:pt>
                <c:pt idx="1117">
                  <c:v>#N/A</c:v>
                </c:pt>
                <c:pt idx="1118">
                  <c:v>#N/A</c:v>
                </c:pt>
                <c:pt idx="1119">
                  <c:v>#N/A</c:v>
                </c:pt>
                <c:pt idx="1120">
                  <c:v>13.1</c:v>
                </c:pt>
                <c:pt idx="1121">
                  <c:v>#N/A</c:v>
                </c:pt>
                <c:pt idx="1122">
                  <c:v>#N/A</c:v>
                </c:pt>
                <c:pt idx="1123">
                  <c:v>#N/A</c:v>
                </c:pt>
                <c:pt idx="1124">
                  <c:v>#N/A</c:v>
                </c:pt>
                <c:pt idx="1125">
                  <c:v>11.3</c:v>
                </c:pt>
                <c:pt idx="1126">
                  <c:v>#N/A</c:v>
                </c:pt>
                <c:pt idx="1127">
                  <c:v>#N/A</c:v>
                </c:pt>
                <c:pt idx="1128">
                  <c:v>#N/A</c:v>
                </c:pt>
                <c:pt idx="1129">
                  <c:v>#N/A</c:v>
                </c:pt>
                <c:pt idx="1130">
                  <c:v>#N/A</c:v>
                </c:pt>
                <c:pt idx="1131">
                  <c:v>#N/A</c:v>
                </c:pt>
                <c:pt idx="1132">
                  <c:v>13.6</c:v>
                </c:pt>
                <c:pt idx="1133">
                  <c:v>11.2</c:v>
                </c:pt>
                <c:pt idx="1134">
                  <c:v>11.8</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11.8</c:v>
                </c:pt>
                <c:pt idx="1148">
                  <c:v>#N/A</c:v>
                </c:pt>
                <c:pt idx="1149">
                  <c:v>#N/A</c:v>
                </c:pt>
                <c:pt idx="1150">
                  <c:v>12.8</c:v>
                </c:pt>
                <c:pt idx="1151">
                  <c:v>#N/A</c:v>
                </c:pt>
                <c:pt idx="1152">
                  <c:v>#N/A</c:v>
                </c:pt>
                <c:pt idx="1153">
                  <c:v>#N/A</c:v>
                </c:pt>
                <c:pt idx="1154">
                  <c:v>#N/A</c:v>
                </c:pt>
                <c:pt idx="1155">
                  <c:v>#N/A</c:v>
                </c:pt>
                <c:pt idx="1156">
                  <c:v>11.8</c:v>
                </c:pt>
                <c:pt idx="1157">
                  <c:v>12.9</c:v>
                </c:pt>
                <c:pt idx="1158">
                  <c:v>#N/A</c:v>
                </c:pt>
                <c:pt idx="1159">
                  <c:v>#N/A</c:v>
                </c:pt>
                <c:pt idx="1160">
                  <c:v>11.1</c:v>
                </c:pt>
                <c:pt idx="1161">
                  <c:v>#N/A</c:v>
                </c:pt>
                <c:pt idx="1162">
                  <c:v>11.8</c:v>
                </c:pt>
                <c:pt idx="1163">
                  <c:v>#N/A</c:v>
                </c:pt>
                <c:pt idx="1164">
                  <c:v>#N/A</c:v>
                </c:pt>
                <c:pt idx="1165">
                  <c:v>#N/A</c:v>
                </c:pt>
                <c:pt idx="1166">
                  <c:v>#N/A</c:v>
                </c:pt>
                <c:pt idx="1167">
                  <c:v>12.4</c:v>
                </c:pt>
                <c:pt idx="1168">
                  <c:v>#N/A</c:v>
                </c:pt>
                <c:pt idx="1169">
                  <c:v>#N/A</c:v>
                </c:pt>
                <c:pt idx="1170">
                  <c:v>#N/A</c:v>
                </c:pt>
                <c:pt idx="1171">
                  <c:v>#N/A</c:v>
                </c:pt>
                <c:pt idx="1172">
                  <c:v>#N/A</c:v>
                </c:pt>
                <c:pt idx="1173">
                  <c:v>#N/A</c:v>
                </c:pt>
                <c:pt idx="1174">
                  <c:v>#N/A</c:v>
                </c:pt>
                <c:pt idx="1175">
                  <c:v>#N/A</c:v>
                </c:pt>
                <c:pt idx="1176">
                  <c:v>#N/A</c:v>
                </c:pt>
                <c:pt idx="1177">
                  <c:v>12.7</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12.4</c:v>
                </c:pt>
                <c:pt idx="1193">
                  <c:v>#N/A</c:v>
                </c:pt>
                <c:pt idx="1194">
                  <c:v>#N/A</c:v>
                </c:pt>
                <c:pt idx="1195">
                  <c:v>#N/A</c:v>
                </c:pt>
                <c:pt idx="1196">
                  <c:v>#N/A</c:v>
                </c:pt>
                <c:pt idx="1197">
                  <c:v>#N/A</c:v>
                </c:pt>
                <c:pt idx="1198">
                  <c:v>#N/A</c:v>
                </c:pt>
                <c:pt idx="1199">
                  <c:v>#N/A</c:v>
                </c:pt>
                <c:pt idx="1200">
                  <c:v>#N/A</c:v>
                </c:pt>
                <c:pt idx="1201">
                  <c:v>11.2</c:v>
                </c:pt>
                <c:pt idx="1202">
                  <c:v>11.7</c:v>
                </c:pt>
                <c:pt idx="1203">
                  <c:v>#N/A</c:v>
                </c:pt>
                <c:pt idx="1204">
                  <c:v>11</c:v>
                </c:pt>
                <c:pt idx="1205">
                  <c:v>11</c:v>
                </c:pt>
                <c:pt idx="1206">
                  <c:v>11</c:v>
                </c:pt>
                <c:pt idx="1207">
                  <c:v>#N/A</c:v>
                </c:pt>
                <c:pt idx="1208">
                  <c:v>11</c:v>
                </c:pt>
                <c:pt idx="1209">
                  <c:v>11.2</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13.6</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14</c:v>
                </c:pt>
                <c:pt idx="1270">
                  <c:v>#N/A</c:v>
                </c:pt>
                <c:pt idx="1271">
                  <c:v>#N/A</c:v>
                </c:pt>
                <c:pt idx="1272">
                  <c:v>#N/A</c:v>
                </c:pt>
                <c:pt idx="1273">
                  <c:v>#N/A</c:v>
                </c:pt>
                <c:pt idx="1274">
                  <c:v>#N/A</c:v>
                </c:pt>
                <c:pt idx="1275">
                  <c:v>#N/A</c:v>
                </c:pt>
                <c:pt idx="1276">
                  <c:v>#N/A</c:v>
                </c:pt>
                <c:pt idx="1277">
                  <c:v>#N/A</c:v>
                </c:pt>
                <c:pt idx="1278">
                  <c:v>#N/A</c:v>
                </c:pt>
                <c:pt idx="1279">
                  <c:v>11.5</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11</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10.199999999999999</c:v>
                </c:pt>
                <c:pt idx="1399">
                  <c:v>#N/A</c:v>
                </c:pt>
                <c:pt idx="1400">
                  <c:v>#N/A</c:v>
                </c:pt>
                <c:pt idx="1401">
                  <c:v>#N/A</c:v>
                </c:pt>
                <c:pt idx="1402">
                  <c:v>#N/A</c:v>
                </c:pt>
                <c:pt idx="1403">
                  <c:v>10</c:v>
                </c:pt>
                <c:pt idx="1404">
                  <c:v>#N/A</c:v>
                </c:pt>
                <c:pt idx="1405">
                  <c:v>11.3</c:v>
                </c:pt>
                <c:pt idx="1406">
                  <c:v>#N/A</c:v>
                </c:pt>
                <c:pt idx="1407">
                  <c:v>#N/A</c:v>
                </c:pt>
                <c:pt idx="1408">
                  <c:v>12.4</c:v>
                </c:pt>
                <c:pt idx="1409">
                  <c:v>#N/A</c:v>
                </c:pt>
                <c:pt idx="1410">
                  <c:v>#N/A</c:v>
                </c:pt>
                <c:pt idx="1411">
                  <c:v>#N/A</c:v>
                </c:pt>
                <c:pt idx="1412">
                  <c:v>#N/A</c:v>
                </c:pt>
                <c:pt idx="1413">
                  <c:v>#N/A</c:v>
                </c:pt>
                <c:pt idx="1414">
                  <c:v>#N/A</c:v>
                </c:pt>
                <c:pt idx="1415">
                  <c:v>#N/A</c:v>
                </c:pt>
                <c:pt idx="1416">
                  <c:v>#N/A</c:v>
                </c:pt>
                <c:pt idx="1417">
                  <c:v>12.1</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10.1</c:v>
                </c:pt>
                <c:pt idx="1434">
                  <c:v>#N/A</c:v>
                </c:pt>
                <c:pt idx="1435">
                  <c:v>#N/A</c:v>
                </c:pt>
                <c:pt idx="1436">
                  <c:v>#N/A</c:v>
                </c:pt>
                <c:pt idx="1437">
                  <c:v>#N/A</c:v>
                </c:pt>
                <c:pt idx="1438">
                  <c:v>#N/A</c:v>
                </c:pt>
                <c:pt idx="1439">
                  <c:v>#N/A</c:v>
                </c:pt>
                <c:pt idx="1440">
                  <c:v>11.3</c:v>
                </c:pt>
                <c:pt idx="1441">
                  <c:v>#N/A</c:v>
                </c:pt>
                <c:pt idx="1442">
                  <c:v>#N/A</c:v>
                </c:pt>
                <c:pt idx="1443">
                  <c:v>#N/A</c:v>
                </c:pt>
                <c:pt idx="1444">
                  <c:v>#N/A</c:v>
                </c:pt>
                <c:pt idx="1445">
                  <c:v>#N/A</c:v>
                </c:pt>
                <c:pt idx="1446">
                  <c:v>#N/A</c:v>
                </c:pt>
                <c:pt idx="1447">
                  <c:v>#N/A</c:v>
                </c:pt>
                <c:pt idx="1448">
                  <c:v>#N/A</c:v>
                </c:pt>
                <c:pt idx="1449">
                  <c:v>11.3</c:v>
                </c:pt>
                <c:pt idx="1450">
                  <c:v>11.3</c:v>
                </c:pt>
                <c:pt idx="1451">
                  <c:v>11</c:v>
                </c:pt>
                <c:pt idx="1452">
                  <c:v>11.6</c:v>
                </c:pt>
                <c:pt idx="1453">
                  <c:v>#N/A</c:v>
                </c:pt>
                <c:pt idx="1454">
                  <c:v>#N/A</c:v>
                </c:pt>
                <c:pt idx="1455">
                  <c:v>#N/A</c:v>
                </c:pt>
                <c:pt idx="1456">
                  <c:v>#N/A</c:v>
                </c:pt>
                <c:pt idx="1457">
                  <c:v>#N/A</c:v>
                </c:pt>
                <c:pt idx="1458">
                  <c:v>#N/A</c:v>
                </c:pt>
                <c:pt idx="1459">
                  <c:v>11.9</c:v>
                </c:pt>
                <c:pt idx="1460">
                  <c:v>#N/A</c:v>
                </c:pt>
                <c:pt idx="1461">
                  <c:v>#N/A</c:v>
                </c:pt>
                <c:pt idx="1462">
                  <c:v>#N/A</c:v>
                </c:pt>
                <c:pt idx="1463">
                  <c:v>#N/A</c:v>
                </c:pt>
                <c:pt idx="1464">
                  <c:v>#N/A</c:v>
                </c:pt>
                <c:pt idx="1465">
                  <c:v>#N/A</c:v>
                </c:pt>
                <c:pt idx="1466">
                  <c:v>10</c:v>
                </c:pt>
                <c:pt idx="1467">
                  <c:v>#N/A</c:v>
                </c:pt>
                <c:pt idx="1468">
                  <c:v>10</c:v>
                </c:pt>
                <c:pt idx="1469">
                  <c:v>#N/A</c:v>
                </c:pt>
                <c:pt idx="1470">
                  <c:v>#N/A</c:v>
                </c:pt>
                <c:pt idx="1471">
                  <c:v>#N/A</c:v>
                </c:pt>
                <c:pt idx="1472">
                  <c:v>#N/A</c:v>
                </c:pt>
                <c:pt idx="1473">
                  <c:v>#N/A</c:v>
                </c:pt>
                <c:pt idx="1474">
                  <c:v>#N/A</c:v>
                </c:pt>
                <c:pt idx="1475">
                  <c:v>13.566666666666698</c:v>
                </c:pt>
                <c:pt idx="1476">
                  <c:v>#N/A</c:v>
                </c:pt>
                <c:pt idx="1477">
                  <c:v>13.6</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10</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11.7</c:v>
                </c:pt>
                <c:pt idx="1535">
                  <c:v>#N/A</c:v>
                </c:pt>
                <c:pt idx="1536">
                  <c:v>#N/A</c:v>
                </c:pt>
                <c:pt idx="1537">
                  <c:v>#N/A</c:v>
                </c:pt>
                <c:pt idx="1538">
                  <c:v>#N/A</c:v>
                </c:pt>
                <c:pt idx="1539">
                  <c:v>#N/A</c:v>
                </c:pt>
                <c:pt idx="1540">
                  <c:v>#N/A</c:v>
                </c:pt>
                <c:pt idx="1541">
                  <c:v>10.9</c:v>
                </c:pt>
                <c:pt idx="1542">
                  <c:v>#N/A</c:v>
                </c:pt>
                <c:pt idx="1543">
                  <c:v>#N/A</c:v>
                </c:pt>
                <c:pt idx="1544">
                  <c:v>11.2</c:v>
                </c:pt>
                <c:pt idx="1545">
                  <c:v>#N/A</c:v>
                </c:pt>
                <c:pt idx="1546">
                  <c:v>#N/A</c:v>
                </c:pt>
                <c:pt idx="1547">
                  <c:v>#N/A</c:v>
                </c:pt>
                <c:pt idx="1548">
                  <c:v>#N/A</c:v>
                </c:pt>
                <c:pt idx="1549">
                  <c:v>11.4</c:v>
                </c:pt>
                <c:pt idx="1550">
                  <c:v>#N/A</c:v>
                </c:pt>
                <c:pt idx="1551">
                  <c:v>#N/A</c:v>
                </c:pt>
                <c:pt idx="1552">
                  <c:v>#N/A</c:v>
                </c:pt>
                <c:pt idx="1553">
                  <c:v>#N/A</c:v>
                </c:pt>
                <c:pt idx="1554">
                  <c:v>#N/A</c:v>
                </c:pt>
                <c:pt idx="1555">
                  <c:v>10.55</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11.6</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numCache>
            </c:numRef>
          </c:xVal>
          <c:yVal>
            <c:numRef>
              <c:f>'winequality-red'!$X$2:$X$1600</c:f>
              <c:numCache>
                <c:formatCode>General</c:formatCode>
                <c:ptCount val="1599"/>
                <c:pt idx="0">
                  <c:v>#N/A</c:v>
                </c:pt>
                <c:pt idx="1">
                  <c:v>#N/A</c:v>
                </c:pt>
                <c:pt idx="2">
                  <c:v>#N/A</c:v>
                </c:pt>
                <c:pt idx="3">
                  <c:v>#N/A</c:v>
                </c:pt>
                <c:pt idx="4">
                  <c:v>#N/A</c:v>
                </c:pt>
                <c:pt idx="5">
                  <c:v>#N/A</c:v>
                </c:pt>
                <c:pt idx="6">
                  <c:v>#N/A</c:v>
                </c:pt>
                <c:pt idx="7">
                  <c:v>7</c:v>
                </c:pt>
                <c:pt idx="8">
                  <c:v>7</c:v>
                </c:pt>
                <c:pt idx="9">
                  <c:v>#N/A</c:v>
                </c:pt>
                <c:pt idx="10">
                  <c:v>#N/A</c:v>
                </c:pt>
                <c:pt idx="11">
                  <c:v>#N/A</c:v>
                </c:pt>
                <c:pt idx="12">
                  <c:v>#N/A</c:v>
                </c:pt>
                <c:pt idx="13">
                  <c:v>#N/A</c:v>
                </c:pt>
                <c:pt idx="14">
                  <c:v>#N/A</c:v>
                </c:pt>
                <c:pt idx="15">
                  <c:v>#N/A</c:v>
                </c:pt>
                <c:pt idx="16">
                  <c:v>7</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7</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7</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7</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7</c:v>
                </c:pt>
                <c:pt idx="199">
                  <c:v>#N/A</c:v>
                </c:pt>
                <c:pt idx="200">
                  <c:v>7</c:v>
                </c:pt>
                <c:pt idx="201">
                  <c:v>#N/A</c:v>
                </c:pt>
                <c:pt idx="202">
                  <c:v>#N/A</c:v>
                </c:pt>
                <c:pt idx="203">
                  <c:v>#N/A</c:v>
                </c:pt>
                <c:pt idx="204">
                  <c:v>#N/A</c:v>
                </c:pt>
                <c:pt idx="205">
                  <c:v>7</c:v>
                </c:pt>
                <c:pt idx="206">
                  <c:v>7</c:v>
                </c:pt>
                <c:pt idx="207">
                  <c:v>#N/A</c:v>
                </c:pt>
                <c:pt idx="208">
                  <c:v>#N/A</c:v>
                </c:pt>
                <c:pt idx="209">
                  <c:v>7</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7</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7</c:v>
                </c:pt>
                <c:pt idx="244">
                  <c:v>7</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7</c:v>
                </c:pt>
                <c:pt idx="260">
                  <c:v>#N/A</c:v>
                </c:pt>
                <c:pt idx="261">
                  <c:v>#N/A</c:v>
                </c:pt>
                <c:pt idx="262">
                  <c:v>#N/A</c:v>
                </c:pt>
                <c:pt idx="263">
                  <c:v>#N/A</c:v>
                </c:pt>
                <c:pt idx="264">
                  <c:v>#N/A</c:v>
                </c:pt>
                <c:pt idx="265">
                  <c:v>7</c:v>
                </c:pt>
                <c:pt idx="266">
                  <c:v>#N/A</c:v>
                </c:pt>
                <c:pt idx="267">
                  <c:v>8</c:v>
                </c:pt>
                <c:pt idx="268">
                  <c:v>#N/A</c:v>
                </c:pt>
                <c:pt idx="269">
                  <c:v>#N/A</c:v>
                </c:pt>
                <c:pt idx="270">
                  <c:v>#N/A</c:v>
                </c:pt>
                <c:pt idx="271">
                  <c:v>#N/A</c:v>
                </c:pt>
                <c:pt idx="272">
                  <c:v>#N/A</c:v>
                </c:pt>
                <c:pt idx="273">
                  <c:v>#N/A</c:v>
                </c:pt>
                <c:pt idx="274">
                  <c:v>#N/A</c:v>
                </c:pt>
                <c:pt idx="275">
                  <c:v>#N/A</c:v>
                </c:pt>
                <c:pt idx="276">
                  <c:v>#N/A</c:v>
                </c:pt>
                <c:pt idx="277">
                  <c:v>#N/A</c:v>
                </c:pt>
                <c:pt idx="278">
                  <c:v>8</c:v>
                </c:pt>
                <c:pt idx="279">
                  <c:v>7</c:v>
                </c:pt>
                <c:pt idx="280">
                  <c:v>#N/A</c:v>
                </c:pt>
                <c:pt idx="281">
                  <c:v>7</c:v>
                </c:pt>
                <c:pt idx="282">
                  <c:v>#N/A</c:v>
                </c:pt>
                <c:pt idx="283">
                  <c:v>7</c:v>
                </c:pt>
                <c:pt idx="284">
                  <c:v>#N/A</c:v>
                </c:pt>
                <c:pt idx="285">
                  <c:v>#N/A</c:v>
                </c:pt>
                <c:pt idx="286">
                  <c:v>#N/A</c:v>
                </c:pt>
                <c:pt idx="287">
                  <c:v>#N/A</c:v>
                </c:pt>
                <c:pt idx="288">
                  <c:v>7</c:v>
                </c:pt>
                <c:pt idx="289">
                  <c:v>#N/A</c:v>
                </c:pt>
                <c:pt idx="290">
                  <c:v>7</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7</c:v>
                </c:pt>
                <c:pt idx="319">
                  <c:v>#N/A</c:v>
                </c:pt>
                <c:pt idx="320">
                  <c:v>7</c:v>
                </c:pt>
                <c:pt idx="321">
                  <c:v>#N/A</c:v>
                </c:pt>
                <c:pt idx="322">
                  <c:v>#N/A</c:v>
                </c:pt>
                <c:pt idx="323">
                  <c:v>#N/A</c:v>
                </c:pt>
                <c:pt idx="324">
                  <c:v>#N/A</c:v>
                </c:pt>
                <c:pt idx="325">
                  <c:v>#N/A</c:v>
                </c:pt>
                <c:pt idx="326">
                  <c:v>7</c:v>
                </c:pt>
                <c:pt idx="327">
                  <c:v>#N/A</c:v>
                </c:pt>
                <c:pt idx="328">
                  <c:v>#N/A</c:v>
                </c:pt>
                <c:pt idx="329">
                  <c:v>#N/A</c:v>
                </c:pt>
                <c:pt idx="330">
                  <c:v>#N/A</c:v>
                </c:pt>
                <c:pt idx="331">
                  <c:v>#N/A</c:v>
                </c:pt>
                <c:pt idx="332">
                  <c:v>#N/A</c:v>
                </c:pt>
                <c:pt idx="333">
                  <c:v>#N/A</c:v>
                </c:pt>
                <c:pt idx="334">
                  <c:v>7</c:v>
                </c:pt>
                <c:pt idx="335">
                  <c:v>7</c:v>
                </c:pt>
                <c:pt idx="336">
                  <c:v>#N/A</c:v>
                </c:pt>
                <c:pt idx="337">
                  <c:v>#N/A</c:v>
                </c:pt>
                <c:pt idx="338">
                  <c:v>#N/A</c:v>
                </c:pt>
                <c:pt idx="339">
                  <c:v>7</c:v>
                </c:pt>
                <c:pt idx="340">
                  <c:v>#N/A</c:v>
                </c:pt>
                <c:pt idx="341">
                  <c:v>#N/A</c:v>
                </c:pt>
                <c:pt idx="342">
                  <c:v>#N/A</c:v>
                </c:pt>
                <c:pt idx="343">
                  <c:v>#N/A</c:v>
                </c:pt>
                <c:pt idx="344">
                  <c:v>#N/A</c:v>
                </c:pt>
                <c:pt idx="345">
                  <c:v>#N/A</c:v>
                </c:pt>
                <c:pt idx="346">
                  <c:v>7</c:v>
                </c:pt>
                <c:pt idx="347">
                  <c:v>#N/A</c:v>
                </c:pt>
                <c:pt idx="348">
                  <c:v>#N/A</c:v>
                </c:pt>
                <c:pt idx="349">
                  <c:v>#N/A</c:v>
                </c:pt>
                <c:pt idx="350">
                  <c:v>#N/A</c:v>
                </c:pt>
                <c:pt idx="351">
                  <c:v>#N/A</c:v>
                </c:pt>
                <c:pt idx="352">
                  <c:v>#N/A</c:v>
                </c:pt>
                <c:pt idx="353">
                  <c:v>#N/A</c:v>
                </c:pt>
                <c:pt idx="354">
                  <c:v>#N/A</c:v>
                </c:pt>
                <c:pt idx="355">
                  <c:v>#N/A</c:v>
                </c:pt>
                <c:pt idx="356">
                  <c:v>#N/A</c:v>
                </c:pt>
                <c:pt idx="357">
                  <c:v>7</c:v>
                </c:pt>
                <c:pt idx="358">
                  <c:v>7</c:v>
                </c:pt>
                <c:pt idx="359">
                  <c:v>#N/A</c:v>
                </c:pt>
                <c:pt idx="360">
                  <c:v>#N/A</c:v>
                </c:pt>
                <c:pt idx="361">
                  <c:v>#N/A</c:v>
                </c:pt>
                <c:pt idx="362">
                  <c:v>#N/A</c:v>
                </c:pt>
                <c:pt idx="363">
                  <c:v>#N/A</c:v>
                </c:pt>
                <c:pt idx="364">
                  <c:v>7</c:v>
                </c:pt>
                <c:pt idx="365">
                  <c:v>#N/A</c:v>
                </c:pt>
                <c:pt idx="366">
                  <c:v>7</c:v>
                </c:pt>
                <c:pt idx="367">
                  <c:v>#N/A</c:v>
                </c:pt>
                <c:pt idx="368">
                  <c:v>#N/A</c:v>
                </c:pt>
                <c:pt idx="369">
                  <c:v>7</c:v>
                </c:pt>
                <c:pt idx="370">
                  <c:v>#N/A</c:v>
                </c:pt>
                <c:pt idx="371">
                  <c:v>#N/A</c:v>
                </c:pt>
                <c:pt idx="372">
                  <c:v>#N/A</c:v>
                </c:pt>
                <c:pt idx="373">
                  <c:v>#N/A</c:v>
                </c:pt>
                <c:pt idx="374">
                  <c:v>#N/A</c:v>
                </c:pt>
                <c:pt idx="375">
                  <c:v>7</c:v>
                </c:pt>
                <c:pt idx="376">
                  <c:v>#N/A</c:v>
                </c:pt>
                <c:pt idx="377">
                  <c:v>7</c:v>
                </c:pt>
                <c:pt idx="378">
                  <c:v>#N/A</c:v>
                </c:pt>
                <c:pt idx="379">
                  <c:v>#N/A</c:v>
                </c:pt>
                <c:pt idx="380">
                  <c:v>#N/A</c:v>
                </c:pt>
                <c:pt idx="381">
                  <c:v>#N/A</c:v>
                </c:pt>
                <c:pt idx="382">
                  <c:v>#N/A</c:v>
                </c:pt>
                <c:pt idx="383">
                  <c:v>#N/A</c:v>
                </c:pt>
                <c:pt idx="384">
                  <c:v>#N/A</c:v>
                </c:pt>
                <c:pt idx="385">
                  <c:v>#N/A</c:v>
                </c:pt>
                <c:pt idx="386">
                  <c:v>#N/A</c:v>
                </c:pt>
                <c:pt idx="387">
                  <c:v>#N/A</c:v>
                </c:pt>
                <c:pt idx="388">
                  <c:v>#N/A</c:v>
                </c:pt>
                <c:pt idx="389">
                  <c:v>7</c:v>
                </c:pt>
                <c:pt idx="390">
                  <c:v>8</c:v>
                </c:pt>
                <c:pt idx="391">
                  <c:v>#N/A</c:v>
                </c:pt>
                <c:pt idx="392">
                  <c:v>#N/A</c:v>
                </c:pt>
                <c:pt idx="393">
                  <c:v>#N/A</c:v>
                </c:pt>
                <c:pt idx="394">
                  <c:v>#N/A</c:v>
                </c:pt>
                <c:pt idx="395">
                  <c:v>7</c:v>
                </c:pt>
                <c:pt idx="396">
                  <c:v>#N/A</c:v>
                </c:pt>
                <c:pt idx="397">
                  <c:v>#N/A</c:v>
                </c:pt>
                <c:pt idx="398">
                  <c:v>#N/A</c:v>
                </c:pt>
                <c:pt idx="399">
                  <c:v>#N/A</c:v>
                </c:pt>
                <c:pt idx="400">
                  <c:v>#N/A</c:v>
                </c:pt>
                <c:pt idx="401">
                  <c:v>#N/A</c:v>
                </c:pt>
                <c:pt idx="402">
                  <c:v>#N/A</c:v>
                </c:pt>
                <c:pt idx="403">
                  <c:v>#N/A</c:v>
                </c:pt>
                <c:pt idx="404">
                  <c:v>#N/A</c:v>
                </c:pt>
                <c:pt idx="405">
                  <c:v>#N/A</c:v>
                </c:pt>
                <c:pt idx="406">
                  <c:v>#N/A</c:v>
                </c:pt>
                <c:pt idx="407">
                  <c:v>7</c:v>
                </c:pt>
                <c:pt idx="408">
                  <c:v>#N/A</c:v>
                </c:pt>
                <c:pt idx="409">
                  <c:v>#N/A</c:v>
                </c:pt>
                <c:pt idx="410">
                  <c:v>#N/A</c:v>
                </c:pt>
                <c:pt idx="411">
                  <c:v>#N/A</c:v>
                </c:pt>
                <c:pt idx="412">
                  <c:v>#N/A</c:v>
                </c:pt>
                <c:pt idx="413">
                  <c:v>7</c:v>
                </c:pt>
                <c:pt idx="414">
                  <c:v>#N/A</c:v>
                </c:pt>
                <c:pt idx="415">
                  <c:v>#N/A</c:v>
                </c:pt>
                <c:pt idx="416">
                  <c:v>#N/A</c:v>
                </c:pt>
                <c:pt idx="417">
                  <c:v>#N/A</c:v>
                </c:pt>
                <c:pt idx="418">
                  <c:v>#N/A</c:v>
                </c:pt>
                <c:pt idx="419">
                  <c:v>#N/A</c:v>
                </c:pt>
                <c:pt idx="420">
                  <c:v>7</c:v>
                </c:pt>
                <c:pt idx="421">
                  <c:v>7</c:v>
                </c:pt>
                <c:pt idx="422">
                  <c:v>#N/A</c:v>
                </c:pt>
                <c:pt idx="423">
                  <c:v>7</c:v>
                </c:pt>
                <c:pt idx="424">
                  <c:v>#N/A</c:v>
                </c:pt>
                <c:pt idx="425">
                  <c:v>7</c:v>
                </c:pt>
                <c:pt idx="426">
                  <c:v>#N/A</c:v>
                </c:pt>
                <c:pt idx="427">
                  <c:v>#N/A</c:v>
                </c:pt>
                <c:pt idx="428">
                  <c:v>#N/A</c:v>
                </c:pt>
                <c:pt idx="429">
                  <c:v>#N/A</c:v>
                </c:pt>
                <c:pt idx="430">
                  <c:v>7</c:v>
                </c:pt>
                <c:pt idx="431">
                  <c:v>#N/A</c:v>
                </c:pt>
                <c:pt idx="432">
                  <c:v>#N/A</c:v>
                </c:pt>
                <c:pt idx="433">
                  <c:v>#N/A</c:v>
                </c:pt>
                <c:pt idx="434">
                  <c:v>#N/A</c:v>
                </c:pt>
                <c:pt idx="435">
                  <c:v>#N/A</c:v>
                </c:pt>
                <c:pt idx="436">
                  <c:v>#N/A</c:v>
                </c:pt>
                <c:pt idx="437">
                  <c:v>#N/A</c:v>
                </c:pt>
                <c:pt idx="438">
                  <c:v>#N/A</c:v>
                </c:pt>
                <c:pt idx="439">
                  <c:v>#N/A</c:v>
                </c:pt>
                <c:pt idx="440">
                  <c:v>8</c:v>
                </c:pt>
                <c:pt idx="441">
                  <c:v>#N/A</c:v>
                </c:pt>
                <c:pt idx="442">
                  <c:v>7</c:v>
                </c:pt>
                <c:pt idx="443">
                  <c:v>7</c:v>
                </c:pt>
                <c:pt idx="444">
                  <c:v>7</c:v>
                </c:pt>
                <c:pt idx="445">
                  <c:v>#N/A</c:v>
                </c:pt>
                <c:pt idx="446">
                  <c:v>#N/A</c:v>
                </c:pt>
                <c:pt idx="447">
                  <c:v>#N/A</c:v>
                </c:pt>
                <c:pt idx="448">
                  <c:v>#N/A</c:v>
                </c:pt>
                <c:pt idx="449">
                  <c:v>#N/A</c:v>
                </c:pt>
                <c:pt idx="450">
                  <c:v>#N/A</c:v>
                </c:pt>
                <c:pt idx="451">
                  <c:v>#N/A</c:v>
                </c:pt>
                <c:pt idx="452">
                  <c:v>#N/A</c:v>
                </c:pt>
                <c:pt idx="453">
                  <c:v>7</c:v>
                </c:pt>
                <c:pt idx="454">
                  <c:v>#N/A</c:v>
                </c:pt>
                <c:pt idx="455">
                  <c:v>8</c:v>
                </c:pt>
                <c:pt idx="456">
                  <c:v>#N/A</c:v>
                </c:pt>
                <c:pt idx="457">
                  <c:v>#N/A</c:v>
                </c:pt>
                <c:pt idx="458">
                  <c:v>7</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8</c:v>
                </c:pt>
                <c:pt idx="482">
                  <c:v>#N/A</c:v>
                </c:pt>
                <c:pt idx="483">
                  <c:v>#N/A</c:v>
                </c:pt>
                <c:pt idx="484">
                  <c:v>#N/A</c:v>
                </c:pt>
                <c:pt idx="485">
                  <c:v>#N/A</c:v>
                </c:pt>
                <c:pt idx="486">
                  <c:v>#N/A</c:v>
                </c:pt>
                <c:pt idx="487">
                  <c:v>#N/A</c:v>
                </c:pt>
                <c:pt idx="488">
                  <c:v>7</c:v>
                </c:pt>
                <c:pt idx="489">
                  <c:v>#N/A</c:v>
                </c:pt>
                <c:pt idx="490">
                  <c:v>#N/A</c:v>
                </c:pt>
                <c:pt idx="491">
                  <c:v>7</c:v>
                </c:pt>
                <c:pt idx="492">
                  <c:v>7</c:v>
                </c:pt>
                <c:pt idx="493">
                  <c:v>#N/A</c:v>
                </c:pt>
                <c:pt idx="494">
                  <c:v>#N/A</c:v>
                </c:pt>
                <c:pt idx="495">
                  <c:v>8</c:v>
                </c:pt>
                <c:pt idx="496">
                  <c:v>#N/A</c:v>
                </c:pt>
                <c:pt idx="497">
                  <c:v>#N/A</c:v>
                </c:pt>
                <c:pt idx="498">
                  <c:v>8</c:v>
                </c:pt>
                <c:pt idx="499">
                  <c:v>#N/A</c:v>
                </c:pt>
                <c:pt idx="500">
                  <c:v>#N/A</c:v>
                </c:pt>
                <c:pt idx="501">
                  <c:v>7</c:v>
                </c:pt>
                <c:pt idx="502">
                  <c:v>7</c:v>
                </c:pt>
                <c:pt idx="503">
                  <c:v>7</c:v>
                </c:pt>
                <c:pt idx="504">
                  <c:v>7</c:v>
                </c:pt>
                <c:pt idx="505">
                  <c:v>7</c:v>
                </c:pt>
                <c:pt idx="506">
                  <c:v>7</c:v>
                </c:pt>
                <c:pt idx="507">
                  <c:v>#N/A</c:v>
                </c:pt>
                <c:pt idx="508">
                  <c:v>#N/A</c:v>
                </c:pt>
                <c:pt idx="509">
                  <c:v>7</c:v>
                </c:pt>
                <c:pt idx="510">
                  <c:v>#N/A</c:v>
                </c:pt>
                <c:pt idx="511">
                  <c:v>#N/A</c:v>
                </c:pt>
                <c:pt idx="512">
                  <c:v>#N/A</c:v>
                </c:pt>
                <c:pt idx="513">
                  <c:v>7</c:v>
                </c:pt>
                <c:pt idx="514">
                  <c:v>7</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7</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7</c:v>
                </c:pt>
                <c:pt idx="584">
                  <c:v>7</c:v>
                </c:pt>
                <c:pt idx="585">
                  <c:v>#N/A</c:v>
                </c:pt>
                <c:pt idx="586">
                  <c:v>7</c:v>
                </c:pt>
                <c:pt idx="587">
                  <c:v>#N/A</c:v>
                </c:pt>
                <c:pt idx="588">
                  <c:v>8</c:v>
                </c:pt>
                <c:pt idx="589">
                  <c:v>7</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7</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7</c:v>
                </c:pt>
                <c:pt idx="639">
                  <c:v>#N/A</c:v>
                </c:pt>
                <c:pt idx="640">
                  <c:v>#N/A</c:v>
                </c:pt>
                <c:pt idx="641">
                  <c:v>#N/A</c:v>
                </c:pt>
                <c:pt idx="642">
                  <c:v>#N/A</c:v>
                </c:pt>
                <c:pt idx="643">
                  <c:v>#N/A</c:v>
                </c:pt>
                <c:pt idx="644">
                  <c:v>#N/A</c:v>
                </c:pt>
                <c:pt idx="645">
                  <c:v>7</c:v>
                </c:pt>
                <c:pt idx="646">
                  <c:v>#N/A</c:v>
                </c:pt>
                <c:pt idx="647">
                  <c:v>#N/A</c:v>
                </c:pt>
                <c:pt idx="648">
                  <c:v>7</c:v>
                </c:pt>
                <c:pt idx="649">
                  <c:v>#N/A</c:v>
                </c:pt>
                <c:pt idx="650">
                  <c:v>#N/A</c:v>
                </c:pt>
                <c:pt idx="651">
                  <c:v>#N/A</c:v>
                </c:pt>
                <c:pt idx="652">
                  <c:v>#N/A</c:v>
                </c:pt>
                <c:pt idx="653">
                  <c:v>#N/A</c:v>
                </c:pt>
                <c:pt idx="654">
                  <c:v>#N/A</c:v>
                </c:pt>
                <c:pt idx="655">
                  <c:v>#N/A</c:v>
                </c:pt>
                <c:pt idx="656">
                  <c:v>#N/A</c:v>
                </c:pt>
                <c:pt idx="657">
                  <c:v>7</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7</c:v>
                </c:pt>
                <c:pt idx="798">
                  <c:v>#N/A</c:v>
                </c:pt>
                <c:pt idx="799">
                  <c:v>#N/A</c:v>
                </c:pt>
                <c:pt idx="800">
                  <c:v>#N/A</c:v>
                </c:pt>
                <c:pt idx="801">
                  <c:v>#N/A</c:v>
                </c:pt>
                <c:pt idx="802">
                  <c:v>7</c:v>
                </c:pt>
                <c:pt idx="803">
                  <c:v>#N/A</c:v>
                </c:pt>
                <c:pt idx="804">
                  <c:v>#N/A</c:v>
                </c:pt>
                <c:pt idx="805">
                  <c:v>7</c:v>
                </c:pt>
                <c:pt idx="806">
                  <c:v>7</c:v>
                </c:pt>
                <c:pt idx="807">
                  <c:v>7</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7</c:v>
                </c:pt>
                <c:pt idx="822">
                  <c:v>#N/A</c:v>
                </c:pt>
                <c:pt idx="823">
                  <c:v>#N/A</c:v>
                </c:pt>
                <c:pt idx="824">
                  <c:v>#N/A</c:v>
                </c:pt>
                <c:pt idx="825">
                  <c:v>#N/A</c:v>
                </c:pt>
                <c:pt idx="826">
                  <c:v>7</c:v>
                </c:pt>
                <c:pt idx="827">
                  <c:v>#N/A</c:v>
                </c:pt>
                <c:pt idx="828">
                  <c:v>8</c:v>
                </c:pt>
                <c:pt idx="829">
                  <c:v>#N/A</c:v>
                </c:pt>
                <c:pt idx="830">
                  <c:v>#N/A</c:v>
                </c:pt>
                <c:pt idx="831">
                  <c:v>#N/A</c:v>
                </c:pt>
                <c:pt idx="832">
                  <c:v>#N/A</c:v>
                </c:pt>
                <c:pt idx="833">
                  <c:v>#N/A</c:v>
                </c:pt>
                <c:pt idx="834">
                  <c:v>#N/A</c:v>
                </c:pt>
                <c:pt idx="835">
                  <c:v>#N/A</c:v>
                </c:pt>
                <c:pt idx="836">
                  <c:v>7</c:v>
                </c:pt>
                <c:pt idx="837">
                  <c:v>7</c:v>
                </c:pt>
                <c:pt idx="838">
                  <c:v>7</c:v>
                </c:pt>
                <c:pt idx="839">
                  <c:v>#N/A</c:v>
                </c:pt>
                <c:pt idx="840">
                  <c:v>7</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7</c:v>
                </c:pt>
                <c:pt idx="856">
                  <c:v>#N/A</c:v>
                </c:pt>
                <c:pt idx="857">
                  <c:v>7</c:v>
                </c:pt>
                <c:pt idx="858">
                  <c:v>7</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7</c:v>
                </c:pt>
                <c:pt idx="874">
                  <c:v>7</c:v>
                </c:pt>
                <c:pt idx="875">
                  <c:v>7</c:v>
                </c:pt>
                <c:pt idx="876">
                  <c:v>#N/A</c:v>
                </c:pt>
                <c:pt idx="877">
                  <c:v>#N/A</c:v>
                </c:pt>
                <c:pt idx="878">
                  <c:v>#N/A</c:v>
                </c:pt>
                <c:pt idx="879">
                  <c:v>#N/A</c:v>
                </c:pt>
                <c:pt idx="880">
                  <c:v>#N/A</c:v>
                </c:pt>
                <c:pt idx="881">
                  <c:v>#N/A</c:v>
                </c:pt>
                <c:pt idx="882">
                  <c:v>#N/A</c:v>
                </c:pt>
                <c:pt idx="883">
                  <c:v>#N/A</c:v>
                </c:pt>
                <c:pt idx="884">
                  <c:v>#N/A</c:v>
                </c:pt>
                <c:pt idx="885">
                  <c:v>#N/A</c:v>
                </c:pt>
                <c:pt idx="886">
                  <c:v>#N/A</c:v>
                </c:pt>
                <c:pt idx="887">
                  <c:v>7</c:v>
                </c:pt>
                <c:pt idx="888">
                  <c:v>#N/A</c:v>
                </c:pt>
                <c:pt idx="889">
                  <c:v>#N/A</c:v>
                </c:pt>
                <c:pt idx="890">
                  <c:v>#N/A</c:v>
                </c:pt>
                <c:pt idx="891">
                  <c:v>#N/A</c:v>
                </c:pt>
                <c:pt idx="892">
                  <c:v>#N/A</c:v>
                </c:pt>
                <c:pt idx="893">
                  <c:v>#N/A</c:v>
                </c:pt>
                <c:pt idx="894">
                  <c:v>#N/A</c:v>
                </c:pt>
                <c:pt idx="895">
                  <c:v>#N/A</c:v>
                </c:pt>
                <c:pt idx="896">
                  <c:v>7</c:v>
                </c:pt>
                <c:pt idx="897">
                  <c:v>#N/A</c:v>
                </c:pt>
                <c:pt idx="898">
                  <c:v>7</c:v>
                </c:pt>
                <c:pt idx="899">
                  <c:v>#N/A</c:v>
                </c:pt>
                <c:pt idx="900">
                  <c:v>#N/A</c:v>
                </c:pt>
                <c:pt idx="901">
                  <c:v>7</c:v>
                </c:pt>
                <c:pt idx="902">
                  <c:v>7</c:v>
                </c:pt>
                <c:pt idx="903">
                  <c:v>7</c:v>
                </c:pt>
                <c:pt idx="904">
                  <c:v>7</c:v>
                </c:pt>
                <c:pt idx="905">
                  <c:v>#N/A</c:v>
                </c:pt>
                <c:pt idx="906">
                  <c:v>#N/A</c:v>
                </c:pt>
                <c:pt idx="907">
                  <c:v>#N/A</c:v>
                </c:pt>
                <c:pt idx="908">
                  <c:v>#N/A</c:v>
                </c:pt>
                <c:pt idx="909">
                  <c:v>#N/A</c:v>
                </c:pt>
                <c:pt idx="910">
                  <c:v>#N/A</c:v>
                </c:pt>
                <c:pt idx="911">
                  <c:v>#N/A</c:v>
                </c:pt>
                <c:pt idx="912">
                  <c:v>#N/A</c:v>
                </c:pt>
                <c:pt idx="913">
                  <c:v>7</c:v>
                </c:pt>
                <c:pt idx="914">
                  <c:v>#N/A</c:v>
                </c:pt>
                <c:pt idx="915">
                  <c:v>#N/A</c:v>
                </c:pt>
                <c:pt idx="916">
                  <c:v>#N/A</c:v>
                </c:pt>
                <c:pt idx="917">
                  <c:v>#N/A</c:v>
                </c:pt>
                <c:pt idx="918">
                  <c:v>#N/A</c:v>
                </c:pt>
                <c:pt idx="919">
                  <c:v>#N/A</c:v>
                </c:pt>
                <c:pt idx="920">
                  <c:v>#N/A</c:v>
                </c:pt>
                <c:pt idx="921">
                  <c:v>#N/A</c:v>
                </c:pt>
                <c:pt idx="922">
                  <c:v>#N/A</c:v>
                </c:pt>
                <c:pt idx="923">
                  <c:v>#N/A</c:v>
                </c:pt>
                <c:pt idx="924">
                  <c:v>#N/A</c:v>
                </c:pt>
                <c:pt idx="925">
                  <c:v>7</c:v>
                </c:pt>
                <c:pt idx="926">
                  <c:v>#N/A</c:v>
                </c:pt>
                <c:pt idx="927">
                  <c:v>#N/A</c:v>
                </c:pt>
                <c:pt idx="928">
                  <c:v>#N/A</c:v>
                </c:pt>
                <c:pt idx="929">
                  <c:v>7</c:v>
                </c:pt>
                <c:pt idx="930">
                  <c:v>#N/A</c:v>
                </c:pt>
                <c:pt idx="931">
                  <c:v>#N/A</c:v>
                </c:pt>
                <c:pt idx="932">
                  <c:v>#N/A</c:v>
                </c:pt>
                <c:pt idx="933">
                  <c:v>#N/A</c:v>
                </c:pt>
                <c:pt idx="934">
                  <c:v>#N/A</c:v>
                </c:pt>
                <c:pt idx="935">
                  <c:v>#N/A</c:v>
                </c:pt>
                <c:pt idx="936">
                  <c:v>#N/A</c:v>
                </c:pt>
                <c:pt idx="937">
                  <c:v>#N/A</c:v>
                </c:pt>
                <c:pt idx="938">
                  <c:v>7</c:v>
                </c:pt>
                <c:pt idx="939">
                  <c:v>#N/A</c:v>
                </c:pt>
                <c:pt idx="940">
                  <c:v>7</c:v>
                </c:pt>
                <c:pt idx="941">
                  <c:v>7</c:v>
                </c:pt>
                <c:pt idx="942">
                  <c:v>7</c:v>
                </c:pt>
                <c:pt idx="943">
                  <c:v>7</c:v>
                </c:pt>
                <c:pt idx="944">
                  <c:v>7</c:v>
                </c:pt>
                <c:pt idx="945">
                  <c:v>7</c:v>
                </c:pt>
                <c:pt idx="946">
                  <c:v>7</c:v>
                </c:pt>
                <c:pt idx="947">
                  <c:v>7</c:v>
                </c:pt>
                <c:pt idx="948">
                  <c:v>7</c:v>
                </c:pt>
                <c:pt idx="949">
                  <c:v>7</c:v>
                </c:pt>
                <c:pt idx="950">
                  <c:v>7</c:v>
                </c:pt>
                <c:pt idx="951">
                  <c:v>7</c:v>
                </c:pt>
                <c:pt idx="952">
                  <c:v>7</c:v>
                </c:pt>
                <c:pt idx="953">
                  <c:v>7</c:v>
                </c:pt>
                <c:pt idx="954">
                  <c:v>#N/A</c:v>
                </c:pt>
                <c:pt idx="955">
                  <c:v>#N/A</c:v>
                </c:pt>
                <c:pt idx="956">
                  <c:v>#N/A</c:v>
                </c:pt>
                <c:pt idx="957">
                  <c:v>#N/A</c:v>
                </c:pt>
                <c:pt idx="958">
                  <c:v>7</c:v>
                </c:pt>
                <c:pt idx="959">
                  <c:v>#N/A</c:v>
                </c:pt>
                <c:pt idx="960">
                  <c:v>#N/A</c:v>
                </c:pt>
                <c:pt idx="961">
                  <c:v>#N/A</c:v>
                </c:pt>
                <c:pt idx="962">
                  <c:v>#N/A</c:v>
                </c:pt>
                <c:pt idx="963">
                  <c:v>#N/A</c:v>
                </c:pt>
                <c:pt idx="964">
                  <c:v>#N/A</c:v>
                </c:pt>
                <c:pt idx="965">
                  <c:v>#N/A</c:v>
                </c:pt>
                <c:pt idx="966">
                  <c:v>7</c:v>
                </c:pt>
                <c:pt idx="967">
                  <c:v>#N/A</c:v>
                </c:pt>
                <c:pt idx="968">
                  <c:v>#N/A</c:v>
                </c:pt>
                <c:pt idx="969">
                  <c:v>#N/A</c:v>
                </c:pt>
                <c:pt idx="970">
                  <c:v>#N/A</c:v>
                </c:pt>
                <c:pt idx="971">
                  <c:v>#N/A</c:v>
                </c:pt>
                <c:pt idx="972">
                  <c:v>7</c:v>
                </c:pt>
                <c:pt idx="973">
                  <c:v>#N/A</c:v>
                </c:pt>
                <c:pt idx="974">
                  <c:v>7</c:v>
                </c:pt>
                <c:pt idx="975">
                  <c:v>#N/A</c:v>
                </c:pt>
                <c:pt idx="976">
                  <c:v>#N/A</c:v>
                </c:pt>
                <c:pt idx="977">
                  <c:v>#N/A</c:v>
                </c:pt>
                <c:pt idx="978">
                  <c:v>7</c:v>
                </c:pt>
                <c:pt idx="979">
                  <c:v>#N/A</c:v>
                </c:pt>
                <c:pt idx="980">
                  <c:v>#N/A</c:v>
                </c:pt>
                <c:pt idx="981">
                  <c:v>#N/A</c:v>
                </c:pt>
                <c:pt idx="982">
                  <c:v>#N/A</c:v>
                </c:pt>
                <c:pt idx="983">
                  <c:v>#N/A</c:v>
                </c:pt>
                <c:pt idx="984">
                  <c:v>#N/A</c:v>
                </c:pt>
                <c:pt idx="985">
                  <c:v>#N/A</c:v>
                </c:pt>
                <c:pt idx="986">
                  <c:v>7</c:v>
                </c:pt>
                <c:pt idx="987">
                  <c:v>#N/A</c:v>
                </c:pt>
                <c:pt idx="988">
                  <c:v>#N/A</c:v>
                </c:pt>
                <c:pt idx="989">
                  <c:v>#N/A</c:v>
                </c:pt>
                <c:pt idx="990">
                  <c:v>#N/A</c:v>
                </c:pt>
                <c:pt idx="991">
                  <c:v>#N/A</c:v>
                </c:pt>
                <c:pt idx="992">
                  <c:v>#N/A</c:v>
                </c:pt>
                <c:pt idx="993">
                  <c:v>#N/A</c:v>
                </c:pt>
                <c:pt idx="994">
                  <c:v>#N/A</c:v>
                </c:pt>
                <c:pt idx="995">
                  <c:v>#N/A</c:v>
                </c:pt>
                <c:pt idx="996">
                  <c:v>7</c:v>
                </c:pt>
                <c:pt idx="997">
                  <c:v>7</c:v>
                </c:pt>
                <c:pt idx="998">
                  <c:v>#N/A</c:v>
                </c:pt>
                <c:pt idx="999">
                  <c:v>#N/A</c:v>
                </c:pt>
                <c:pt idx="1000">
                  <c:v>7</c:v>
                </c:pt>
                <c:pt idx="1001">
                  <c:v>7</c:v>
                </c:pt>
                <c:pt idx="1002">
                  <c:v>7</c:v>
                </c:pt>
                <c:pt idx="1003">
                  <c:v>7</c:v>
                </c:pt>
                <c:pt idx="1004">
                  <c:v>#N/A</c:v>
                </c:pt>
                <c:pt idx="1005">
                  <c:v>7</c:v>
                </c:pt>
                <c:pt idx="1006">
                  <c:v>7</c:v>
                </c:pt>
                <c:pt idx="1007">
                  <c:v>7</c:v>
                </c:pt>
                <c:pt idx="1008">
                  <c:v>7</c:v>
                </c:pt>
                <c:pt idx="1009">
                  <c:v>#N/A</c:v>
                </c:pt>
                <c:pt idx="1010">
                  <c:v>7</c:v>
                </c:pt>
                <c:pt idx="1011">
                  <c:v>#N/A</c:v>
                </c:pt>
                <c:pt idx="1012">
                  <c:v>#N/A</c:v>
                </c:pt>
                <c:pt idx="1013">
                  <c:v>#N/A</c:v>
                </c:pt>
                <c:pt idx="1014">
                  <c:v>#N/A</c:v>
                </c:pt>
                <c:pt idx="1015">
                  <c:v>#N/A</c:v>
                </c:pt>
                <c:pt idx="1016">
                  <c:v>7</c:v>
                </c:pt>
                <c:pt idx="1017">
                  <c:v>#N/A</c:v>
                </c:pt>
                <c:pt idx="1018">
                  <c:v>#N/A</c:v>
                </c:pt>
                <c:pt idx="1019">
                  <c:v>#N/A</c:v>
                </c:pt>
                <c:pt idx="1020">
                  <c:v>#N/A</c:v>
                </c:pt>
                <c:pt idx="1021">
                  <c:v>#N/A</c:v>
                </c:pt>
                <c:pt idx="1022">
                  <c:v>#N/A</c:v>
                </c:pt>
                <c:pt idx="1023">
                  <c:v>#N/A</c:v>
                </c:pt>
                <c:pt idx="1024">
                  <c:v>7</c:v>
                </c:pt>
                <c:pt idx="1025">
                  <c:v>#N/A</c:v>
                </c:pt>
                <c:pt idx="1026">
                  <c:v>#N/A</c:v>
                </c:pt>
                <c:pt idx="1027">
                  <c:v>#N/A</c:v>
                </c:pt>
                <c:pt idx="1028">
                  <c:v>#N/A</c:v>
                </c:pt>
                <c:pt idx="1029">
                  <c:v>7</c:v>
                </c:pt>
                <c:pt idx="1030">
                  <c:v>7</c:v>
                </c:pt>
                <c:pt idx="1031">
                  <c:v>7</c:v>
                </c:pt>
                <c:pt idx="1032">
                  <c:v>#N/A</c:v>
                </c:pt>
                <c:pt idx="1033">
                  <c:v>#N/A</c:v>
                </c:pt>
                <c:pt idx="1034">
                  <c:v>#N/A</c:v>
                </c:pt>
                <c:pt idx="1035">
                  <c:v>7</c:v>
                </c:pt>
                <c:pt idx="1036">
                  <c:v>7</c:v>
                </c:pt>
                <c:pt idx="1037">
                  <c:v>#N/A</c:v>
                </c:pt>
                <c:pt idx="1038">
                  <c:v>7</c:v>
                </c:pt>
                <c:pt idx="1039">
                  <c:v>#N/A</c:v>
                </c:pt>
                <c:pt idx="1040">
                  <c:v>#N/A</c:v>
                </c:pt>
                <c:pt idx="1041">
                  <c:v>#N/A</c:v>
                </c:pt>
                <c:pt idx="1042">
                  <c:v>#N/A</c:v>
                </c:pt>
                <c:pt idx="1043">
                  <c:v>7</c:v>
                </c:pt>
                <c:pt idx="1044">
                  <c:v>#N/A</c:v>
                </c:pt>
                <c:pt idx="1045">
                  <c:v>#N/A</c:v>
                </c:pt>
                <c:pt idx="1046">
                  <c:v>#N/A</c:v>
                </c:pt>
                <c:pt idx="1047">
                  <c:v>#N/A</c:v>
                </c:pt>
                <c:pt idx="1048">
                  <c:v>#N/A</c:v>
                </c:pt>
                <c:pt idx="1049">
                  <c:v>#N/A</c:v>
                </c:pt>
                <c:pt idx="1050">
                  <c:v>#N/A</c:v>
                </c:pt>
                <c:pt idx="1051">
                  <c:v>#N/A</c:v>
                </c:pt>
                <c:pt idx="1052">
                  <c:v>#N/A</c:v>
                </c:pt>
                <c:pt idx="1053">
                  <c:v>7</c:v>
                </c:pt>
                <c:pt idx="1054">
                  <c:v>#N/A</c:v>
                </c:pt>
                <c:pt idx="1055">
                  <c:v>#N/A</c:v>
                </c:pt>
                <c:pt idx="1056">
                  <c:v>7</c:v>
                </c:pt>
                <c:pt idx="1057">
                  <c:v>#N/A</c:v>
                </c:pt>
                <c:pt idx="1058">
                  <c:v>7</c:v>
                </c:pt>
                <c:pt idx="1059">
                  <c:v>7</c:v>
                </c:pt>
                <c:pt idx="1060">
                  <c:v>#N/A</c:v>
                </c:pt>
                <c:pt idx="1061">
                  <c:v>8</c:v>
                </c:pt>
                <c:pt idx="1062">
                  <c:v>#N/A</c:v>
                </c:pt>
                <c:pt idx="1063">
                  <c:v>#N/A</c:v>
                </c:pt>
                <c:pt idx="1064">
                  <c:v>#N/A</c:v>
                </c:pt>
                <c:pt idx="1065">
                  <c:v>#N/A</c:v>
                </c:pt>
                <c:pt idx="1066">
                  <c:v>7</c:v>
                </c:pt>
                <c:pt idx="1067">
                  <c:v>7</c:v>
                </c:pt>
                <c:pt idx="1068">
                  <c:v>7</c:v>
                </c:pt>
                <c:pt idx="1069">
                  <c:v>#N/A</c:v>
                </c:pt>
                <c:pt idx="1070">
                  <c:v>7</c:v>
                </c:pt>
                <c:pt idx="1071">
                  <c:v>#N/A</c:v>
                </c:pt>
                <c:pt idx="1072">
                  <c:v>#N/A</c:v>
                </c:pt>
                <c:pt idx="1073">
                  <c:v>#N/A</c:v>
                </c:pt>
                <c:pt idx="1074">
                  <c:v>#N/A</c:v>
                </c:pt>
                <c:pt idx="1075">
                  <c:v>7</c:v>
                </c:pt>
                <c:pt idx="1076">
                  <c:v>#N/A</c:v>
                </c:pt>
                <c:pt idx="1077">
                  <c:v>#N/A</c:v>
                </c:pt>
                <c:pt idx="1078">
                  <c:v>#N/A</c:v>
                </c:pt>
                <c:pt idx="1079">
                  <c:v>7</c:v>
                </c:pt>
                <c:pt idx="1080">
                  <c:v>#N/A</c:v>
                </c:pt>
                <c:pt idx="1081">
                  <c:v>7</c:v>
                </c:pt>
                <c:pt idx="1082">
                  <c:v>#N/A</c:v>
                </c:pt>
                <c:pt idx="1083">
                  <c:v>#N/A</c:v>
                </c:pt>
                <c:pt idx="1084">
                  <c:v>#N/A</c:v>
                </c:pt>
                <c:pt idx="1085">
                  <c:v>#N/A</c:v>
                </c:pt>
                <c:pt idx="1086">
                  <c:v>7</c:v>
                </c:pt>
                <c:pt idx="1087">
                  <c:v>#N/A</c:v>
                </c:pt>
                <c:pt idx="1088">
                  <c:v>7</c:v>
                </c:pt>
                <c:pt idx="1089">
                  <c:v>7</c:v>
                </c:pt>
                <c:pt idx="1090">
                  <c:v>8</c:v>
                </c:pt>
                <c:pt idx="1091">
                  <c:v>#N/A</c:v>
                </c:pt>
                <c:pt idx="1092">
                  <c:v>#N/A</c:v>
                </c:pt>
                <c:pt idx="1093">
                  <c:v>7</c:v>
                </c:pt>
                <c:pt idx="1094">
                  <c:v>#N/A</c:v>
                </c:pt>
                <c:pt idx="1095">
                  <c:v>#N/A</c:v>
                </c:pt>
                <c:pt idx="1096">
                  <c:v>#N/A</c:v>
                </c:pt>
                <c:pt idx="1097">
                  <c:v>#N/A</c:v>
                </c:pt>
                <c:pt idx="1098">
                  <c:v>7</c:v>
                </c:pt>
                <c:pt idx="1099">
                  <c:v>#N/A</c:v>
                </c:pt>
                <c:pt idx="1100">
                  <c:v>#N/A</c:v>
                </c:pt>
                <c:pt idx="1101">
                  <c:v>#N/A</c:v>
                </c:pt>
                <c:pt idx="1102">
                  <c:v>#N/A</c:v>
                </c:pt>
                <c:pt idx="1103">
                  <c:v>#N/A</c:v>
                </c:pt>
                <c:pt idx="1104">
                  <c:v>#N/A</c:v>
                </c:pt>
                <c:pt idx="1105">
                  <c:v>#N/A</c:v>
                </c:pt>
                <c:pt idx="1106">
                  <c:v>#N/A</c:v>
                </c:pt>
                <c:pt idx="1107">
                  <c:v>7</c:v>
                </c:pt>
                <c:pt idx="1108">
                  <c:v>#N/A</c:v>
                </c:pt>
                <c:pt idx="1109">
                  <c:v>#N/A</c:v>
                </c:pt>
                <c:pt idx="1110">
                  <c:v>#N/A</c:v>
                </c:pt>
                <c:pt idx="1111">
                  <c:v>7</c:v>
                </c:pt>
                <c:pt idx="1112">
                  <c:v>#N/A</c:v>
                </c:pt>
                <c:pt idx="1113">
                  <c:v>#N/A</c:v>
                </c:pt>
                <c:pt idx="1114">
                  <c:v>#N/A</c:v>
                </c:pt>
                <c:pt idx="1115">
                  <c:v>#N/A</c:v>
                </c:pt>
                <c:pt idx="1116">
                  <c:v>#N/A</c:v>
                </c:pt>
                <c:pt idx="1117">
                  <c:v>#N/A</c:v>
                </c:pt>
                <c:pt idx="1118">
                  <c:v>#N/A</c:v>
                </c:pt>
                <c:pt idx="1119">
                  <c:v>#N/A</c:v>
                </c:pt>
                <c:pt idx="1120">
                  <c:v>8</c:v>
                </c:pt>
                <c:pt idx="1121">
                  <c:v>#N/A</c:v>
                </c:pt>
                <c:pt idx="1122">
                  <c:v>#N/A</c:v>
                </c:pt>
                <c:pt idx="1123">
                  <c:v>#N/A</c:v>
                </c:pt>
                <c:pt idx="1124">
                  <c:v>#N/A</c:v>
                </c:pt>
                <c:pt idx="1125">
                  <c:v>7</c:v>
                </c:pt>
                <c:pt idx="1126">
                  <c:v>#N/A</c:v>
                </c:pt>
                <c:pt idx="1127">
                  <c:v>#N/A</c:v>
                </c:pt>
                <c:pt idx="1128">
                  <c:v>#N/A</c:v>
                </c:pt>
                <c:pt idx="1129">
                  <c:v>#N/A</c:v>
                </c:pt>
                <c:pt idx="1130">
                  <c:v>#N/A</c:v>
                </c:pt>
                <c:pt idx="1131">
                  <c:v>#N/A</c:v>
                </c:pt>
                <c:pt idx="1132">
                  <c:v>7</c:v>
                </c:pt>
                <c:pt idx="1133">
                  <c:v>7</c:v>
                </c:pt>
                <c:pt idx="1134">
                  <c:v>7</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7</c:v>
                </c:pt>
                <c:pt idx="1148">
                  <c:v>#N/A</c:v>
                </c:pt>
                <c:pt idx="1149">
                  <c:v>#N/A</c:v>
                </c:pt>
                <c:pt idx="1150">
                  <c:v>7</c:v>
                </c:pt>
                <c:pt idx="1151">
                  <c:v>#N/A</c:v>
                </c:pt>
                <c:pt idx="1152">
                  <c:v>#N/A</c:v>
                </c:pt>
                <c:pt idx="1153">
                  <c:v>#N/A</c:v>
                </c:pt>
                <c:pt idx="1154">
                  <c:v>#N/A</c:v>
                </c:pt>
                <c:pt idx="1155">
                  <c:v>#N/A</c:v>
                </c:pt>
                <c:pt idx="1156">
                  <c:v>7</c:v>
                </c:pt>
                <c:pt idx="1157">
                  <c:v>7</c:v>
                </c:pt>
                <c:pt idx="1158">
                  <c:v>#N/A</c:v>
                </c:pt>
                <c:pt idx="1159">
                  <c:v>#N/A</c:v>
                </c:pt>
                <c:pt idx="1160">
                  <c:v>7</c:v>
                </c:pt>
                <c:pt idx="1161">
                  <c:v>#N/A</c:v>
                </c:pt>
                <c:pt idx="1162">
                  <c:v>7</c:v>
                </c:pt>
                <c:pt idx="1163">
                  <c:v>#N/A</c:v>
                </c:pt>
                <c:pt idx="1164">
                  <c:v>#N/A</c:v>
                </c:pt>
                <c:pt idx="1165">
                  <c:v>#N/A</c:v>
                </c:pt>
                <c:pt idx="1166">
                  <c:v>#N/A</c:v>
                </c:pt>
                <c:pt idx="1167">
                  <c:v>7</c:v>
                </c:pt>
                <c:pt idx="1168">
                  <c:v>#N/A</c:v>
                </c:pt>
                <c:pt idx="1169">
                  <c:v>#N/A</c:v>
                </c:pt>
                <c:pt idx="1170">
                  <c:v>#N/A</c:v>
                </c:pt>
                <c:pt idx="1171">
                  <c:v>#N/A</c:v>
                </c:pt>
                <c:pt idx="1172">
                  <c:v>#N/A</c:v>
                </c:pt>
                <c:pt idx="1173">
                  <c:v>#N/A</c:v>
                </c:pt>
                <c:pt idx="1174">
                  <c:v>#N/A</c:v>
                </c:pt>
                <c:pt idx="1175">
                  <c:v>#N/A</c:v>
                </c:pt>
                <c:pt idx="1176">
                  <c:v>#N/A</c:v>
                </c:pt>
                <c:pt idx="1177">
                  <c:v>7</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7</c:v>
                </c:pt>
                <c:pt idx="1193">
                  <c:v>#N/A</c:v>
                </c:pt>
                <c:pt idx="1194">
                  <c:v>#N/A</c:v>
                </c:pt>
                <c:pt idx="1195">
                  <c:v>#N/A</c:v>
                </c:pt>
                <c:pt idx="1196">
                  <c:v>#N/A</c:v>
                </c:pt>
                <c:pt idx="1197">
                  <c:v>#N/A</c:v>
                </c:pt>
                <c:pt idx="1198">
                  <c:v>#N/A</c:v>
                </c:pt>
                <c:pt idx="1199">
                  <c:v>#N/A</c:v>
                </c:pt>
                <c:pt idx="1200">
                  <c:v>#N/A</c:v>
                </c:pt>
                <c:pt idx="1201">
                  <c:v>7</c:v>
                </c:pt>
                <c:pt idx="1202">
                  <c:v>8</c:v>
                </c:pt>
                <c:pt idx="1203">
                  <c:v>#N/A</c:v>
                </c:pt>
                <c:pt idx="1204">
                  <c:v>7</c:v>
                </c:pt>
                <c:pt idx="1205">
                  <c:v>7</c:v>
                </c:pt>
                <c:pt idx="1206">
                  <c:v>7</c:v>
                </c:pt>
                <c:pt idx="1207">
                  <c:v>#N/A</c:v>
                </c:pt>
                <c:pt idx="1208">
                  <c:v>7</c:v>
                </c:pt>
                <c:pt idx="1209">
                  <c:v>7</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7</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8</c:v>
                </c:pt>
                <c:pt idx="1270">
                  <c:v>#N/A</c:v>
                </c:pt>
                <c:pt idx="1271">
                  <c:v>#N/A</c:v>
                </c:pt>
                <c:pt idx="1272">
                  <c:v>#N/A</c:v>
                </c:pt>
                <c:pt idx="1273">
                  <c:v>#N/A</c:v>
                </c:pt>
                <c:pt idx="1274">
                  <c:v>#N/A</c:v>
                </c:pt>
                <c:pt idx="1275">
                  <c:v>#N/A</c:v>
                </c:pt>
                <c:pt idx="1276">
                  <c:v>#N/A</c:v>
                </c:pt>
                <c:pt idx="1277">
                  <c:v>#N/A</c:v>
                </c:pt>
                <c:pt idx="1278">
                  <c:v>#N/A</c:v>
                </c:pt>
                <c:pt idx="1279">
                  <c:v>7</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7</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7</c:v>
                </c:pt>
                <c:pt idx="1399">
                  <c:v>#N/A</c:v>
                </c:pt>
                <c:pt idx="1400">
                  <c:v>#N/A</c:v>
                </c:pt>
                <c:pt idx="1401">
                  <c:v>#N/A</c:v>
                </c:pt>
                <c:pt idx="1402">
                  <c:v>#N/A</c:v>
                </c:pt>
                <c:pt idx="1403">
                  <c:v>8</c:v>
                </c:pt>
                <c:pt idx="1404">
                  <c:v>#N/A</c:v>
                </c:pt>
                <c:pt idx="1405">
                  <c:v>7</c:v>
                </c:pt>
                <c:pt idx="1406">
                  <c:v>#N/A</c:v>
                </c:pt>
                <c:pt idx="1407">
                  <c:v>#N/A</c:v>
                </c:pt>
                <c:pt idx="1408">
                  <c:v>7</c:v>
                </c:pt>
                <c:pt idx="1409">
                  <c:v>#N/A</c:v>
                </c:pt>
                <c:pt idx="1410">
                  <c:v>#N/A</c:v>
                </c:pt>
                <c:pt idx="1411">
                  <c:v>#N/A</c:v>
                </c:pt>
                <c:pt idx="1412">
                  <c:v>#N/A</c:v>
                </c:pt>
                <c:pt idx="1413">
                  <c:v>#N/A</c:v>
                </c:pt>
                <c:pt idx="1414">
                  <c:v>#N/A</c:v>
                </c:pt>
                <c:pt idx="1415">
                  <c:v>#N/A</c:v>
                </c:pt>
                <c:pt idx="1416">
                  <c:v>#N/A</c:v>
                </c:pt>
                <c:pt idx="1417">
                  <c:v>7</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7</c:v>
                </c:pt>
                <c:pt idx="1434">
                  <c:v>#N/A</c:v>
                </c:pt>
                <c:pt idx="1435">
                  <c:v>#N/A</c:v>
                </c:pt>
                <c:pt idx="1436">
                  <c:v>#N/A</c:v>
                </c:pt>
                <c:pt idx="1437">
                  <c:v>#N/A</c:v>
                </c:pt>
                <c:pt idx="1438">
                  <c:v>#N/A</c:v>
                </c:pt>
                <c:pt idx="1439">
                  <c:v>#N/A</c:v>
                </c:pt>
                <c:pt idx="1440">
                  <c:v>7</c:v>
                </c:pt>
                <c:pt idx="1441">
                  <c:v>#N/A</c:v>
                </c:pt>
                <c:pt idx="1442">
                  <c:v>#N/A</c:v>
                </c:pt>
                <c:pt idx="1443">
                  <c:v>#N/A</c:v>
                </c:pt>
                <c:pt idx="1444">
                  <c:v>#N/A</c:v>
                </c:pt>
                <c:pt idx="1445">
                  <c:v>#N/A</c:v>
                </c:pt>
                <c:pt idx="1446">
                  <c:v>#N/A</c:v>
                </c:pt>
                <c:pt idx="1447">
                  <c:v>#N/A</c:v>
                </c:pt>
                <c:pt idx="1448">
                  <c:v>#N/A</c:v>
                </c:pt>
                <c:pt idx="1449">
                  <c:v>8</c:v>
                </c:pt>
                <c:pt idx="1450">
                  <c:v>7</c:v>
                </c:pt>
                <c:pt idx="1451">
                  <c:v>7</c:v>
                </c:pt>
                <c:pt idx="1452">
                  <c:v>7</c:v>
                </c:pt>
                <c:pt idx="1453">
                  <c:v>#N/A</c:v>
                </c:pt>
                <c:pt idx="1454">
                  <c:v>#N/A</c:v>
                </c:pt>
                <c:pt idx="1455">
                  <c:v>#N/A</c:v>
                </c:pt>
                <c:pt idx="1456">
                  <c:v>#N/A</c:v>
                </c:pt>
                <c:pt idx="1457">
                  <c:v>#N/A</c:v>
                </c:pt>
                <c:pt idx="1458">
                  <c:v>#N/A</c:v>
                </c:pt>
                <c:pt idx="1459">
                  <c:v>7</c:v>
                </c:pt>
                <c:pt idx="1460">
                  <c:v>#N/A</c:v>
                </c:pt>
                <c:pt idx="1461">
                  <c:v>#N/A</c:v>
                </c:pt>
                <c:pt idx="1462">
                  <c:v>#N/A</c:v>
                </c:pt>
                <c:pt idx="1463">
                  <c:v>#N/A</c:v>
                </c:pt>
                <c:pt idx="1464">
                  <c:v>#N/A</c:v>
                </c:pt>
                <c:pt idx="1465">
                  <c:v>#N/A</c:v>
                </c:pt>
                <c:pt idx="1466">
                  <c:v>7</c:v>
                </c:pt>
                <c:pt idx="1467">
                  <c:v>#N/A</c:v>
                </c:pt>
                <c:pt idx="1468">
                  <c:v>7</c:v>
                </c:pt>
                <c:pt idx="1469">
                  <c:v>#N/A</c:v>
                </c:pt>
                <c:pt idx="1470">
                  <c:v>#N/A</c:v>
                </c:pt>
                <c:pt idx="1471">
                  <c:v>#N/A</c:v>
                </c:pt>
                <c:pt idx="1472">
                  <c:v>#N/A</c:v>
                </c:pt>
                <c:pt idx="1473">
                  <c:v>#N/A</c:v>
                </c:pt>
                <c:pt idx="1474">
                  <c:v>#N/A</c:v>
                </c:pt>
                <c:pt idx="1475">
                  <c:v>7</c:v>
                </c:pt>
                <c:pt idx="1476">
                  <c:v>#N/A</c:v>
                </c:pt>
                <c:pt idx="1477">
                  <c:v>7</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7</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7</c:v>
                </c:pt>
                <c:pt idx="1535">
                  <c:v>#N/A</c:v>
                </c:pt>
                <c:pt idx="1536">
                  <c:v>#N/A</c:v>
                </c:pt>
                <c:pt idx="1537">
                  <c:v>#N/A</c:v>
                </c:pt>
                <c:pt idx="1538">
                  <c:v>#N/A</c:v>
                </c:pt>
                <c:pt idx="1539">
                  <c:v>#N/A</c:v>
                </c:pt>
                <c:pt idx="1540">
                  <c:v>#N/A</c:v>
                </c:pt>
                <c:pt idx="1541">
                  <c:v>7</c:v>
                </c:pt>
                <c:pt idx="1542">
                  <c:v>#N/A</c:v>
                </c:pt>
                <c:pt idx="1543">
                  <c:v>#N/A</c:v>
                </c:pt>
                <c:pt idx="1544">
                  <c:v>7</c:v>
                </c:pt>
                <c:pt idx="1545">
                  <c:v>#N/A</c:v>
                </c:pt>
                <c:pt idx="1546">
                  <c:v>#N/A</c:v>
                </c:pt>
                <c:pt idx="1547">
                  <c:v>#N/A</c:v>
                </c:pt>
                <c:pt idx="1548">
                  <c:v>#N/A</c:v>
                </c:pt>
                <c:pt idx="1549">
                  <c:v>8</c:v>
                </c:pt>
                <c:pt idx="1550">
                  <c:v>#N/A</c:v>
                </c:pt>
                <c:pt idx="1551">
                  <c:v>#N/A</c:v>
                </c:pt>
                <c:pt idx="1552">
                  <c:v>#N/A</c:v>
                </c:pt>
                <c:pt idx="1553">
                  <c:v>#N/A</c:v>
                </c:pt>
                <c:pt idx="1554">
                  <c:v>#N/A</c:v>
                </c:pt>
                <c:pt idx="1555">
                  <c:v>7</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7</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numCache>
            </c:numRef>
          </c:yVal>
          <c:smooth val="0"/>
          <c:extLst>
            <c:ext xmlns:c16="http://schemas.microsoft.com/office/drawing/2014/chart" uri="{C3380CC4-5D6E-409C-BE32-E72D297353CC}">
              <c16:uniqueId val="{00000002-3645-427A-A7AB-B1556F00A55C}"/>
            </c:ext>
          </c:extLst>
        </c:ser>
        <c:dLbls>
          <c:showLegendKey val="0"/>
          <c:showVal val="0"/>
          <c:showCatName val="0"/>
          <c:showSerName val="0"/>
          <c:showPercent val="0"/>
          <c:showBubbleSize val="0"/>
        </c:dLbls>
        <c:axId val="75869312"/>
        <c:axId val="75869792"/>
      </c:scatterChart>
      <c:valAx>
        <c:axId val="75869312"/>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IN"/>
                  <a:t>Alcohol Content</a:t>
                </a:r>
              </a:p>
              <a:p>
                <a:pPr>
                  <a:defRPr/>
                </a:pPr>
                <a:endParaRPr lang="en-IN"/>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5869792"/>
        <c:crosses val="autoZero"/>
        <c:crossBetween val="midCat"/>
      </c:valAx>
      <c:valAx>
        <c:axId val="7586979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r>
                  <a:rPr lang="en-IN"/>
                  <a:t>Quality Score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586931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'winequality-red'!$L$1</c:f>
              <c:strCache>
                <c:ptCount val="1"/>
                <c:pt idx="0">
                  <c:v>quality</c:v>
                </c:pt>
              </c:strCache>
            </c:strRef>
          </c:tx>
          <c:spPr>
            <a:ln w="19050" cap="rnd">
              <a:noFill/>
              <a:round/>
            </a:ln>
            <a:effectLst/>
          </c:spPr>
          <c:marker>
            <c:symbol val="circle"/>
            <c:size val="5"/>
            <c:spPr>
              <a:solidFill>
                <a:schemeClr val="accent1"/>
              </a:solidFill>
              <a:ln w="9525">
                <a:solidFill>
                  <a:schemeClr val="accent1"/>
                </a:solidFill>
              </a:ln>
              <a:effectLst/>
            </c:spPr>
          </c:marker>
          <c:xVal>
            <c:numRef>
              <c:f>'winequality-red'!$K$2:$K$1600</c:f>
              <c:numCache>
                <c:formatCode>General</c:formatCode>
                <c:ptCount val="1599"/>
                <c:pt idx="0">
                  <c:v>9.4</c:v>
                </c:pt>
                <c:pt idx="1">
                  <c:v>9.8000000000000007</c:v>
                </c:pt>
                <c:pt idx="2">
                  <c:v>9.8000000000000007</c:v>
                </c:pt>
                <c:pt idx="3">
                  <c:v>9.8000000000000007</c:v>
                </c:pt>
                <c:pt idx="4">
                  <c:v>9.4</c:v>
                </c:pt>
                <c:pt idx="5">
                  <c:v>9.4</c:v>
                </c:pt>
                <c:pt idx="6">
                  <c:v>9.4</c:v>
                </c:pt>
                <c:pt idx="7">
                  <c:v>10</c:v>
                </c:pt>
                <c:pt idx="8">
                  <c:v>9.5</c:v>
                </c:pt>
                <c:pt idx="9">
                  <c:v>10.5</c:v>
                </c:pt>
                <c:pt idx="10">
                  <c:v>9.1999999999999993</c:v>
                </c:pt>
                <c:pt idx="11">
                  <c:v>10.5</c:v>
                </c:pt>
                <c:pt idx="12">
                  <c:v>9.9</c:v>
                </c:pt>
                <c:pt idx="13">
                  <c:v>9.1</c:v>
                </c:pt>
                <c:pt idx="14">
                  <c:v>9.1999999999999993</c:v>
                </c:pt>
                <c:pt idx="15">
                  <c:v>9.1999999999999993</c:v>
                </c:pt>
                <c:pt idx="16">
                  <c:v>10.5</c:v>
                </c:pt>
                <c:pt idx="17">
                  <c:v>9.3000000000000007</c:v>
                </c:pt>
                <c:pt idx="18">
                  <c:v>9</c:v>
                </c:pt>
                <c:pt idx="19">
                  <c:v>9.1999999999999993</c:v>
                </c:pt>
                <c:pt idx="20">
                  <c:v>9.4</c:v>
                </c:pt>
                <c:pt idx="21">
                  <c:v>9.6999999999999993</c:v>
                </c:pt>
                <c:pt idx="22">
                  <c:v>9.5</c:v>
                </c:pt>
                <c:pt idx="23">
                  <c:v>9.4</c:v>
                </c:pt>
                <c:pt idx="24">
                  <c:v>9.6999999999999993</c:v>
                </c:pt>
                <c:pt idx="25">
                  <c:v>9.3000000000000007</c:v>
                </c:pt>
                <c:pt idx="26">
                  <c:v>9.5</c:v>
                </c:pt>
                <c:pt idx="27">
                  <c:v>9.5</c:v>
                </c:pt>
                <c:pt idx="28">
                  <c:v>9.4</c:v>
                </c:pt>
                <c:pt idx="29">
                  <c:v>9.8000000000000007</c:v>
                </c:pt>
                <c:pt idx="30">
                  <c:v>10.1</c:v>
                </c:pt>
                <c:pt idx="31">
                  <c:v>10.6</c:v>
                </c:pt>
                <c:pt idx="32">
                  <c:v>9.8000000000000007</c:v>
                </c:pt>
                <c:pt idx="33">
                  <c:v>9.4</c:v>
                </c:pt>
                <c:pt idx="34">
                  <c:v>9.1999999999999993</c:v>
                </c:pt>
                <c:pt idx="35">
                  <c:v>9.6</c:v>
                </c:pt>
                <c:pt idx="36">
                  <c:v>10.8</c:v>
                </c:pt>
                <c:pt idx="37">
                  <c:v>9.6999999999999993</c:v>
                </c:pt>
                <c:pt idx="38">
                  <c:v>9.8000000000000007</c:v>
                </c:pt>
                <c:pt idx="39">
                  <c:v>10.5</c:v>
                </c:pt>
                <c:pt idx="40">
                  <c:v>10.5</c:v>
                </c:pt>
                <c:pt idx="41">
                  <c:v>9.3000000000000007</c:v>
                </c:pt>
                <c:pt idx="42">
                  <c:v>10.5</c:v>
                </c:pt>
                <c:pt idx="43">
                  <c:v>10.3</c:v>
                </c:pt>
                <c:pt idx="44">
                  <c:v>9.5</c:v>
                </c:pt>
                <c:pt idx="45">
                  <c:v>13.1</c:v>
                </c:pt>
                <c:pt idx="46">
                  <c:v>9.1999999999999993</c:v>
                </c:pt>
                <c:pt idx="47">
                  <c:v>9.5</c:v>
                </c:pt>
                <c:pt idx="48">
                  <c:v>9.1999999999999993</c:v>
                </c:pt>
                <c:pt idx="49">
                  <c:v>9.1999999999999993</c:v>
                </c:pt>
                <c:pt idx="50">
                  <c:v>9.1999999999999993</c:v>
                </c:pt>
                <c:pt idx="51">
                  <c:v>9.4</c:v>
                </c:pt>
                <c:pt idx="52">
                  <c:v>9.4</c:v>
                </c:pt>
                <c:pt idx="53">
                  <c:v>9.4</c:v>
                </c:pt>
                <c:pt idx="54">
                  <c:v>10.199999999999999</c:v>
                </c:pt>
                <c:pt idx="55">
                  <c:v>9.5</c:v>
                </c:pt>
                <c:pt idx="56">
                  <c:v>9.6</c:v>
                </c:pt>
                <c:pt idx="57">
                  <c:v>9.4</c:v>
                </c:pt>
                <c:pt idx="58">
                  <c:v>10</c:v>
                </c:pt>
                <c:pt idx="59">
                  <c:v>9.4</c:v>
                </c:pt>
                <c:pt idx="60">
                  <c:v>9.1999999999999993</c:v>
                </c:pt>
                <c:pt idx="61">
                  <c:v>9.3000000000000007</c:v>
                </c:pt>
                <c:pt idx="62">
                  <c:v>9.5</c:v>
                </c:pt>
                <c:pt idx="63">
                  <c:v>9.8000000000000007</c:v>
                </c:pt>
                <c:pt idx="64">
                  <c:v>10.9</c:v>
                </c:pt>
                <c:pt idx="65">
                  <c:v>10.9</c:v>
                </c:pt>
                <c:pt idx="66">
                  <c:v>9.6</c:v>
                </c:pt>
                <c:pt idx="67">
                  <c:v>10.7</c:v>
                </c:pt>
                <c:pt idx="68">
                  <c:v>10.7</c:v>
                </c:pt>
                <c:pt idx="69">
                  <c:v>10.5</c:v>
                </c:pt>
                <c:pt idx="70">
                  <c:v>9.5</c:v>
                </c:pt>
                <c:pt idx="71">
                  <c:v>9.5</c:v>
                </c:pt>
                <c:pt idx="72">
                  <c:v>9.5</c:v>
                </c:pt>
                <c:pt idx="73">
                  <c:v>9.1999999999999993</c:v>
                </c:pt>
                <c:pt idx="74">
                  <c:v>9.6</c:v>
                </c:pt>
                <c:pt idx="75">
                  <c:v>10.5</c:v>
                </c:pt>
                <c:pt idx="76">
                  <c:v>10.5</c:v>
                </c:pt>
                <c:pt idx="77">
                  <c:v>10.7</c:v>
                </c:pt>
                <c:pt idx="78">
                  <c:v>10.1</c:v>
                </c:pt>
                <c:pt idx="79">
                  <c:v>9.1</c:v>
                </c:pt>
                <c:pt idx="80">
                  <c:v>9.1999999999999993</c:v>
                </c:pt>
                <c:pt idx="81">
                  <c:v>9.4</c:v>
                </c:pt>
                <c:pt idx="82">
                  <c:v>9.1</c:v>
                </c:pt>
                <c:pt idx="83">
                  <c:v>9.4</c:v>
                </c:pt>
                <c:pt idx="84">
                  <c:v>10.3</c:v>
                </c:pt>
                <c:pt idx="85">
                  <c:v>10.1</c:v>
                </c:pt>
                <c:pt idx="86">
                  <c:v>9.9</c:v>
                </c:pt>
                <c:pt idx="87">
                  <c:v>9.6</c:v>
                </c:pt>
                <c:pt idx="88">
                  <c:v>9.5</c:v>
                </c:pt>
                <c:pt idx="89">
                  <c:v>9</c:v>
                </c:pt>
                <c:pt idx="90">
                  <c:v>9.5</c:v>
                </c:pt>
                <c:pt idx="91">
                  <c:v>9.9</c:v>
                </c:pt>
                <c:pt idx="92">
                  <c:v>9.8000000000000007</c:v>
                </c:pt>
                <c:pt idx="93">
                  <c:v>9.6</c:v>
                </c:pt>
                <c:pt idx="94">
                  <c:v>10.5</c:v>
                </c:pt>
                <c:pt idx="95">
                  <c:v>12.9</c:v>
                </c:pt>
                <c:pt idx="96">
                  <c:v>10.7</c:v>
                </c:pt>
                <c:pt idx="97">
                  <c:v>9.1999999999999993</c:v>
                </c:pt>
                <c:pt idx="98">
                  <c:v>9.8000000000000007</c:v>
                </c:pt>
                <c:pt idx="99">
                  <c:v>9</c:v>
                </c:pt>
                <c:pt idx="100">
                  <c:v>10.199999999999999</c:v>
                </c:pt>
                <c:pt idx="101">
                  <c:v>10.4</c:v>
                </c:pt>
                <c:pt idx="102">
                  <c:v>9</c:v>
                </c:pt>
                <c:pt idx="103">
                  <c:v>9.1999999999999993</c:v>
                </c:pt>
                <c:pt idx="104">
                  <c:v>9.4</c:v>
                </c:pt>
                <c:pt idx="105">
                  <c:v>9.1999999999999993</c:v>
                </c:pt>
                <c:pt idx="106">
                  <c:v>9.3000000000000007</c:v>
                </c:pt>
                <c:pt idx="107">
                  <c:v>9.3000000000000007</c:v>
                </c:pt>
                <c:pt idx="108">
                  <c:v>9.6</c:v>
                </c:pt>
                <c:pt idx="109">
                  <c:v>9.3000000000000007</c:v>
                </c:pt>
                <c:pt idx="110">
                  <c:v>9.5</c:v>
                </c:pt>
                <c:pt idx="111">
                  <c:v>9.8000000000000007</c:v>
                </c:pt>
                <c:pt idx="112">
                  <c:v>9.8000000000000007</c:v>
                </c:pt>
                <c:pt idx="113">
                  <c:v>9.6999999999999993</c:v>
                </c:pt>
                <c:pt idx="114">
                  <c:v>9.5</c:v>
                </c:pt>
                <c:pt idx="115">
                  <c:v>10.5</c:v>
                </c:pt>
                <c:pt idx="116">
                  <c:v>10</c:v>
                </c:pt>
                <c:pt idx="117">
                  <c:v>9.4</c:v>
                </c:pt>
                <c:pt idx="118">
                  <c:v>10.9</c:v>
                </c:pt>
                <c:pt idx="119">
                  <c:v>9.1999999999999993</c:v>
                </c:pt>
                <c:pt idx="120">
                  <c:v>9</c:v>
                </c:pt>
                <c:pt idx="121">
                  <c:v>10.9</c:v>
                </c:pt>
                <c:pt idx="122">
                  <c:v>9.1999999999999993</c:v>
                </c:pt>
                <c:pt idx="123">
                  <c:v>9.5</c:v>
                </c:pt>
                <c:pt idx="124">
                  <c:v>9.5</c:v>
                </c:pt>
                <c:pt idx="125">
                  <c:v>9.4</c:v>
                </c:pt>
                <c:pt idx="126">
                  <c:v>10.9</c:v>
                </c:pt>
                <c:pt idx="127">
                  <c:v>10.9</c:v>
                </c:pt>
                <c:pt idx="128">
                  <c:v>10.5</c:v>
                </c:pt>
                <c:pt idx="129">
                  <c:v>9.4</c:v>
                </c:pt>
                <c:pt idx="130">
                  <c:v>9.4</c:v>
                </c:pt>
                <c:pt idx="131">
                  <c:v>13</c:v>
                </c:pt>
                <c:pt idx="132">
                  <c:v>13</c:v>
                </c:pt>
                <c:pt idx="133">
                  <c:v>9.8000000000000007</c:v>
                </c:pt>
                <c:pt idx="134">
                  <c:v>9.9</c:v>
                </c:pt>
                <c:pt idx="135">
                  <c:v>9.6</c:v>
                </c:pt>
                <c:pt idx="136">
                  <c:v>9.5</c:v>
                </c:pt>
                <c:pt idx="137">
                  <c:v>9.1999999999999993</c:v>
                </c:pt>
                <c:pt idx="138">
                  <c:v>9.5</c:v>
                </c:pt>
                <c:pt idx="139">
                  <c:v>9.5</c:v>
                </c:pt>
                <c:pt idx="140">
                  <c:v>9.6</c:v>
                </c:pt>
                <c:pt idx="141">
                  <c:v>9.5</c:v>
                </c:pt>
                <c:pt idx="142">
                  <c:v>14</c:v>
                </c:pt>
                <c:pt idx="143">
                  <c:v>9.4</c:v>
                </c:pt>
                <c:pt idx="144">
                  <c:v>14</c:v>
                </c:pt>
                <c:pt idx="145">
                  <c:v>9.4</c:v>
                </c:pt>
                <c:pt idx="146">
                  <c:v>10</c:v>
                </c:pt>
                <c:pt idx="147">
                  <c:v>9.3000000000000007</c:v>
                </c:pt>
                <c:pt idx="148">
                  <c:v>10.199999999999999</c:v>
                </c:pt>
                <c:pt idx="149">
                  <c:v>10.5</c:v>
                </c:pt>
                <c:pt idx="150">
                  <c:v>10.3</c:v>
                </c:pt>
                <c:pt idx="151">
                  <c:v>9.4</c:v>
                </c:pt>
                <c:pt idx="152">
                  <c:v>10.1</c:v>
                </c:pt>
                <c:pt idx="153">
                  <c:v>10.1</c:v>
                </c:pt>
                <c:pt idx="154">
                  <c:v>10.5</c:v>
                </c:pt>
                <c:pt idx="155">
                  <c:v>10.5</c:v>
                </c:pt>
                <c:pt idx="156">
                  <c:v>10.5</c:v>
                </c:pt>
                <c:pt idx="157">
                  <c:v>10.5</c:v>
                </c:pt>
                <c:pt idx="158">
                  <c:v>9.3000000000000007</c:v>
                </c:pt>
                <c:pt idx="159">
                  <c:v>9.3000000000000007</c:v>
                </c:pt>
                <c:pt idx="160">
                  <c:v>9.6</c:v>
                </c:pt>
                <c:pt idx="161">
                  <c:v>9.1999999999999993</c:v>
                </c:pt>
                <c:pt idx="162">
                  <c:v>10</c:v>
                </c:pt>
                <c:pt idx="163">
                  <c:v>9.4</c:v>
                </c:pt>
                <c:pt idx="164">
                  <c:v>9.4</c:v>
                </c:pt>
                <c:pt idx="165">
                  <c:v>9.5</c:v>
                </c:pt>
                <c:pt idx="166">
                  <c:v>10.199999999999999</c:v>
                </c:pt>
                <c:pt idx="167">
                  <c:v>9</c:v>
                </c:pt>
                <c:pt idx="168">
                  <c:v>10.4</c:v>
                </c:pt>
                <c:pt idx="169">
                  <c:v>9.5</c:v>
                </c:pt>
                <c:pt idx="170">
                  <c:v>9.1</c:v>
                </c:pt>
                <c:pt idx="171">
                  <c:v>9.1999999999999993</c:v>
                </c:pt>
                <c:pt idx="172">
                  <c:v>9.1999999999999993</c:v>
                </c:pt>
                <c:pt idx="173">
                  <c:v>11.5</c:v>
                </c:pt>
                <c:pt idx="174">
                  <c:v>9.5</c:v>
                </c:pt>
                <c:pt idx="175">
                  <c:v>9.5</c:v>
                </c:pt>
                <c:pt idx="176">
                  <c:v>9.5</c:v>
                </c:pt>
                <c:pt idx="177">
                  <c:v>10.5</c:v>
                </c:pt>
                <c:pt idx="178">
                  <c:v>9.6</c:v>
                </c:pt>
                <c:pt idx="179">
                  <c:v>9.5</c:v>
                </c:pt>
                <c:pt idx="180">
                  <c:v>9.5</c:v>
                </c:pt>
                <c:pt idx="181">
                  <c:v>9.3000000000000007</c:v>
                </c:pt>
                <c:pt idx="182">
                  <c:v>9.3000000000000007</c:v>
                </c:pt>
                <c:pt idx="183">
                  <c:v>9.3000000000000007</c:v>
                </c:pt>
                <c:pt idx="184">
                  <c:v>9.3000000000000007</c:v>
                </c:pt>
                <c:pt idx="185">
                  <c:v>9.6999999999999993</c:v>
                </c:pt>
                <c:pt idx="186">
                  <c:v>9.1999999999999993</c:v>
                </c:pt>
                <c:pt idx="187">
                  <c:v>9.6999999999999993</c:v>
                </c:pt>
                <c:pt idx="188">
                  <c:v>9.5</c:v>
                </c:pt>
                <c:pt idx="189">
                  <c:v>9.5</c:v>
                </c:pt>
                <c:pt idx="190">
                  <c:v>9.4</c:v>
                </c:pt>
                <c:pt idx="191">
                  <c:v>9.8000000000000007</c:v>
                </c:pt>
                <c:pt idx="192">
                  <c:v>9.5</c:v>
                </c:pt>
                <c:pt idx="193">
                  <c:v>9.6999999999999993</c:v>
                </c:pt>
                <c:pt idx="194">
                  <c:v>9.6999999999999993</c:v>
                </c:pt>
                <c:pt idx="195">
                  <c:v>9.4</c:v>
                </c:pt>
                <c:pt idx="196">
                  <c:v>10.199999999999999</c:v>
                </c:pt>
                <c:pt idx="197">
                  <c:v>10.1</c:v>
                </c:pt>
                <c:pt idx="198">
                  <c:v>13</c:v>
                </c:pt>
                <c:pt idx="199">
                  <c:v>11.4</c:v>
                </c:pt>
                <c:pt idx="200">
                  <c:v>10.3</c:v>
                </c:pt>
                <c:pt idx="201">
                  <c:v>9.3000000000000007</c:v>
                </c:pt>
                <c:pt idx="202">
                  <c:v>9.5</c:v>
                </c:pt>
                <c:pt idx="203">
                  <c:v>9.1999999999999993</c:v>
                </c:pt>
                <c:pt idx="204">
                  <c:v>9.1999999999999993</c:v>
                </c:pt>
                <c:pt idx="205">
                  <c:v>10.8</c:v>
                </c:pt>
                <c:pt idx="206">
                  <c:v>10.8</c:v>
                </c:pt>
                <c:pt idx="207">
                  <c:v>9.3000000000000007</c:v>
                </c:pt>
                <c:pt idx="208">
                  <c:v>9.4</c:v>
                </c:pt>
                <c:pt idx="209">
                  <c:v>10.5</c:v>
                </c:pt>
                <c:pt idx="210">
                  <c:v>12.4</c:v>
                </c:pt>
                <c:pt idx="211">
                  <c:v>10</c:v>
                </c:pt>
                <c:pt idx="212">
                  <c:v>10.199999999999999</c:v>
                </c:pt>
                <c:pt idx="213">
                  <c:v>10.1</c:v>
                </c:pt>
                <c:pt idx="214">
                  <c:v>9.8000000000000007</c:v>
                </c:pt>
                <c:pt idx="215">
                  <c:v>10.5</c:v>
                </c:pt>
                <c:pt idx="216">
                  <c:v>11</c:v>
                </c:pt>
                <c:pt idx="217">
                  <c:v>9.1</c:v>
                </c:pt>
                <c:pt idx="218">
                  <c:v>9.6999999999999993</c:v>
                </c:pt>
                <c:pt idx="219">
                  <c:v>9.5</c:v>
                </c:pt>
                <c:pt idx="220">
                  <c:v>9.4</c:v>
                </c:pt>
                <c:pt idx="221">
                  <c:v>9.4</c:v>
                </c:pt>
                <c:pt idx="222">
                  <c:v>9.5</c:v>
                </c:pt>
                <c:pt idx="223">
                  <c:v>10</c:v>
                </c:pt>
                <c:pt idx="224">
                  <c:v>10.4</c:v>
                </c:pt>
                <c:pt idx="225">
                  <c:v>10.5</c:v>
                </c:pt>
                <c:pt idx="226">
                  <c:v>9.5</c:v>
                </c:pt>
                <c:pt idx="227">
                  <c:v>9.8000000000000007</c:v>
                </c:pt>
                <c:pt idx="228">
                  <c:v>10.5</c:v>
                </c:pt>
                <c:pt idx="229">
                  <c:v>11</c:v>
                </c:pt>
                <c:pt idx="230">
                  <c:v>12.2</c:v>
                </c:pt>
                <c:pt idx="231">
                  <c:v>9.9</c:v>
                </c:pt>
                <c:pt idx="232">
                  <c:v>9.6</c:v>
                </c:pt>
                <c:pt idx="233">
                  <c:v>11</c:v>
                </c:pt>
                <c:pt idx="234">
                  <c:v>9</c:v>
                </c:pt>
                <c:pt idx="235">
                  <c:v>9</c:v>
                </c:pt>
                <c:pt idx="236">
                  <c:v>9</c:v>
                </c:pt>
                <c:pt idx="237">
                  <c:v>9.1999999999999993</c:v>
                </c:pt>
                <c:pt idx="238">
                  <c:v>9</c:v>
                </c:pt>
                <c:pt idx="239">
                  <c:v>9</c:v>
                </c:pt>
                <c:pt idx="240">
                  <c:v>9.3000000000000007</c:v>
                </c:pt>
                <c:pt idx="241">
                  <c:v>10.9</c:v>
                </c:pt>
                <c:pt idx="242">
                  <c:v>9.8000000000000007</c:v>
                </c:pt>
                <c:pt idx="243">
                  <c:v>9.1999999999999993</c:v>
                </c:pt>
                <c:pt idx="244">
                  <c:v>9.1999999999999993</c:v>
                </c:pt>
                <c:pt idx="245">
                  <c:v>9.9</c:v>
                </c:pt>
                <c:pt idx="246">
                  <c:v>9.5</c:v>
                </c:pt>
                <c:pt idx="247">
                  <c:v>9.3000000000000007</c:v>
                </c:pt>
                <c:pt idx="248">
                  <c:v>9.8000000000000007</c:v>
                </c:pt>
                <c:pt idx="249">
                  <c:v>9.9</c:v>
                </c:pt>
                <c:pt idx="250">
                  <c:v>10</c:v>
                </c:pt>
                <c:pt idx="251">
                  <c:v>9.9</c:v>
                </c:pt>
                <c:pt idx="252">
                  <c:v>10.5</c:v>
                </c:pt>
                <c:pt idx="253">
                  <c:v>9.5</c:v>
                </c:pt>
                <c:pt idx="254">
                  <c:v>9.9</c:v>
                </c:pt>
                <c:pt idx="255">
                  <c:v>9.3000000000000007</c:v>
                </c:pt>
                <c:pt idx="256">
                  <c:v>9.1999999999999993</c:v>
                </c:pt>
                <c:pt idx="257">
                  <c:v>9.1999999999999993</c:v>
                </c:pt>
                <c:pt idx="258">
                  <c:v>9.4</c:v>
                </c:pt>
                <c:pt idx="259">
                  <c:v>10.5</c:v>
                </c:pt>
                <c:pt idx="260">
                  <c:v>9.3000000000000007</c:v>
                </c:pt>
                <c:pt idx="261">
                  <c:v>9.4</c:v>
                </c:pt>
                <c:pt idx="262">
                  <c:v>10</c:v>
                </c:pt>
                <c:pt idx="263">
                  <c:v>9.3000000000000007</c:v>
                </c:pt>
                <c:pt idx="264">
                  <c:v>10.9</c:v>
                </c:pt>
                <c:pt idx="265">
                  <c:v>10.199999999999999</c:v>
                </c:pt>
                <c:pt idx="266">
                  <c:v>9.8000000000000007</c:v>
                </c:pt>
                <c:pt idx="267">
                  <c:v>12.8</c:v>
                </c:pt>
                <c:pt idx="268">
                  <c:v>9.4</c:v>
                </c:pt>
                <c:pt idx="269">
                  <c:v>10.1</c:v>
                </c:pt>
                <c:pt idx="270">
                  <c:v>10.7</c:v>
                </c:pt>
                <c:pt idx="271">
                  <c:v>10.1</c:v>
                </c:pt>
                <c:pt idx="272">
                  <c:v>10.1</c:v>
                </c:pt>
                <c:pt idx="273">
                  <c:v>9.4</c:v>
                </c:pt>
                <c:pt idx="274">
                  <c:v>9.4</c:v>
                </c:pt>
                <c:pt idx="275">
                  <c:v>10.7</c:v>
                </c:pt>
                <c:pt idx="276">
                  <c:v>9.4</c:v>
                </c:pt>
                <c:pt idx="277">
                  <c:v>10.1</c:v>
                </c:pt>
                <c:pt idx="278">
                  <c:v>12.6</c:v>
                </c:pt>
                <c:pt idx="279">
                  <c:v>10.5</c:v>
                </c:pt>
                <c:pt idx="280">
                  <c:v>9.3000000000000007</c:v>
                </c:pt>
                <c:pt idx="281">
                  <c:v>9.9</c:v>
                </c:pt>
                <c:pt idx="282">
                  <c:v>9.1</c:v>
                </c:pt>
                <c:pt idx="283">
                  <c:v>10.5</c:v>
                </c:pt>
                <c:pt idx="284">
                  <c:v>9.8000000000000007</c:v>
                </c:pt>
                <c:pt idx="285">
                  <c:v>9.8000000000000007</c:v>
                </c:pt>
                <c:pt idx="286">
                  <c:v>10.3</c:v>
                </c:pt>
                <c:pt idx="287">
                  <c:v>10.3</c:v>
                </c:pt>
                <c:pt idx="288">
                  <c:v>10.6</c:v>
                </c:pt>
                <c:pt idx="289">
                  <c:v>9.1999999999999993</c:v>
                </c:pt>
                <c:pt idx="290">
                  <c:v>10.6</c:v>
                </c:pt>
                <c:pt idx="291">
                  <c:v>10.5</c:v>
                </c:pt>
                <c:pt idx="292">
                  <c:v>10.3</c:v>
                </c:pt>
                <c:pt idx="293">
                  <c:v>10.1</c:v>
                </c:pt>
                <c:pt idx="294">
                  <c:v>9.5</c:v>
                </c:pt>
                <c:pt idx="295">
                  <c:v>9.5</c:v>
                </c:pt>
                <c:pt idx="296">
                  <c:v>9.9</c:v>
                </c:pt>
                <c:pt idx="297">
                  <c:v>9.6</c:v>
                </c:pt>
                <c:pt idx="298">
                  <c:v>9.6999999999999993</c:v>
                </c:pt>
                <c:pt idx="299">
                  <c:v>9.6</c:v>
                </c:pt>
                <c:pt idx="300">
                  <c:v>10.7</c:v>
                </c:pt>
                <c:pt idx="301">
                  <c:v>10.1</c:v>
                </c:pt>
                <c:pt idx="302">
                  <c:v>10</c:v>
                </c:pt>
                <c:pt idx="303">
                  <c:v>9.5</c:v>
                </c:pt>
                <c:pt idx="304">
                  <c:v>9.1999999999999993</c:v>
                </c:pt>
                <c:pt idx="305">
                  <c:v>9.3000000000000007</c:v>
                </c:pt>
                <c:pt idx="306">
                  <c:v>9.4</c:v>
                </c:pt>
                <c:pt idx="307">
                  <c:v>9.5</c:v>
                </c:pt>
                <c:pt idx="308">
                  <c:v>9.5</c:v>
                </c:pt>
                <c:pt idx="309">
                  <c:v>9.5</c:v>
                </c:pt>
                <c:pt idx="310">
                  <c:v>9.3000000000000007</c:v>
                </c:pt>
                <c:pt idx="311">
                  <c:v>9.4</c:v>
                </c:pt>
                <c:pt idx="312">
                  <c:v>9.5</c:v>
                </c:pt>
                <c:pt idx="313">
                  <c:v>9.4</c:v>
                </c:pt>
                <c:pt idx="314">
                  <c:v>11</c:v>
                </c:pt>
                <c:pt idx="315">
                  <c:v>11</c:v>
                </c:pt>
                <c:pt idx="316">
                  <c:v>10.1</c:v>
                </c:pt>
                <c:pt idx="317">
                  <c:v>10.4</c:v>
                </c:pt>
                <c:pt idx="318">
                  <c:v>11.5</c:v>
                </c:pt>
                <c:pt idx="319">
                  <c:v>10.4</c:v>
                </c:pt>
                <c:pt idx="320">
                  <c:v>11.5</c:v>
                </c:pt>
                <c:pt idx="321">
                  <c:v>9.6999999999999993</c:v>
                </c:pt>
                <c:pt idx="322">
                  <c:v>9.3000000000000007</c:v>
                </c:pt>
                <c:pt idx="323">
                  <c:v>9.5</c:v>
                </c:pt>
                <c:pt idx="324">
                  <c:v>9.1999999999999993</c:v>
                </c:pt>
                <c:pt idx="325">
                  <c:v>9.1999999999999993</c:v>
                </c:pt>
                <c:pt idx="326">
                  <c:v>11.5</c:v>
                </c:pt>
                <c:pt idx="327">
                  <c:v>11.5</c:v>
                </c:pt>
                <c:pt idx="328">
                  <c:v>9.6999999999999993</c:v>
                </c:pt>
                <c:pt idx="329">
                  <c:v>9.5</c:v>
                </c:pt>
                <c:pt idx="330">
                  <c:v>12.5</c:v>
                </c:pt>
                <c:pt idx="331">
                  <c:v>12.5</c:v>
                </c:pt>
                <c:pt idx="332">
                  <c:v>9.4</c:v>
                </c:pt>
                <c:pt idx="333">
                  <c:v>11</c:v>
                </c:pt>
                <c:pt idx="334">
                  <c:v>11.7</c:v>
                </c:pt>
                <c:pt idx="335">
                  <c:v>12.2</c:v>
                </c:pt>
                <c:pt idx="336">
                  <c:v>12.5</c:v>
                </c:pt>
                <c:pt idx="337">
                  <c:v>10.3</c:v>
                </c:pt>
                <c:pt idx="338">
                  <c:v>11.5</c:v>
                </c:pt>
                <c:pt idx="339">
                  <c:v>9.8000000000000007</c:v>
                </c:pt>
                <c:pt idx="340">
                  <c:v>9.1999999999999993</c:v>
                </c:pt>
                <c:pt idx="341">
                  <c:v>11.3</c:v>
                </c:pt>
                <c:pt idx="342">
                  <c:v>9.8000000000000007</c:v>
                </c:pt>
                <c:pt idx="343">
                  <c:v>9.8000000000000007</c:v>
                </c:pt>
                <c:pt idx="344">
                  <c:v>10.7</c:v>
                </c:pt>
                <c:pt idx="345">
                  <c:v>9.9</c:v>
                </c:pt>
                <c:pt idx="346">
                  <c:v>12.3</c:v>
                </c:pt>
                <c:pt idx="347">
                  <c:v>12</c:v>
                </c:pt>
                <c:pt idx="348">
                  <c:v>10</c:v>
                </c:pt>
                <c:pt idx="349">
                  <c:v>9.4</c:v>
                </c:pt>
                <c:pt idx="350">
                  <c:v>9.9</c:v>
                </c:pt>
                <c:pt idx="351">
                  <c:v>9.4</c:v>
                </c:pt>
                <c:pt idx="352">
                  <c:v>9.3000000000000007</c:v>
                </c:pt>
                <c:pt idx="353">
                  <c:v>13</c:v>
                </c:pt>
                <c:pt idx="354">
                  <c:v>11.9</c:v>
                </c:pt>
                <c:pt idx="355">
                  <c:v>12.8</c:v>
                </c:pt>
                <c:pt idx="356">
                  <c:v>11</c:v>
                </c:pt>
                <c:pt idx="357">
                  <c:v>11.7</c:v>
                </c:pt>
                <c:pt idx="358">
                  <c:v>10.4</c:v>
                </c:pt>
                <c:pt idx="359">
                  <c:v>9.8000000000000007</c:v>
                </c:pt>
                <c:pt idx="360">
                  <c:v>9.4</c:v>
                </c:pt>
                <c:pt idx="361">
                  <c:v>9.9</c:v>
                </c:pt>
                <c:pt idx="362">
                  <c:v>10</c:v>
                </c:pt>
                <c:pt idx="363">
                  <c:v>10.199999999999999</c:v>
                </c:pt>
                <c:pt idx="364">
                  <c:v>10</c:v>
                </c:pt>
                <c:pt idx="365">
                  <c:v>11.8</c:v>
                </c:pt>
                <c:pt idx="366">
                  <c:v>10</c:v>
                </c:pt>
                <c:pt idx="367">
                  <c:v>9</c:v>
                </c:pt>
                <c:pt idx="368">
                  <c:v>9.4</c:v>
                </c:pt>
                <c:pt idx="369">
                  <c:v>12</c:v>
                </c:pt>
                <c:pt idx="370">
                  <c:v>9.9</c:v>
                </c:pt>
                <c:pt idx="371">
                  <c:v>8.6999999999999993</c:v>
                </c:pt>
                <c:pt idx="372">
                  <c:v>10.6</c:v>
                </c:pt>
                <c:pt idx="373">
                  <c:v>9.1999999999999993</c:v>
                </c:pt>
                <c:pt idx="374">
                  <c:v>10.8</c:v>
                </c:pt>
                <c:pt idx="375">
                  <c:v>11.8</c:v>
                </c:pt>
                <c:pt idx="376">
                  <c:v>11</c:v>
                </c:pt>
                <c:pt idx="377">
                  <c:v>12</c:v>
                </c:pt>
                <c:pt idx="378">
                  <c:v>13.3</c:v>
                </c:pt>
                <c:pt idx="379">
                  <c:v>10.8</c:v>
                </c:pt>
                <c:pt idx="380">
                  <c:v>9.4</c:v>
                </c:pt>
                <c:pt idx="381">
                  <c:v>10</c:v>
                </c:pt>
                <c:pt idx="382">
                  <c:v>9.4</c:v>
                </c:pt>
                <c:pt idx="383">
                  <c:v>9.4</c:v>
                </c:pt>
                <c:pt idx="384">
                  <c:v>9.1999999999999993</c:v>
                </c:pt>
                <c:pt idx="385">
                  <c:v>9.6999999999999993</c:v>
                </c:pt>
                <c:pt idx="386">
                  <c:v>9.1999999999999993</c:v>
                </c:pt>
                <c:pt idx="387">
                  <c:v>9.6</c:v>
                </c:pt>
                <c:pt idx="388">
                  <c:v>9.1999999999999993</c:v>
                </c:pt>
                <c:pt idx="389">
                  <c:v>10</c:v>
                </c:pt>
                <c:pt idx="390">
                  <c:v>12.9</c:v>
                </c:pt>
                <c:pt idx="391">
                  <c:v>10</c:v>
                </c:pt>
                <c:pt idx="392">
                  <c:v>9.5</c:v>
                </c:pt>
                <c:pt idx="393">
                  <c:v>9.1</c:v>
                </c:pt>
                <c:pt idx="394">
                  <c:v>9.9</c:v>
                </c:pt>
                <c:pt idx="395">
                  <c:v>13</c:v>
                </c:pt>
                <c:pt idx="396">
                  <c:v>9.9</c:v>
                </c:pt>
                <c:pt idx="397">
                  <c:v>11</c:v>
                </c:pt>
                <c:pt idx="398">
                  <c:v>11</c:v>
                </c:pt>
                <c:pt idx="399">
                  <c:v>9.4</c:v>
                </c:pt>
                <c:pt idx="400">
                  <c:v>9.9</c:v>
                </c:pt>
                <c:pt idx="401">
                  <c:v>10.8</c:v>
                </c:pt>
                <c:pt idx="402">
                  <c:v>10.5</c:v>
                </c:pt>
                <c:pt idx="403">
                  <c:v>10.5</c:v>
                </c:pt>
                <c:pt idx="404">
                  <c:v>9.1</c:v>
                </c:pt>
                <c:pt idx="405">
                  <c:v>10.1</c:v>
                </c:pt>
                <c:pt idx="406">
                  <c:v>10.8</c:v>
                </c:pt>
                <c:pt idx="407">
                  <c:v>10.8</c:v>
                </c:pt>
                <c:pt idx="408">
                  <c:v>11.3</c:v>
                </c:pt>
                <c:pt idx="409">
                  <c:v>9.6</c:v>
                </c:pt>
                <c:pt idx="410">
                  <c:v>9.5</c:v>
                </c:pt>
                <c:pt idx="411">
                  <c:v>9.5</c:v>
                </c:pt>
                <c:pt idx="412">
                  <c:v>9.3000000000000007</c:v>
                </c:pt>
                <c:pt idx="413">
                  <c:v>11.7</c:v>
                </c:pt>
                <c:pt idx="414">
                  <c:v>9.5</c:v>
                </c:pt>
                <c:pt idx="415">
                  <c:v>9.3000000000000007</c:v>
                </c:pt>
                <c:pt idx="416">
                  <c:v>11.7</c:v>
                </c:pt>
                <c:pt idx="417">
                  <c:v>10.5</c:v>
                </c:pt>
                <c:pt idx="418">
                  <c:v>10.4</c:v>
                </c:pt>
                <c:pt idx="419">
                  <c:v>9.9</c:v>
                </c:pt>
                <c:pt idx="420">
                  <c:v>11.8</c:v>
                </c:pt>
                <c:pt idx="421">
                  <c:v>12.3</c:v>
                </c:pt>
                <c:pt idx="422">
                  <c:v>10.9</c:v>
                </c:pt>
                <c:pt idx="423">
                  <c:v>11</c:v>
                </c:pt>
                <c:pt idx="424">
                  <c:v>10.9</c:v>
                </c:pt>
                <c:pt idx="425">
                  <c:v>12.3</c:v>
                </c:pt>
                <c:pt idx="426">
                  <c:v>11.4</c:v>
                </c:pt>
                <c:pt idx="427">
                  <c:v>10.6</c:v>
                </c:pt>
                <c:pt idx="428">
                  <c:v>9.3000000000000007</c:v>
                </c:pt>
                <c:pt idx="429">
                  <c:v>10.4</c:v>
                </c:pt>
                <c:pt idx="430">
                  <c:v>11</c:v>
                </c:pt>
                <c:pt idx="431">
                  <c:v>9.1999999999999993</c:v>
                </c:pt>
                <c:pt idx="432">
                  <c:v>12.8</c:v>
                </c:pt>
                <c:pt idx="433">
                  <c:v>9.5</c:v>
                </c:pt>
                <c:pt idx="434">
                  <c:v>9.9</c:v>
                </c:pt>
                <c:pt idx="435">
                  <c:v>9.5</c:v>
                </c:pt>
                <c:pt idx="436">
                  <c:v>10.199999999999999</c:v>
                </c:pt>
                <c:pt idx="437">
                  <c:v>11.2</c:v>
                </c:pt>
                <c:pt idx="438">
                  <c:v>9.9</c:v>
                </c:pt>
                <c:pt idx="439">
                  <c:v>9.3000000000000007</c:v>
                </c:pt>
                <c:pt idx="440">
                  <c:v>9.8000000000000007</c:v>
                </c:pt>
                <c:pt idx="441">
                  <c:v>11.3</c:v>
                </c:pt>
                <c:pt idx="442">
                  <c:v>11.2</c:v>
                </c:pt>
                <c:pt idx="443">
                  <c:v>11.6</c:v>
                </c:pt>
                <c:pt idx="444">
                  <c:v>12.5</c:v>
                </c:pt>
                <c:pt idx="445">
                  <c:v>10.1</c:v>
                </c:pt>
                <c:pt idx="446">
                  <c:v>10.5</c:v>
                </c:pt>
                <c:pt idx="447">
                  <c:v>11.2</c:v>
                </c:pt>
                <c:pt idx="448">
                  <c:v>10.199999999999999</c:v>
                </c:pt>
                <c:pt idx="449">
                  <c:v>10.8</c:v>
                </c:pt>
                <c:pt idx="450">
                  <c:v>10.8</c:v>
                </c:pt>
                <c:pt idx="451">
                  <c:v>9.1</c:v>
                </c:pt>
                <c:pt idx="452">
                  <c:v>10</c:v>
                </c:pt>
                <c:pt idx="453">
                  <c:v>11.2</c:v>
                </c:pt>
                <c:pt idx="454">
                  <c:v>11.1</c:v>
                </c:pt>
                <c:pt idx="455">
                  <c:v>13.4</c:v>
                </c:pt>
                <c:pt idx="456">
                  <c:v>10.3</c:v>
                </c:pt>
                <c:pt idx="457">
                  <c:v>9.6</c:v>
                </c:pt>
                <c:pt idx="458">
                  <c:v>11.2</c:v>
                </c:pt>
                <c:pt idx="459">
                  <c:v>9</c:v>
                </c:pt>
                <c:pt idx="460">
                  <c:v>11.3</c:v>
                </c:pt>
                <c:pt idx="461">
                  <c:v>9.3000000000000007</c:v>
                </c:pt>
                <c:pt idx="462">
                  <c:v>11.8</c:v>
                </c:pt>
                <c:pt idx="463">
                  <c:v>9</c:v>
                </c:pt>
                <c:pt idx="464">
                  <c:v>9.1999999999999993</c:v>
                </c:pt>
                <c:pt idx="465">
                  <c:v>9.6999999999999993</c:v>
                </c:pt>
                <c:pt idx="466">
                  <c:v>11.5</c:v>
                </c:pt>
                <c:pt idx="467">
                  <c:v>14</c:v>
                </c:pt>
                <c:pt idx="468">
                  <c:v>9.1999999999999993</c:v>
                </c:pt>
                <c:pt idx="469">
                  <c:v>9.8000000000000007</c:v>
                </c:pt>
                <c:pt idx="470">
                  <c:v>10.6</c:v>
                </c:pt>
                <c:pt idx="471">
                  <c:v>11.4</c:v>
                </c:pt>
                <c:pt idx="472">
                  <c:v>10.4</c:v>
                </c:pt>
                <c:pt idx="473">
                  <c:v>10.6</c:v>
                </c:pt>
                <c:pt idx="474">
                  <c:v>9.4</c:v>
                </c:pt>
                <c:pt idx="475">
                  <c:v>10.199999999999999</c:v>
                </c:pt>
                <c:pt idx="476">
                  <c:v>9.6999999999999993</c:v>
                </c:pt>
                <c:pt idx="477">
                  <c:v>11</c:v>
                </c:pt>
                <c:pt idx="478">
                  <c:v>10.199999999999999</c:v>
                </c:pt>
                <c:pt idx="479">
                  <c:v>10.1</c:v>
                </c:pt>
                <c:pt idx="480">
                  <c:v>9.1999999999999993</c:v>
                </c:pt>
                <c:pt idx="481">
                  <c:v>11.7</c:v>
                </c:pt>
                <c:pt idx="482">
                  <c:v>9.4</c:v>
                </c:pt>
                <c:pt idx="483">
                  <c:v>9.4</c:v>
                </c:pt>
                <c:pt idx="484">
                  <c:v>13.4</c:v>
                </c:pt>
                <c:pt idx="485">
                  <c:v>10</c:v>
                </c:pt>
                <c:pt idx="486">
                  <c:v>10</c:v>
                </c:pt>
                <c:pt idx="487">
                  <c:v>10</c:v>
                </c:pt>
                <c:pt idx="488">
                  <c:v>10.8</c:v>
                </c:pt>
                <c:pt idx="489">
                  <c:v>10.199999999999999</c:v>
                </c:pt>
                <c:pt idx="490">
                  <c:v>10.6</c:v>
                </c:pt>
                <c:pt idx="491">
                  <c:v>13.3</c:v>
                </c:pt>
                <c:pt idx="492">
                  <c:v>13.4</c:v>
                </c:pt>
                <c:pt idx="493">
                  <c:v>11.6</c:v>
                </c:pt>
                <c:pt idx="494">
                  <c:v>12.1</c:v>
                </c:pt>
                <c:pt idx="495">
                  <c:v>11</c:v>
                </c:pt>
                <c:pt idx="496">
                  <c:v>9</c:v>
                </c:pt>
                <c:pt idx="497">
                  <c:v>11.1</c:v>
                </c:pt>
                <c:pt idx="498">
                  <c:v>11</c:v>
                </c:pt>
                <c:pt idx="499">
                  <c:v>11.6</c:v>
                </c:pt>
                <c:pt idx="500">
                  <c:v>9</c:v>
                </c:pt>
                <c:pt idx="501">
                  <c:v>12</c:v>
                </c:pt>
                <c:pt idx="502">
                  <c:v>12</c:v>
                </c:pt>
                <c:pt idx="503">
                  <c:v>10.9</c:v>
                </c:pt>
                <c:pt idx="504">
                  <c:v>10.8</c:v>
                </c:pt>
                <c:pt idx="505">
                  <c:v>12.5</c:v>
                </c:pt>
                <c:pt idx="506">
                  <c:v>10.8</c:v>
                </c:pt>
                <c:pt idx="507">
                  <c:v>9.5</c:v>
                </c:pt>
                <c:pt idx="508">
                  <c:v>10.199999999999999</c:v>
                </c:pt>
                <c:pt idx="509">
                  <c:v>11.4</c:v>
                </c:pt>
                <c:pt idx="510">
                  <c:v>9.5</c:v>
                </c:pt>
                <c:pt idx="511">
                  <c:v>10.199999999999999</c:v>
                </c:pt>
                <c:pt idx="512">
                  <c:v>9.6999999999999993</c:v>
                </c:pt>
                <c:pt idx="513">
                  <c:v>11.8</c:v>
                </c:pt>
                <c:pt idx="514">
                  <c:v>11.8</c:v>
                </c:pt>
                <c:pt idx="515">
                  <c:v>9.3000000000000007</c:v>
                </c:pt>
                <c:pt idx="516">
                  <c:v>11.9</c:v>
                </c:pt>
                <c:pt idx="517">
                  <c:v>8.4</c:v>
                </c:pt>
                <c:pt idx="518">
                  <c:v>11.7</c:v>
                </c:pt>
                <c:pt idx="519">
                  <c:v>11</c:v>
                </c:pt>
                <c:pt idx="520">
                  <c:v>10</c:v>
                </c:pt>
                <c:pt idx="521">
                  <c:v>9.1</c:v>
                </c:pt>
                <c:pt idx="522">
                  <c:v>9.8000000000000007</c:v>
                </c:pt>
                <c:pt idx="523">
                  <c:v>9.4</c:v>
                </c:pt>
                <c:pt idx="524">
                  <c:v>9.5</c:v>
                </c:pt>
                <c:pt idx="525">
                  <c:v>9.9</c:v>
                </c:pt>
                <c:pt idx="526">
                  <c:v>11</c:v>
                </c:pt>
                <c:pt idx="527">
                  <c:v>11.4</c:v>
                </c:pt>
                <c:pt idx="528">
                  <c:v>8.6999999999999993</c:v>
                </c:pt>
                <c:pt idx="529">
                  <c:v>9.4</c:v>
                </c:pt>
                <c:pt idx="530">
                  <c:v>10.3</c:v>
                </c:pt>
                <c:pt idx="531">
                  <c:v>10.3</c:v>
                </c:pt>
                <c:pt idx="532">
                  <c:v>10.3</c:v>
                </c:pt>
                <c:pt idx="533">
                  <c:v>12.8</c:v>
                </c:pt>
                <c:pt idx="534">
                  <c:v>10</c:v>
                </c:pt>
                <c:pt idx="535">
                  <c:v>10.3</c:v>
                </c:pt>
                <c:pt idx="536">
                  <c:v>9.4</c:v>
                </c:pt>
                <c:pt idx="537">
                  <c:v>10.7</c:v>
                </c:pt>
                <c:pt idx="538">
                  <c:v>12</c:v>
                </c:pt>
                <c:pt idx="539">
                  <c:v>11.2</c:v>
                </c:pt>
                <c:pt idx="540">
                  <c:v>9.6</c:v>
                </c:pt>
                <c:pt idx="541">
                  <c:v>11</c:v>
                </c:pt>
                <c:pt idx="542">
                  <c:v>9.9</c:v>
                </c:pt>
                <c:pt idx="543">
                  <c:v>11</c:v>
                </c:pt>
                <c:pt idx="544">
                  <c:v>8.4</c:v>
                </c:pt>
                <c:pt idx="545">
                  <c:v>9.1</c:v>
                </c:pt>
                <c:pt idx="546">
                  <c:v>9.5</c:v>
                </c:pt>
                <c:pt idx="547">
                  <c:v>10.7</c:v>
                </c:pt>
                <c:pt idx="548">
                  <c:v>10.4</c:v>
                </c:pt>
                <c:pt idx="549">
                  <c:v>9.4</c:v>
                </c:pt>
                <c:pt idx="550">
                  <c:v>9.5</c:v>
                </c:pt>
                <c:pt idx="551">
                  <c:v>10</c:v>
                </c:pt>
                <c:pt idx="552">
                  <c:v>10</c:v>
                </c:pt>
                <c:pt idx="553">
                  <c:v>11.5</c:v>
                </c:pt>
                <c:pt idx="554">
                  <c:v>11.1</c:v>
                </c:pt>
                <c:pt idx="555">
                  <c:v>11.1</c:v>
                </c:pt>
                <c:pt idx="556">
                  <c:v>11.7</c:v>
                </c:pt>
                <c:pt idx="557">
                  <c:v>11.1</c:v>
                </c:pt>
                <c:pt idx="558">
                  <c:v>11.7</c:v>
                </c:pt>
                <c:pt idx="559">
                  <c:v>12.7</c:v>
                </c:pt>
                <c:pt idx="560">
                  <c:v>11.4</c:v>
                </c:pt>
                <c:pt idx="561">
                  <c:v>9.1999999999999993</c:v>
                </c:pt>
                <c:pt idx="562">
                  <c:v>9.1999999999999993</c:v>
                </c:pt>
                <c:pt idx="563">
                  <c:v>10.1</c:v>
                </c:pt>
                <c:pt idx="564">
                  <c:v>12.7</c:v>
                </c:pt>
                <c:pt idx="565">
                  <c:v>11.4</c:v>
                </c:pt>
                <c:pt idx="566">
                  <c:v>9</c:v>
                </c:pt>
                <c:pt idx="567">
                  <c:v>9</c:v>
                </c:pt>
                <c:pt idx="568">
                  <c:v>10.7</c:v>
                </c:pt>
                <c:pt idx="569">
                  <c:v>11.7</c:v>
                </c:pt>
                <c:pt idx="570">
                  <c:v>11</c:v>
                </c:pt>
                <c:pt idx="571">
                  <c:v>11.7</c:v>
                </c:pt>
                <c:pt idx="572">
                  <c:v>10.4</c:v>
                </c:pt>
                <c:pt idx="573">
                  <c:v>9.6</c:v>
                </c:pt>
                <c:pt idx="574">
                  <c:v>10</c:v>
                </c:pt>
                <c:pt idx="575">
                  <c:v>10.199999999999999</c:v>
                </c:pt>
                <c:pt idx="576">
                  <c:v>10</c:v>
                </c:pt>
                <c:pt idx="577">
                  <c:v>9.5</c:v>
                </c:pt>
                <c:pt idx="578">
                  <c:v>9.8000000000000007</c:v>
                </c:pt>
                <c:pt idx="579">
                  <c:v>9.8000000000000007</c:v>
                </c:pt>
                <c:pt idx="580">
                  <c:v>9.6</c:v>
                </c:pt>
                <c:pt idx="581">
                  <c:v>9.6</c:v>
                </c:pt>
                <c:pt idx="582">
                  <c:v>9.1999999999999993</c:v>
                </c:pt>
                <c:pt idx="583">
                  <c:v>9.9</c:v>
                </c:pt>
                <c:pt idx="584">
                  <c:v>10.7</c:v>
                </c:pt>
                <c:pt idx="585">
                  <c:v>9.6</c:v>
                </c:pt>
                <c:pt idx="586">
                  <c:v>10.6</c:v>
                </c:pt>
                <c:pt idx="587">
                  <c:v>9.3000000000000007</c:v>
                </c:pt>
                <c:pt idx="588">
                  <c:v>14</c:v>
                </c:pt>
                <c:pt idx="589">
                  <c:v>10.5</c:v>
                </c:pt>
                <c:pt idx="590">
                  <c:v>9.6999999999999993</c:v>
                </c:pt>
                <c:pt idx="591">
                  <c:v>11.5</c:v>
                </c:pt>
                <c:pt idx="592">
                  <c:v>9.6999999999999993</c:v>
                </c:pt>
                <c:pt idx="593">
                  <c:v>9</c:v>
                </c:pt>
                <c:pt idx="594">
                  <c:v>9.5</c:v>
                </c:pt>
                <c:pt idx="595">
                  <c:v>9.3000000000000007</c:v>
                </c:pt>
                <c:pt idx="596">
                  <c:v>9.3000000000000007</c:v>
                </c:pt>
                <c:pt idx="597">
                  <c:v>10</c:v>
                </c:pt>
                <c:pt idx="598">
                  <c:v>9.8000000000000007</c:v>
                </c:pt>
                <c:pt idx="599">
                  <c:v>9.3000000000000007</c:v>
                </c:pt>
                <c:pt idx="600">
                  <c:v>10</c:v>
                </c:pt>
                <c:pt idx="601">
                  <c:v>9</c:v>
                </c:pt>
                <c:pt idx="602">
                  <c:v>9.3000000000000007</c:v>
                </c:pt>
                <c:pt idx="603">
                  <c:v>9</c:v>
                </c:pt>
                <c:pt idx="604">
                  <c:v>9.1</c:v>
                </c:pt>
                <c:pt idx="605">
                  <c:v>9.1999999999999993</c:v>
                </c:pt>
                <c:pt idx="606">
                  <c:v>12.2</c:v>
                </c:pt>
                <c:pt idx="607">
                  <c:v>10.5</c:v>
                </c:pt>
                <c:pt idx="608">
                  <c:v>10.4</c:v>
                </c:pt>
                <c:pt idx="609">
                  <c:v>12.7</c:v>
                </c:pt>
                <c:pt idx="610">
                  <c:v>9.1999999999999993</c:v>
                </c:pt>
                <c:pt idx="611">
                  <c:v>9.4</c:v>
                </c:pt>
                <c:pt idx="612">
                  <c:v>10</c:v>
                </c:pt>
                <c:pt idx="613">
                  <c:v>9.8000000000000007</c:v>
                </c:pt>
                <c:pt idx="614">
                  <c:v>10.199999999999999</c:v>
                </c:pt>
                <c:pt idx="615">
                  <c:v>9.6999999999999993</c:v>
                </c:pt>
                <c:pt idx="616">
                  <c:v>9.6999999999999993</c:v>
                </c:pt>
                <c:pt idx="617">
                  <c:v>9.8000000000000007</c:v>
                </c:pt>
                <c:pt idx="618">
                  <c:v>10.199999999999999</c:v>
                </c:pt>
                <c:pt idx="619">
                  <c:v>9.3000000000000007</c:v>
                </c:pt>
                <c:pt idx="620">
                  <c:v>9.4</c:v>
                </c:pt>
                <c:pt idx="621">
                  <c:v>9.4</c:v>
                </c:pt>
                <c:pt idx="622">
                  <c:v>9.5</c:v>
                </c:pt>
                <c:pt idx="623">
                  <c:v>12.1</c:v>
                </c:pt>
                <c:pt idx="624">
                  <c:v>10.199999999999999</c:v>
                </c:pt>
                <c:pt idx="625">
                  <c:v>10.199999999999999</c:v>
                </c:pt>
                <c:pt idx="626">
                  <c:v>9.1</c:v>
                </c:pt>
                <c:pt idx="627">
                  <c:v>9.1</c:v>
                </c:pt>
                <c:pt idx="628">
                  <c:v>9.3000000000000007</c:v>
                </c:pt>
                <c:pt idx="629">
                  <c:v>9.3000000000000007</c:v>
                </c:pt>
                <c:pt idx="630">
                  <c:v>9.3000000000000007</c:v>
                </c:pt>
                <c:pt idx="631">
                  <c:v>9.5</c:v>
                </c:pt>
                <c:pt idx="632">
                  <c:v>10.5</c:v>
                </c:pt>
                <c:pt idx="633">
                  <c:v>11.3</c:v>
                </c:pt>
                <c:pt idx="634">
                  <c:v>9.5</c:v>
                </c:pt>
                <c:pt idx="635">
                  <c:v>9.6999999999999993</c:v>
                </c:pt>
                <c:pt idx="636">
                  <c:v>9.4</c:v>
                </c:pt>
                <c:pt idx="637">
                  <c:v>9.4</c:v>
                </c:pt>
                <c:pt idx="638">
                  <c:v>10.199999999999999</c:v>
                </c:pt>
                <c:pt idx="639">
                  <c:v>10.3</c:v>
                </c:pt>
                <c:pt idx="640">
                  <c:v>9.4</c:v>
                </c:pt>
                <c:pt idx="641">
                  <c:v>9.5</c:v>
                </c:pt>
                <c:pt idx="642">
                  <c:v>9.4</c:v>
                </c:pt>
                <c:pt idx="643">
                  <c:v>9.5</c:v>
                </c:pt>
                <c:pt idx="644">
                  <c:v>9.4</c:v>
                </c:pt>
                <c:pt idx="645">
                  <c:v>10.1</c:v>
                </c:pt>
                <c:pt idx="646">
                  <c:v>10.1</c:v>
                </c:pt>
                <c:pt idx="647">
                  <c:v>11</c:v>
                </c:pt>
                <c:pt idx="648">
                  <c:v>11.2</c:v>
                </c:pt>
                <c:pt idx="649">
                  <c:v>11.3</c:v>
                </c:pt>
                <c:pt idx="650">
                  <c:v>9.6</c:v>
                </c:pt>
                <c:pt idx="651">
                  <c:v>11.2</c:v>
                </c:pt>
                <c:pt idx="652">
                  <c:v>14.9</c:v>
                </c:pt>
                <c:pt idx="653">
                  <c:v>12</c:v>
                </c:pt>
                <c:pt idx="654">
                  <c:v>9.5</c:v>
                </c:pt>
                <c:pt idx="655">
                  <c:v>9.4</c:v>
                </c:pt>
                <c:pt idx="656">
                  <c:v>9.6</c:v>
                </c:pt>
                <c:pt idx="657">
                  <c:v>10.5</c:v>
                </c:pt>
                <c:pt idx="658">
                  <c:v>9.6</c:v>
                </c:pt>
                <c:pt idx="659">
                  <c:v>11</c:v>
                </c:pt>
                <c:pt idx="660">
                  <c:v>9.6</c:v>
                </c:pt>
                <c:pt idx="661">
                  <c:v>9</c:v>
                </c:pt>
                <c:pt idx="662">
                  <c:v>9.6</c:v>
                </c:pt>
                <c:pt idx="663">
                  <c:v>10.199999999999999</c:v>
                </c:pt>
                <c:pt idx="664">
                  <c:v>10.199999999999999</c:v>
                </c:pt>
                <c:pt idx="665">
                  <c:v>9.6999999999999993</c:v>
                </c:pt>
                <c:pt idx="666">
                  <c:v>9.5</c:v>
                </c:pt>
                <c:pt idx="667">
                  <c:v>9.1999999999999993</c:v>
                </c:pt>
                <c:pt idx="668">
                  <c:v>11</c:v>
                </c:pt>
                <c:pt idx="669">
                  <c:v>9.1999999999999993</c:v>
                </c:pt>
                <c:pt idx="670">
                  <c:v>10</c:v>
                </c:pt>
                <c:pt idx="671">
                  <c:v>9.5</c:v>
                </c:pt>
                <c:pt idx="672">
                  <c:v>9.5</c:v>
                </c:pt>
                <c:pt idx="673">
                  <c:v>9.5</c:v>
                </c:pt>
                <c:pt idx="674">
                  <c:v>9.3000000000000007</c:v>
                </c:pt>
                <c:pt idx="675">
                  <c:v>10.199999999999999</c:v>
                </c:pt>
                <c:pt idx="676">
                  <c:v>9.3000000000000007</c:v>
                </c:pt>
                <c:pt idx="677">
                  <c:v>9.9</c:v>
                </c:pt>
                <c:pt idx="678">
                  <c:v>10</c:v>
                </c:pt>
                <c:pt idx="679">
                  <c:v>9.6</c:v>
                </c:pt>
                <c:pt idx="680">
                  <c:v>9</c:v>
                </c:pt>
                <c:pt idx="681">
                  <c:v>10.199999999999999</c:v>
                </c:pt>
                <c:pt idx="682">
                  <c:v>9.8000000000000007</c:v>
                </c:pt>
                <c:pt idx="683">
                  <c:v>11.3</c:v>
                </c:pt>
                <c:pt idx="684">
                  <c:v>9.4</c:v>
                </c:pt>
                <c:pt idx="685">
                  <c:v>11.3</c:v>
                </c:pt>
                <c:pt idx="686">
                  <c:v>9.1</c:v>
                </c:pt>
                <c:pt idx="687">
                  <c:v>9.6999999999999993</c:v>
                </c:pt>
                <c:pt idx="688">
                  <c:v>9.4</c:v>
                </c:pt>
                <c:pt idx="689">
                  <c:v>9.4</c:v>
                </c:pt>
                <c:pt idx="690">
                  <c:v>10.7</c:v>
                </c:pt>
                <c:pt idx="691">
                  <c:v>9.8000000000000007</c:v>
                </c:pt>
                <c:pt idx="692">
                  <c:v>9</c:v>
                </c:pt>
                <c:pt idx="693">
                  <c:v>9.4</c:v>
                </c:pt>
                <c:pt idx="694">
                  <c:v>9.4</c:v>
                </c:pt>
                <c:pt idx="695">
                  <c:v>12.8</c:v>
                </c:pt>
                <c:pt idx="696">
                  <c:v>9.5</c:v>
                </c:pt>
                <c:pt idx="697">
                  <c:v>9.5</c:v>
                </c:pt>
                <c:pt idx="698">
                  <c:v>9.6999999999999993</c:v>
                </c:pt>
                <c:pt idx="699">
                  <c:v>10.8</c:v>
                </c:pt>
                <c:pt idx="700">
                  <c:v>10.1</c:v>
                </c:pt>
                <c:pt idx="701">
                  <c:v>9.5</c:v>
                </c:pt>
                <c:pt idx="702">
                  <c:v>9.4</c:v>
                </c:pt>
                <c:pt idx="703">
                  <c:v>9.6</c:v>
                </c:pt>
                <c:pt idx="704">
                  <c:v>9.6999999999999993</c:v>
                </c:pt>
                <c:pt idx="705">
                  <c:v>9.9</c:v>
                </c:pt>
                <c:pt idx="706">
                  <c:v>10</c:v>
                </c:pt>
                <c:pt idx="707">
                  <c:v>10.5</c:v>
                </c:pt>
                <c:pt idx="708">
                  <c:v>11.6</c:v>
                </c:pt>
                <c:pt idx="709">
                  <c:v>10</c:v>
                </c:pt>
                <c:pt idx="710">
                  <c:v>10.1</c:v>
                </c:pt>
                <c:pt idx="711">
                  <c:v>9.5</c:v>
                </c:pt>
                <c:pt idx="712">
                  <c:v>9.4</c:v>
                </c:pt>
                <c:pt idx="713">
                  <c:v>9.4</c:v>
                </c:pt>
                <c:pt idx="714">
                  <c:v>9.8000000000000007</c:v>
                </c:pt>
                <c:pt idx="715">
                  <c:v>9.1999999999999993</c:v>
                </c:pt>
                <c:pt idx="716">
                  <c:v>9.4</c:v>
                </c:pt>
                <c:pt idx="717">
                  <c:v>10</c:v>
                </c:pt>
                <c:pt idx="718">
                  <c:v>9.6</c:v>
                </c:pt>
                <c:pt idx="719">
                  <c:v>9.5</c:v>
                </c:pt>
                <c:pt idx="720">
                  <c:v>9.6</c:v>
                </c:pt>
                <c:pt idx="721">
                  <c:v>9.1999999999999993</c:v>
                </c:pt>
                <c:pt idx="722">
                  <c:v>10</c:v>
                </c:pt>
                <c:pt idx="723">
                  <c:v>9.5</c:v>
                </c:pt>
                <c:pt idx="724">
                  <c:v>11.2</c:v>
                </c:pt>
                <c:pt idx="725">
                  <c:v>10.4</c:v>
                </c:pt>
                <c:pt idx="726">
                  <c:v>11.1</c:v>
                </c:pt>
                <c:pt idx="727">
                  <c:v>9.5</c:v>
                </c:pt>
                <c:pt idx="728">
                  <c:v>9.5</c:v>
                </c:pt>
                <c:pt idx="729">
                  <c:v>12.7</c:v>
                </c:pt>
                <c:pt idx="730">
                  <c:v>9.6</c:v>
                </c:pt>
                <c:pt idx="731">
                  <c:v>11.5</c:v>
                </c:pt>
                <c:pt idx="732">
                  <c:v>9.6</c:v>
                </c:pt>
                <c:pt idx="733">
                  <c:v>9.5</c:v>
                </c:pt>
                <c:pt idx="734">
                  <c:v>9.3000000000000007</c:v>
                </c:pt>
                <c:pt idx="735">
                  <c:v>9.5</c:v>
                </c:pt>
                <c:pt idx="736">
                  <c:v>9.5</c:v>
                </c:pt>
                <c:pt idx="737">
                  <c:v>9.3000000000000007</c:v>
                </c:pt>
                <c:pt idx="738">
                  <c:v>9.1999999999999993</c:v>
                </c:pt>
                <c:pt idx="739">
                  <c:v>9.3000000000000007</c:v>
                </c:pt>
                <c:pt idx="740">
                  <c:v>11.5</c:v>
                </c:pt>
                <c:pt idx="741">
                  <c:v>9.5</c:v>
                </c:pt>
                <c:pt idx="742">
                  <c:v>9.1999999999999993</c:v>
                </c:pt>
                <c:pt idx="743">
                  <c:v>10</c:v>
                </c:pt>
                <c:pt idx="744">
                  <c:v>9.5</c:v>
                </c:pt>
                <c:pt idx="745">
                  <c:v>9.5</c:v>
                </c:pt>
                <c:pt idx="746">
                  <c:v>9</c:v>
                </c:pt>
                <c:pt idx="747">
                  <c:v>9.4</c:v>
                </c:pt>
                <c:pt idx="748">
                  <c:v>9.6</c:v>
                </c:pt>
                <c:pt idx="749">
                  <c:v>9.5</c:v>
                </c:pt>
                <c:pt idx="750">
                  <c:v>9.5</c:v>
                </c:pt>
                <c:pt idx="751">
                  <c:v>9.5</c:v>
                </c:pt>
                <c:pt idx="752">
                  <c:v>9.4</c:v>
                </c:pt>
                <c:pt idx="753">
                  <c:v>9.5</c:v>
                </c:pt>
                <c:pt idx="754">
                  <c:v>9.1</c:v>
                </c:pt>
                <c:pt idx="755">
                  <c:v>10.7</c:v>
                </c:pt>
                <c:pt idx="756">
                  <c:v>11.2</c:v>
                </c:pt>
                <c:pt idx="757">
                  <c:v>9.8000000000000007</c:v>
                </c:pt>
                <c:pt idx="758">
                  <c:v>9.8000000000000007</c:v>
                </c:pt>
                <c:pt idx="759">
                  <c:v>9.1999999999999993</c:v>
                </c:pt>
                <c:pt idx="760">
                  <c:v>9.6999999999999993</c:v>
                </c:pt>
                <c:pt idx="761">
                  <c:v>9.6</c:v>
                </c:pt>
                <c:pt idx="762">
                  <c:v>10</c:v>
                </c:pt>
                <c:pt idx="763">
                  <c:v>9.6</c:v>
                </c:pt>
                <c:pt idx="764">
                  <c:v>9.5</c:v>
                </c:pt>
                <c:pt idx="765">
                  <c:v>9.5</c:v>
                </c:pt>
                <c:pt idx="766">
                  <c:v>9.4</c:v>
                </c:pt>
                <c:pt idx="767">
                  <c:v>9.5</c:v>
                </c:pt>
                <c:pt idx="768">
                  <c:v>9.6999999999999993</c:v>
                </c:pt>
                <c:pt idx="769">
                  <c:v>9.6</c:v>
                </c:pt>
                <c:pt idx="770">
                  <c:v>9.6999999999999993</c:v>
                </c:pt>
                <c:pt idx="771">
                  <c:v>9.4</c:v>
                </c:pt>
                <c:pt idx="772">
                  <c:v>9.4</c:v>
                </c:pt>
                <c:pt idx="773">
                  <c:v>9.5</c:v>
                </c:pt>
                <c:pt idx="774">
                  <c:v>9.5</c:v>
                </c:pt>
                <c:pt idx="775">
                  <c:v>10</c:v>
                </c:pt>
                <c:pt idx="776">
                  <c:v>10.3</c:v>
                </c:pt>
                <c:pt idx="777">
                  <c:v>10.3</c:v>
                </c:pt>
                <c:pt idx="778">
                  <c:v>10.5</c:v>
                </c:pt>
                <c:pt idx="779">
                  <c:v>9.8000000000000007</c:v>
                </c:pt>
                <c:pt idx="780">
                  <c:v>9.4</c:v>
                </c:pt>
                <c:pt idx="781">
                  <c:v>9.8000000000000007</c:v>
                </c:pt>
                <c:pt idx="782">
                  <c:v>10</c:v>
                </c:pt>
                <c:pt idx="783">
                  <c:v>9.8000000000000007</c:v>
                </c:pt>
                <c:pt idx="784">
                  <c:v>9.8000000000000007</c:v>
                </c:pt>
                <c:pt idx="785">
                  <c:v>9.5</c:v>
                </c:pt>
                <c:pt idx="786">
                  <c:v>9.5</c:v>
                </c:pt>
                <c:pt idx="787">
                  <c:v>10.1</c:v>
                </c:pt>
                <c:pt idx="788">
                  <c:v>10.1</c:v>
                </c:pt>
                <c:pt idx="789">
                  <c:v>9.3000000000000007</c:v>
                </c:pt>
                <c:pt idx="790">
                  <c:v>9.6999999999999993</c:v>
                </c:pt>
                <c:pt idx="791">
                  <c:v>9.6</c:v>
                </c:pt>
                <c:pt idx="792">
                  <c:v>9.6999999999999993</c:v>
                </c:pt>
                <c:pt idx="793">
                  <c:v>10.8</c:v>
                </c:pt>
                <c:pt idx="794">
                  <c:v>12.5</c:v>
                </c:pt>
                <c:pt idx="795">
                  <c:v>10.199999999999999</c:v>
                </c:pt>
                <c:pt idx="796">
                  <c:v>9.6</c:v>
                </c:pt>
                <c:pt idx="797">
                  <c:v>10.8</c:v>
                </c:pt>
                <c:pt idx="798">
                  <c:v>10.7</c:v>
                </c:pt>
                <c:pt idx="799">
                  <c:v>10.7</c:v>
                </c:pt>
                <c:pt idx="800">
                  <c:v>9.4</c:v>
                </c:pt>
                <c:pt idx="801">
                  <c:v>10</c:v>
                </c:pt>
                <c:pt idx="802">
                  <c:v>12.9</c:v>
                </c:pt>
                <c:pt idx="803">
                  <c:v>9.6</c:v>
                </c:pt>
                <c:pt idx="804">
                  <c:v>9.9</c:v>
                </c:pt>
                <c:pt idx="805">
                  <c:v>12.8</c:v>
                </c:pt>
                <c:pt idx="806">
                  <c:v>12.5</c:v>
                </c:pt>
                <c:pt idx="807">
                  <c:v>12.8</c:v>
                </c:pt>
                <c:pt idx="808">
                  <c:v>9.1999999999999993</c:v>
                </c:pt>
                <c:pt idx="809">
                  <c:v>10.3</c:v>
                </c:pt>
                <c:pt idx="810">
                  <c:v>10.5</c:v>
                </c:pt>
                <c:pt idx="811">
                  <c:v>10.9</c:v>
                </c:pt>
                <c:pt idx="812">
                  <c:v>10.8</c:v>
                </c:pt>
                <c:pt idx="813">
                  <c:v>11.4</c:v>
                </c:pt>
                <c:pt idx="814">
                  <c:v>11.3</c:v>
                </c:pt>
                <c:pt idx="815">
                  <c:v>10.8</c:v>
                </c:pt>
                <c:pt idx="816">
                  <c:v>10.5</c:v>
                </c:pt>
                <c:pt idx="817">
                  <c:v>11.9</c:v>
                </c:pt>
                <c:pt idx="818">
                  <c:v>9.4</c:v>
                </c:pt>
                <c:pt idx="819">
                  <c:v>9.6</c:v>
                </c:pt>
                <c:pt idx="820">
                  <c:v>9.6999999999999993</c:v>
                </c:pt>
                <c:pt idx="821">
                  <c:v>14</c:v>
                </c:pt>
                <c:pt idx="822">
                  <c:v>9.8000000000000007</c:v>
                </c:pt>
                <c:pt idx="823">
                  <c:v>9.8000000000000007</c:v>
                </c:pt>
                <c:pt idx="824">
                  <c:v>10.3</c:v>
                </c:pt>
                <c:pt idx="825">
                  <c:v>10.7</c:v>
                </c:pt>
                <c:pt idx="826">
                  <c:v>11</c:v>
                </c:pt>
                <c:pt idx="827">
                  <c:v>10.7</c:v>
                </c:pt>
                <c:pt idx="828">
                  <c:v>12.7</c:v>
                </c:pt>
                <c:pt idx="829">
                  <c:v>11.1</c:v>
                </c:pt>
                <c:pt idx="830">
                  <c:v>10.9</c:v>
                </c:pt>
                <c:pt idx="831">
                  <c:v>11.1</c:v>
                </c:pt>
                <c:pt idx="832">
                  <c:v>9.9</c:v>
                </c:pt>
                <c:pt idx="833">
                  <c:v>9.9</c:v>
                </c:pt>
                <c:pt idx="834">
                  <c:v>9.4</c:v>
                </c:pt>
                <c:pt idx="835">
                  <c:v>9.3000000000000007</c:v>
                </c:pt>
                <c:pt idx="836">
                  <c:v>11.7</c:v>
                </c:pt>
                <c:pt idx="837">
                  <c:v>11.7</c:v>
                </c:pt>
                <c:pt idx="838">
                  <c:v>11.2</c:v>
                </c:pt>
                <c:pt idx="839">
                  <c:v>10</c:v>
                </c:pt>
                <c:pt idx="840">
                  <c:v>12.1</c:v>
                </c:pt>
                <c:pt idx="841">
                  <c:v>10.3</c:v>
                </c:pt>
                <c:pt idx="842">
                  <c:v>10.9</c:v>
                </c:pt>
                <c:pt idx="843">
                  <c:v>9.4</c:v>
                </c:pt>
                <c:pt idx="844">
                  <c:v>10.6</c:v>
                </c:pt>
                <c:pt idx="845">
                  <c:v>9.8000000000000007</c:v>
                </c:pt>
                <c:pt idx="846">
                  <c:v>9.8000000000000007</c:v>
                </c:pt>
                <c:pt idx="847">
                  <c:v>9.9</c:v>
                </c:pt>
                <c:pt idx="848">
                  <c:v>9.8000000000000007</c:v>
                </c:pt>
                <c:pt idx="849">
                  <c:v>9.8000000000000007</c:v>
                </c:pt>
                <c:pt idx="850">
                  <c:v>9.5</c:v>
                </c:pt>
                <c:pt idx="851">
                  <c:v>9.5</c:v>
                </c:pt>
                <c:pt idx="852">
                  <c:v>9.6999999999999993</c:v>
                </c:pt>
                <c:pt idx="853">
                  <c:v>10.9</c:v>
                </c:pt>
                <c:pt idx="854">
                  <c:v>10.9</c:v>
                </c:pt>
                <c:pt idx="855">
                  <c:v>11.7</c:v>
                </c:pt>
                <c:pt idx="856">
                  <c:v>10.9</c:v>
                </c:pt>
                <c:pt idx="857">
                  <c:v>11.3</c:v>
                </c:pt>
                <c:pt idx="858">
                  <c:v>10.6</c:v>
                </c:pt>
                <c:pt idx="859">
                  <c:v>11.2</c:v>
                </c:pt>
                <c:pt idx="860">
                  <c:v>9.5</c:v>
                </c:pt>
                <c:pt idx="861">
                  <c:v>11.5</c:v>
                </c:pt>
                <c:pt idx="862">
                  <c:v>10.4</c:v>
                </c:pt>
                <c:pt idx="863">
                  <c:v>9.6999999999999993</c:v>
                </c:pt>
                <c:pt idx="864">
                  <c:v>9.5</c:v>
                </c:pt>
                <c:pt idx="865">
                  <c:v>9.6999999999999993</c:v>
                </c:pt>
                <c:pt idx="866">
                  <c:v>11.3</c:v>
                </c:pt>
                <c:pt idx="867">
                  <c:v>11.2</c:v>
                </c:pt>
                <c:pt idx="868">
                  <c:v>11.2</c:v>
                </c:pt>
                <c:pt idx="869">
                  <c:v>10.9</c:v>
                </c:pt>
                <c:pt idx="870">
                  <c:v>11.8</c:v>
                </c:pt>
                <c:pt idx="871">
                  <c:v>10.6</c:v>
                </c:pt>
                <c:pt idx="872">
                  <c:v>10</c:v>
                </c:pt>
                <c:pt idx="873">
                  <c:v>11.1</c:v>
                </c:pt>
                <c:pt idx="874">
                  <c:v>11.8</c:v>
                </c:pt>
                <c:pt idx="875">
                  <c:v>11.8</c:v>
                </c:pt>
                <c:pt idx="876">
                  <c:v>10.9</c:v>
                </c:pt>
                <c:pt idx="877">
                  <c:v>11.8</c:v>
                </c:pt>
                <c:pt idx="878">
                  <c:v>10</c:v>
                </c:pt>
                <c:pt idx="879">
                  <c:v>9.5</c:v>
                </c:pt>
                <c:pt idx="880">
                  <c:v>9.9</c:v>
                </c:pt>
                <c:pt idx="881">
                  <c:v>11.4</c:v>
                </c:pt>
                <c:pt idx="882">
                  <c:v>12</c:v>
                </c:pt>
                <c:pt idx="883">
                  <c:v>9.5</c:v>
                </c:pt>
                <c:pt idx="884">
                  <c:v>10</c:v>
                </c:pt>
                <c:pt idx="885">
                  <c:v>10.5</c:v>
                </c:pt>
                <c:pt idx="886">
                  <c:v>10.4</c:v>
                </c:pt>
                <c:pt idx="887">
                  <c:v>12.1</c:v>
                </c:pt>
                <c:pt idx="888">
                  <c:v>11.2</c:v>
                </c:pt>
                <c:pt idx="889">
                  <c:v>9.3000000000000007</c:v>
                </c:pt>
                <c:pt idx="890">
                  <c:v>10.1</c:v>
                </c:pt>
                <c:pt idx="891">
                  <c:v>9.6999999999999993</c:v>
                </c:pt>
                <c:pt idx="892">
                  <c:v>9.3000000000000007</c:v>
                </c:pt>
                <c:pt idx="893">
                  <c:v>9.6999999999999993</c:v>
                </c:pt>
                <c:pt idx="894">
                  <c:v>9.8000000000000007</c:v>
                </c:pt>
                <c:pt idx="895">
                  <c:v>10.7</c:v>
                </c:pt>
                <c:pt idx="896">
                  <c:v>12.5</c:v>
                </c:pt>
                <c:pt idx="897">
                  <c:v>10.7</c:v>
                </c:pt>
                <c:pt idx="898">
                  <c:v>12.5</c:v>
                </c:pt>
                <c:pt idx="899">
                  <c:v>11</c:v>
                </c:pt>
                <c:pt idx="900">
                  <c:v>11.8</c:v>
                </c:pt>
                <c:pt idx="901">
                  <c:v>10.8</c:v>
                </c:pt>
                <c:pt idx="902">
                  <c:v>10.8</c:v>
                </c:pt>
                <c:pt idx="903">
                  <c:v>10.8</c:v>
                </c:pt>
                <c:pt idx="904">
                  <c:v>10.8</c:v>
                </c:pt>
                <c:pt idx="905">
                  <c:v>9.5</c:v>
                </c:pt>
                <c:pt idx="906">
                  <c:v>11</c:v>
                </c:pt>
                <c:pt idx="907">
                  <c:v>11.5</c:v>
                </c:pt>
                <c:pt idx="908">
                  <c:v>10.8</c:v>
                </c:pt>
                <c:pt idx="909">
                  <c:v>11.5</c:v>
                </c:pt>
                <c:pt idx="910">
                  <c:v>13.2</c:v>
                </c:pt>
                <c:pt idx="911">
                  <c:v>10.9</c:v>
                </c:pt>
                <c:pt idx="912">
                  <c:v>12.2</c:v>
                </c:pt>
                <c:pt idx="913">
                  <c:v>12.2</c:v>
                </c:pt>
                <c:pt idx="914">
                  <c:v>11.5</c:v>
                </c:pt>
                <c:pt idx="915">
                  <c:v>11.9</c:v>
                </c:pt>
                <c:pt idx="916">
                  <c:v>11</c:v>
                </c:pt>
                <c:pt idx="917">
                  <c:v>10.1</c:v>
                </c:pt>
                <c:pt idx="918">
                  <c:v>11</c:v>
                </c:pt>
                <c:pt idx="919">
                  <c:v>11.8</c:v>
                </c:pt>
                <c:pt idx="920">
                  <c:v>10.5</c:v>
                </c:pt>
                <c:pt idx="921">
                  <c:v>11</c:v>
                </c:pt>
                <c:pt idx="922">
                  <c:v>11.8</c:v>
                </c:pt>
                <c:pt idx="923">
                  <c:v>10.1</c:v>
                </c:pt>
                <c:pt idx="924">
                  <c:v>11.2</c:v>
                </c:pt>
                <c:pt idx="925">
                  <c:v>11</c:v>
                </c:pt>
                <c:pt idx="926">
                  <c:v>10.199999999999999</c:v>
                </c:pt>
                <c:pt idx="927">
                  <c:v>9.1999999999999993</c:v>
                </c:pt>
                <c:pt idx="928">
                  <c:v>11.2</c:v>
                </c:pt>
                <c:pt idx="929">
                  <c:v>12</c:v>
                </c:pt>
                <c:pt idx="930">
                  <c:v>10.5</c:v>
                </c:pt>
                <c:pt idx="931">
                  <c:v>9.8000000000000007</c:v>
                </c:pt>
                <c:pt idx="932">
                  <c:v>9.5</c:v>
                </c:pt>
                <c:pt idx="933">
                  <c:v>9.8000000000000007</c:v>
                </c:pt>
                <c:pt idx="934">
                  <c:v>10.5</c:v>
                </c:pt>
                <c:pt idx="935">
                  <c:v>11.8</c:v>
                </c:pt>
                <c:pt idx="936">
                  <c:v>11.8</c:v>
                </c:pt>
                <c:pt idx="937">
                  <c:v>10.4</c:v>
                </c:pt>
                <c:pt idx="938">
                  <c:v>12.9</c:v>
                </c:pt>
                <c:pt idx="939">
                  <c:v>11.4</c:v>
                </c:pt>
                <c:pt idx="940">
                  <c:v>12.4</c:v>
                </c:pt>
                <c:pt idx="941">
                  <c:v>12.5</c:v>
                </c:pt>
                <c:pt idx="942">
                  <c:v>10</c:v>
                </c:pt>
                <c:pt idx="943">
                  <c:v>9.6999999999999993</c:v>
                </c:pt>
                <c:pt idx="944">
                  <c:v>12.1</c:v>
                </c:pt>
                <c:pt idx="945">
                  <c:v>11.1</c:v>
                </c:pt>
                <c:pt idx="946">
                  <c:v>12</c:v>
                </c:pt>
                <c:pt idx="947">
                  <c:v>12.4</c:v>
                </c:pt>
                <c:pt idx="948">
                  <c:v>11.9</c:v>
                </c:pt>
                <c:pt idx="949">
                  <c:v>11.9</c:v>
                </c:pt>
                <c:pt idx="950">
                  <c:v>11.9</c:v>
                </c:pt>
                <c:pt idx="951">
                  <c:v>12.4</c:v>
                </c:pt>
                <c:pt idx="952">
                  <c:v>11.2</c:v>
                </c:pt>
                <c:pt idx="953">
                  <c:v>12.1</c:v>
                </c:pt>
                <c:pt idx="954">
                  <c:v>12.2</c:v>
                </c:pt>
                <c:pt idx="955">
                  <c:v>10.4</c:v>
                </c:pt>
                <c:pt idx="956">
                  <c:v>11.3</c:v>
                </c:pt>
                <c:pt idx="957">
                  <c:v>11.1</c:v>
                </c:pt>
                <c:pt idx="958">
                  <c:v>11.3</c:v>
                </c:pt>
                <c:pt idx="959">
                  <c:v>10</c:v>
                </c:pt>
                <c:pt idx="960">
                  <c:v>11.1</c:v>
                </c:pt>
                <c:pt idx="961">
                  <c:v>9.3000000000000007</c:v>
                </c:pt>
                <c:pt idx="962">
                  <c:v>9.5</c:v>
                </c:pt>
                <c:pt idx="963">
                  <c:v>11.2</c:v>
                </c:pt>
                <c:pt idx="964">
                  <c:v>11.1</c:v>
                </c:pt>
                <c:pt idx="965">
                  <c:v>11</c:v>
                </c:pt>
                <c:pt idx="966">
                  <c:v>11.9</c:v>
                </c:pt>
                <c:pt idx="967">
                  <c:v>9.1999999999999993</c:v>
                </c:pt>
                <c:pt idx="968">
                  <c:v>12.2</c:v>
                </c:pt>
                <c:pt idx="969">
                  <c:v>10.199999999999999</c:v>
                </c:pt>
                <c:pt idx="970">
                  <c:v>10.9</c:v>
                </c:pt>
                <c:pt idx="971">
                  <c:v>10.9</c:v>
                </c:pt>
                <c:pt idx="972">
                  <c:v>11.6</c:v>
                </c:pt>
                <c:pt idx="973">
                  <c:v>10.7</c:v>
                </c:pt>
                <c:pt idx="974">
                  <c:v>12.1</c:v>
                </c:pt>
                <c:pt idx="975">
                  <c:v>9.4</c:v>
                </c:pt>
                <c:pt idx="976">
                  <c:v>9.4</c:v>
                </c:pt>
                <c:pt idx="977">
                  <c:v>9.1</c:v>
                </c:pt>
                <c:pt idx="978">
                  <c:v>11.3</c:v>
                </c:pt>
                <c:pt idx="979">
                  <c:v>10.4</c:v>
                </c:pt>
                <c:pt idx="980">
                  <c:v>10.5</c:v>
                </c:pt>
                <c:pt idx="981">
                  <c:v>10</c:v>
                </c:pt>
                <c:pt idx="982">
                  <c:v>12.9</c:v>
                </c:pt>
                <c:pt idx="983">
                  <c:v>10.5</c:v>
                </c:pt>
                <c:pt idx="984">
                  <c:v>10.4</c:v>
                </c:pt>
                <c:pt idx="985">
                  <c:v>11.3</c:v>
                </c:pt>
                <c:pt idx="986">
                  <c:v>11.4</c:v>
                </c:pt>
                <c:pt idx="987">
                  <c:v>9.4</c:v>
                </c:pt>
                <c:pt idx="988">
                  <c:v>9.4</c:v>
                </c:pt>
                <c:pt idx="989">
                  <c:v>10.9</c:v>
                </c:pt>
                <c:pt idx="990">
                  <c:v>9.4</c:v>
                </c:pt>
                <c:pt idx="991">
                  <c:v>9.4</c:v>
                </c:pt>
                <c:pt idx="992">
                  <c:v>9.4</c:v>
                </c:pt>
                <c:pt idx="993">
                  <c:v>9.4</c:v>
                </c:pt>
                <c:pt idx="994">
                  <c:v>9.4</c:v>
                </c:pt>
                <c:pt idx="995">
                  <c:v>10.1</c:v>
                </c:pt>
                <c:pt idx="996">
                  <c:v>12.8</c:v>
                </c:pt>
                <c:pt idx="997">
                  <c:v>12.8</c:v>
                </c:pt>
                <c:pt idx="998">
                  <c:v>9.1</c:v>
                </c:pt>
                <c:pt idx="999">
                  <c:v>12.9</c:v>
                </c:pt>
                <c:pt idx="1000">
                  <c:v>11.5</c:v>
                </c:pt>
                <c:pt idx="1001">
                  <c:v>10.6</c:v>
                </c:pt>
                <c:pt idx="1002">
                  <c:v>11.7</c:v>
                </c:pt>
                <c:pt idx="1003">
                  <c:v>12.8</c:v>
                </c:pt>
                <c:pt idx="1004">
                  <c:v>10.3</c:v>
                </c:pt>
                <c:pt idx="1005">
                  <c:v>12.8</c:v>
                </c:pt>
                <c:pt idx="1006">
                  <c:v>11.7</c:v>
                </c:pt>
                <c:pt idx="1007">
                  <c:v>11.7</c:v>
                </c:pt>
                <c:pt idx="1008">
                  <c:v>12</c:v>
                </c:pt>
                <c:pt idx="1009">
                  <c:v>10.9</c:v>
                </c:pt>
                <c:pt idx="1010">
                  <c:v>12.3</c:v>
                </c:pt>
                <c:pt idx="1011">
                  <c:v>10.4</c:v>
                </c:pt>
                <c:pt idx="1012">
                  <c:v>10</c:v>
                </c:pt>
                <c:pt idx="1013">
                  <c:v>10</c:v>
                </c:pt>
                <c:pt idx="1014">
                  <c:v>11.2</c:v>
                </c:pt>
                <c:pt idx="1015">
                  <c:v>11.4</c:v>
                </c:pt>
                <c:pt idx="1016">
                  <c:v>12.6</c:v>
                </c:pt>
                <c:pt idx="1017">
                  <c:v>12.7</c:v>
                </c:pt>
                <c:pt idx="1018">
                  <c:v>12.7</c:v>
                </c:pt>
                <c:pt idx="1019">
                  <c:v>10.4</c:v>
                </c:pt>
                <c:pt idx="1020">
                  <c:v>11.9</c:v>
                </c:pt>
                <c:pt idx="1021">
                  <c:v>11.9</c:v>
                </c:pt>
                <c:pt idx="1022">
                  <c:v>10.5</c:v>
                </c:pt>
                <c:pt idx="1023">
                  <c:v>12.3</c:v>
                </c:pt>
                <c:pt idx="1024">
                  <c:v>10.5</c:v>
                </c:pt>
                <c:pt idx="1025">
                  <c:v>10.4</c:v>
                </c:pt>
                <c:pt idx="1026">
                  <c:v>12.6</c:v>
                </c:pt>
                <c:pt idx="1027">
                  <c:v>11.6</c:v>
                </c:pt>
                <c:pt idx="1028">
                  <c:v>10.1</c:v>
                </c:pt>
                <c:pt idx="1029">
                  <c:v>10.5</c:v>
                </c:pt>
                <c:pt idx="1030">
                  <c:v>11.5</c:v>
                </c:pt>
                <c:pt idx="1031">
                  <c:v>11</c:v>
                </c:pt>
                <c:pt idx="1032">
                  <c:v>9.6</c:v>
                </c:pt>
                <c:pt idx="1033">
                  <c:v>10.4</c:v>
                </c:pt>
                <c:pt idx="1034">
                  <c:v>9.6999999999999993</c:v>
                </c:pt>
                <c:pt idx="1035">
                  <c:v>10.6</c:v>
                </c:pt>
                <c:pt idx="1036">
                  <c:v>12.5</c:v>
                </c:pt>
                <c:pt idx="1037">
                  <c:v>9.1999999999999993</c:v>
                </c:pt>
                <c:pt idx="1038">
                  <c:v>12.6</c:v>
                </c:pt>
                <c:pt idx="1039">
                  <c:v>11.1</c:v>
                </c:pt>
                <c:pt idx="1040">
                  <c:v>10.199999999999999</c:v>
                </c:pt>
                <c:pt idx="1041">
                  <c:v>9.8000000000000007</c:v>
                </c:pt>
                <c:pt idx="1042">
                  <c:v>11.1</c:v>
                </c:pt>
                <c:pt idx="1043">
                  <c:v>10.9</c:v>
                </c:pt>
                <c:pt idx="1044">
                  <c:v>12.2</c:v>
                </c:pt>
                <c:pt idx="1045">
                  <c:v>11.4</c:v>
                </c:pt>
                <c:pt idx="1046">
                  <c:v>10.7</c:v>
                </c:pt>
                <c:pt idx="1047">
                  <c:v>10.4</c:v>
                </c:pt>
                <c:pt idx="1048">
                  <c:v>10.9</c:v>
                </c:pt>
                <c:pt idx="1049">
                  <c:v>10.8</c:v>
                </c:pt>
                <c:pt idx="1050">
                  <c:v>10.4</c:v>
                </c:pt>
                <c:pt idx="1051">
                  <c:v>9.1999999999999993</c:v>
                </c:pt>
                <c:pt idx="1052">
                  <c:v>12.9</c:v>
                </c:pt>
                <c:pt idx="1053">
                  <c:v>12.7</c:v>
                </c:pt>
                <c:pt idx="1054">
                  <c:v>9.1</c:v>
                </c:pt>
                <c:pt idx="1055">
                  <c:v>9.1</c:v>
                </c:pt>
                <c:pt idx="1056">
                  <c:v>12.1</c:v>
                </c:pt>
                <c:pt idx="1057">
                  <c:v>9.1</c:v>
                </c:pt>
                <c:pt idx="1058">
                  <c:v>11.6</c:v>
                </c:pt>
                <c:pt idx="1059">
                  <c:v>12.1</c:v>
                </c:pt>
                <c:pt idx="1060">
                  <c:v>9.9</c:v>
                </c:pt>
                <c:pt idx="1061">
                  <c:v>12.5</c:v>
                </c:pt>
                <c:pt idx="1062">
                  <c:v>11.4</c:v>
                </c:pt>
                <c:pt idx="1063">
                  <c:v>11.8</c:v>
                </c:pt>
                <c:pt idx="1064">
                  <c:v>11.8</c:v>
                </c:pt>
                <c:pt idx="1065">
                  <c:v>10.199999999999999</c:v>
                </c:pt>
                <c:pt idx="1066">
                  <c:v>12.5</c:v>
                </c:pt>
                <c:pt idx="1067">
                  <c:v>10.9</c:v>
                </c:pt>
                <c:pt idx="1068">
                  <c:v>10.9</c:v>
                </c:pt>
                <c:pt idx="1069">
                  <c:v>10.8</c:v>
                </c:pt>
                <c:pt idx="1070">
                  <c:v>11.1</c:v>
                </c:pt>
                <c:pt idx="1071">
                  <c:v>9.1999999999999993</c:v>
                </c:pt>
                <c:pt idx="1072">
                  <c:v>9.5</c:v>
                </c:pt>
                <c:pt idx="1073">
                  <c:v>10.7</c:v>
                </c:pt>
                <c:pt idx="1074">
                  <c:v>9.1999999999999993</c:v>
                </c:pt>
                <c:pt idx="1075">
                  <c:v>10.199999999999999</c:v>
                </c:pt>
                <c:pt idx="1076">
                  <c:v>11.4</c:v>
                </c:pt>
                <c:pt idx="1077">
                  <c:v>11</c:v>
                </c:pt>
                <c:pt idx="1078">
                  <c:v>11</c:v>
                </c:pt>
                <c:pt idx="1079">
                  <c:v>12.3</c:v>
                </c:pt>
                <c:pt idx="1080">
                  <c:v>11.8</c:v>
                </c:pt>
                <c:pt idx="1081">
                  <c:v>12.3</c:v>
                </c:pt>
                <c:pt idx="1082">
                  <c:v>9.5</c:v>
                </c:pt>
                <c:pt idx="1083">
                  <c:v>12</c:v>
                </c:pt>
                <c:pt idx="1084">
                  <c:v>9.5</c:v>
                </c:pt>
                <c:pt idx="1085">
                  <c:v>9.6</c:v>
                </c:pt>
                <c:pt idx="1086">
                  <c:v>11.6</c:v>
                </c:pt>
                <c:pt idx="1087">
                  <c:v>11.2</c:v>
                </c:pt>
                <c:pt idx="1088">
                  <c:v>9.9</c:v>
                </c:pt>
                <c:pt idx="1089">
                  <c:v>9.9</c:v>
                </c:pt>
                <c:pt idx="1090">
                  <c:v>11.8</c:v>
                </c:pt>
                <c:pt idx="1091">
                  <c:v>11.4</c:v>
                </c:pt>
                <c:pt idx="1092">
                  <c:v>11.5</c:v>
                </c:pt>
                <c:pt idx="1093">
                  <c:v>12</c:v>
                </c:pt>
                <c:pt idx="1094">
                  <c:v>10.8</c:v>
                </c:pt>
                <c:pt idx="1095">
                  <c:v>10.5</c:v>
                </c:pt>
                <c:pt idx="1096">
                  <c:v>10.8</c:v>
                </c:pt>
                <c:pt idx="1097">
                  <c:v>9.4</c:v>
                </c:pt>
                <c:pt idx="1098">
                  <c:v>12.5</c:v>
                </c:pt>
                <c:pt idx="1099">
                  <c:v>9.4</c:v>
                </c:pt>
                <c:pt idx="1100">
                  <c:v>12.4</c:v>
                </c:pt>
                <c:pt idx="1101">
                  <c:v>12</c:v>
                </c:pt>
                <c:pt idx="1102">
                  <c:v>11.2</c:v>
                </c:pt>
                <c:pt idx="1103">
                  <c:v>12</c:v>
                </c:pt>
                <c:pt idx="1104">
                  <c:v>12.4</c:v>
                </c:pt>
                <c:pt idx="1105">
                  <c:v>12.8</c:v>
                </c:pt>
                <c:pt idx="1106">
                  <c:v>12.3</c:v>
                </c:pt>
                <c:pt idx="1107">
                  <c:v>11.7</c:v>
                </c:pt>
                <c:pt idx="1108">
                  <c:v>9.5</c:v>
                </c:pt>
                <c:pt idx="1109">
                  <c:v>10.8</c:v>
                </c:pt>
                <c:pt idx="1110">
                  <c:v>10</c:v>
                </c:pt>
                <c:pt idx="1111">
                  <c:v>12.3</c:v>
                </c:pt>
                <c:pt idx="1112">
                  <c:v>11</c:v>
                </c:pt>
                <c:pt idx="1113">
                  <c:v>9.5</c:v>
                </c:pt>
                <c:pt idx="1114">
                  <c:v>13.6</c:v>
                </c:pt>
                <c:pt idx="1115">
                  <c:v>11.3</c:v>
                </c:pt>
                <c:pt idx="1116">
                  <c:v>11.3</c:v>
                </c:pt>
                <c:pt idx="1117">
                  <c:v>11.3</c:v>
                </c:pt>
                <c:pt idx="1118">
                  <c:v>13.3</c:v>
                </c:pt>
                <c:pt idx="1119">
                  <c:v>12.9</c:v>
                </c:pt>
                <c:pt idx="1120">
                  <c:v>13.1</c:v>
                </c:pt>
                <c:pt idx="1121">
                  <c:v>12.3</c:v>
                </c:pt>
                <c:pt idx="1122">
                  <c:v>12.3</c:v>
                </c:pt>
                <c:pt idx="1123">
                  <c:v>11.2</c:v>
                </c:pt>
                <c:pt idx="1124">
                  <c:v>11.5</c:v>
                </c:pt>
                <c:pt idx="1125">
                  <c:v>11.3</c:v>
                </c:pt>
                <c:pt idx="1126">
                  <c:v>13.5</c:v>
                </c:pt>
                <c:pt idx="1127">
                  <c:v>11.5</c:v>
                </c:pt>
                <c:pt idx="1128">
                  <c:v>10</c:v>
                </c:pt>
                <c:pt idx="1129">
                  <c:v>10.5</c:v>
                </c:pt>
                <c:pt idx="1130">
                  <c:v>10.4</c:v>
                </c:pt>
                <c:pt idx="1131">
                  <c:v>9.5</c:v>
                </c:pt>
                <c:pt idx="1132">
                  <c:v>13.6</c:v>
                </c:pt>
                <c:pt idx="1133">
                  <c:v>11.2</c:v>
                </c:pt>
                <c:pt idx="1134">
                  <c:v>11.8</c:v>
                </c:pt>
                <c:pt idx="1135">
                  <c:v>11.9</c:v>
                </c:pt>
                <c:pt idx="1136">
                  <c:v>11.4</c:v>
                </c:pt>
                <c:pt idx="1137">
                  <c:v>11.4</c:v>
                </c:pt>
                <c:pt idx="1138">
                  <c:v>9.1</c:v>
                </c:pt>
                <c:pt idx="1139">
                  <c:v>9.5</c:v>
                </c:pt>
                <c:pt idx="1140">
                  <c:v>9.5</c:v>
                </c:pt>
                <c:pt idx="1141">
                  <c:v>11</c:v>
                </c:pt>
                <c:pt idx="1142">
                  <c:v>11.4</c:v>
                </c:pt>
                <c:pt idx="1143">
                  <c:v>10</c:v>
                </c:pt>
                <c:pt idx="1144">
                  <c:v>10.1</c:v>
                </c:pt>
                <c:pt idx="1145">
                  <c:v>10.4</c:v>
                </c:pt>
                <c:pt idx="1146">
                  <c:v>9.8000000000000007</c:v>
                </c:pt>
                <c:pt idx="1147">
                  <c:v>11.8</c:v>
                </c:pt>
                <c:pt idx="1148">
                  <c:v>11.6</c:v>
                </c:pt>
                <c:pt idx="1149">
                  <c:v>12</c:v>
                </c:pt>
                <c:pt idx="1150">
                  <c:v>12.8</c:v>
                </c:pt>
                <c:pt idx="1151">
                  <c:v>12.5</c:v>
                </c:pt>
                <c:pt idx="1152">
                  <c:v>9.8000000000000007</c:v>
                </c:pt>
                <c:pt idx="1153">
                  <c:v>11.1</c:v>
                </c:pt>
                <c:pt idx="1154">
                  <c:v>11.4</c:v>
                </c:pt>
                <c:pt idx="1155">
                  <c:v>9.8000000000000007</c:v>
                </c:pt>
                <c:pt idx="1156">
                  <c:v>11.8</c:v>
                </c:pt>
                <c:pt idx="1157">
                  <c:v>12.9</c:v>
                </c:pt>
                <c:pt idx="1158">
                  <c:v>10.6</c:v>
                </c:pt>
                <c:pt idx="1159">
                  <c:v>10.8</c:v>
                </c:pt>
                <c:pt idx="1160">
                  <c:v>11.1</c:v>
                </c:pt>
                <c:pt idx="1161">
                  <c:v>10.199999999999999</c:v>
                </c:pt>
                <c:pt idx="1162">
                  <c:v>11.8</c:v>
                </c:pt>
                <c:pt idx="1163">
                  <c:v>10</c:v>
                </c:pt>
                <c:pt idx="1164">
                  <c:v>10</c:v>
                </c:pt>
                <c:pt idx="1165">
                  <c:v>9.4</c:v>
                </c:pt>
                <c:pt idx="1166">
                  <c:v>10.199999999999999</c:v>
                </c:pt>
                <c:pt idx="1167">
                  <c:v>12.4</c:v>
                </c:pt>
                <c:pt idx="1168">
                  <c:v>12</c:v>
                </c:pt>
                <c:pt idx="1169">
                  <c:v>11.5</c:v>
                </c:pt>
                <c:pt idx="1170">
                  <c:v>10.5</c:v>
                </c:pt>
                <c:pt idx="1171">
                  <c:v>10.8</c:v>
                </c:pt>
                <c:pt idx="1172">
                  <c:v>12.3</c:v>
                </c:pt>
                <c:pt idx="1173">
                  <c:v>9.5</c:v>
                </c:pt>
                <c:pt idx="1174">
                  <c:v>9.5</c:v>
                </c:pt>
                <c:pt idx="1175">
                  <c:v>11.5</c:v>
                </c:pt>
                <c:pt idx="1176">
                  <c:v>11.2</c:v>
                </c:pt>
                <c:pt idx="1177">
                  <c:v>12.7</c:v>
                </c:pt>
                <c:pt idx="1178">
                  <c:v>11.4</c:v>
                </c:pt>
                <c:pt idx="1179">
                  <c:v>11</c:v>
                </c:pt>
                <c:pt idx="1180">
                  <c:v>11</c:v>
                </c:pt>
                <c:pt idx="1181">
                  <c:v>11.4</c:v>
                </c:pt>
                <c:pt idx="1182">
                  <c:v>10.5</c:v>
                </c:pt>
                <c:pt idx="1183">
                  <c:v>9.3000000000000007</c:v>
                </c:pt>
                <c:pt idx="1184">
                  <c:v>10.9</c:v>
                </c:pt>
                <c:pt idx="1185">
                  <c:v>11.9</c:v>
                </c:pt>
                <c:pt idx="1186">
                  <c:v>12.2</c:v>
                </c:pt>
                <c:pt idx="1187">
                  <c:v>11.9</c:v>
                </c:pt>
                <c:pt idx="1188">
                  <c:v>10.9</c:v>
                </c:pt>
                <c:pt idx="1189">
                  <c:v>9.6</c:v>
                </c:pt>
                <c:pt idx="1190">
                  <c:v>12.5</c:v>
                </c:pt>
                <c:pt idx="1191">
                  <c:v>10.8</c:v>
                </c:pt>
                <c:pt idx="1192">
                  <c:v>12.4</c:v>
                </c:pt>
                <c:pt idx="1193">
                  <c:v>10.8</c:v>
                </c:pt>
                <c:pt idx="1194">
                  <c:v>9.5</c:v>
                </c:pt>
                <c:pt idx="1195">
                  <c:v>9.5</c:v>
                </c:pt>
                <c:pt idx="1196">
                  <c:v>9.5</c:v>
                </c:pt>
                <c:pt idx="1197">
                  <c:v>9.8000000000000007</c:v>
                </c:pt>
                <c:pt idx="1198">
                  <c:v>10.9</c:v>
                </c:pt>
                <c:pt idx="1199">
                  <c:v>9.5</c:v>
                </c:pt>
                <c:pt idx="1200">
                  <c:v>9.8000000000000007</c:v>
                </c:pt>
                <c:pt idx="1201">
                  <c:v>11.2</c:v>
                </c:pt>
                <c:pt idx="1202">
                  <c:v>11.7</c:v>
                </c:pt>
                <c:pt idx="1203">
                  <c:v>9.4</c:v>
                </c:pt>
                <c:pt idx="1204">
                  <c:v>11</c:v>
                </c:pt>
                <c:pt idx="1205">
                  <c:v>11</c:v>
                </c:pt>
                <c:pt idx="1206">
                  <c:v>11</c:v>
                </c:pt>
                <c:pt idx="1207">
                  <c:v>10</c:v>
                </c:pt>
                <c:pt idx="1208">
                  <c:v>11</c:v>
                </c:pt>
                <c:pt idx="1209">
                  <c:v>11.2</c:v>
                </c:pt>
                <c:pt idx="1210">
                  <c:v>10.4</c:v>
                </c:pt>
                <c:pt idx="1211">
                  <c:v>9.3000000000000007</c:v>
                </c:pt>
                <c:pt idx="1212">
                  <c:v>10.4</c:v>
                </c:pt>
                <c:pt idx="1213">
                  <c:v>10.5</c:v>
                </c:pt>
                <c:pt idx="1214">
                  <c:v>10.4</c:v>
                </c:pt>
                <c:pt idx="1215">
                  <c:v>11.3</c:v>
                </c:pt>
                <c:pt idx="1216">
                  <c:v>9.5</c:v>
                </c:pt>
                <c:pt idx="1217">
                  <c:v>12</c:v>
                </c:pt>
                <c:pt idx="1218">
                  <c:v>10.6</c:v>
                </c:pt>
                <c:pt idx="1219">
                  <c:v>10.9</c:v>
                </c:pt>
                <c:pt idx="1220">
                  <c:v>11.5</c:v>
                </c:pt>
                <c:pt idx="1221">
                  <c:v>11.5</c:v>
                </c:pt>
                <c:pt idx="1222">
                  <c:v>9.6</c:v>
                </c:pt>
                <c:pt idx="1223">
                  <c:v>12</c:v>
                </c:pt>
                <c:pt idx="1224">
                  <c:v>10.3</c:v>
                </c:pt>
                <c:pt idx="1225">
                  <c:v>9.4</c:v>
                </c:pt>
                <c:pt idx="1226">
                  <c:v>9.1999999999999993</c:v>
                </c:pt>
                <c:pt idx="1227">
                  <c:v>9.6</c:v>
                </c:pt>
                <c:pt idx="1228">
                  <c:v>13.6</c:v>
                </c:pt>
                <c:pt idx="1229">
                  <c:v>9.5</c:v>
                </c:pt>
                <c:pt idx="1230">
                  <c:v>11.8</c:v>
                </c:pt>
                <c:pt idx="1231">
                  <c:v>10.8</c:v>
                </c:pt>
                <c:pt idx="1232">
                  <c:v>9.5</c:v>
                </c:pt>
                <c:pt idx="1233">
                  <c:v>9.3000000000000007</c:v>
                </c:pt>
                <c:pt idx="1234">
                  <c:v>12.8</c:v>
                </c:pt>
                <c:pt idx="1235">
                  <c:v>11.5</c:v>
                </c:pt>
                <c:pt idx="1236">
                  <c:v>9.4</c:v>
                </c:pt>
                <c:pt idx="1237">
                  <c:v>12.8</c:v>
                </c:pt>
                <c:pt idx="1238">
                  <c:v>9.6</c:v>
                </c:pt>
                <c:pt idx="1239">
                  <c:v>11.8</c:v>
                </c:pt>
                <c:pt idx="1240">
                  <c:v>9.3000000000000007</c:v>
                </c:pt>
                <c:pt idx="1241">
                  <c:v>9.8000000000000007</c:v>
                </c:pt>
                <c:pt idx="1242">
                  <c:v>12.2</c:v>
                </c:pt>
                <c:pt idx="1243">
                  <c:v>9.5</c:v>
                </c:pt>
                <c:pt idx="1244">
                  <c:v>10.3</c:v>
                </c:pt>
                <c:pt idx="1245">
                  <c:v>10.5</c:v>
                </c:pt>
                <c:pt idx="1246">
                  <c:v>10</c:v>
                </c:pt>
                <c:pt idx="1247">
                  <c:v>10.5</c:v>
                </c:pt>
                <c:pt idx="1248">
                  <c:v>11.1</c:v>
                </c:pt>
                <c:pt idx="1249">
                  <c:v>10.9</c:v>
                </c:pt>
                <c:pt idx="1250">
                  <c:v>10.9</c:v>
                </c:pt>
                <c:pt idx="1251">
                  <c:v>9.8000000000000007</c:v>
                </c:pt>
                <c:pt idx="1252">
                  <c:v>9.8000000000000007</c:v>
                </c:pt>
                <c:pt idx="1253">
                  <c:v>9.5</c:v>
                </c:pt>
                <c:pt idx="1254">
                  <c:v>10.9</c:v>
                </c:pt>
                <c:pt idx="1255">
                  <c:v>11</c:v>
                </c:pt>
                <c:pt idx="1256">
                  <c:v>9.1999999999999993</c:v>
                </c:pt>
                <c:pt idx="1257">
                  <c:v>11</c:v>
                </c:pt>
                <c:pt idx="1258">
                  <c:v>11.3</c:v>
                </c:pt>
                <c:pt idx="1259">
                  <c:v>11.3</c:v>
                </c:pt>
                <c:pt idx="1260">
                  <c:v>9.3000000000000007</c:v>
                </c:pt>
                <c:pt idx="1261">
                  <c:v>11.2</c:v>
                </c:pt>
                <c:pt idx="1262">
                  <c:v>9.8000000000000007</c:v>
                </c:pt>
                <c:pt idx="1263">
                  <c:v>9.6</c:v>
                </c:pt>
                <c:pt idx="1264">
                  <c:v>11.8</c:v>
                </c:pt>
                <c:pt idx="1265">
                  <c:v>10.3</c:v>
                </c:pt>
                <c:pt idx="1266">
                  <c:v>10.3</c:v>
                </c:pt>
                <c:pt idx="1267">
                  <c:v>11.4</c:v>
                </c:pt>
                <c:pt idx="1268">
                  <c:v>9.5</c:v>
                </c:pt>
                <c:pt idx="1269">
                  <c:v>14</c:v>
                </c:pt>
                <c:pt idx="1270">
                  <c:v>14</c:v>
                </c:pt>
                <c:pt idx="1271">
                  <c:v>11.7</c:v>
                </c:pt>
                <c:pt idx="1272">
                  <c:v>11.2</c:v>
                </c:pt>
                <c:pt idx="1273">
                  <c:v>9.3000000000000007</c:v>
                </c:pt>
                <c:pt idx="1274">
                  <c:v>11.2</c:v>
                </c:pt>
                <c:pt idx="1275">
                  <c:v>9.5</c:v>
                </c:pt>
                <c:pt idx="1276">
                  <c:v>12</c:v>
                </c:pt>
                <c:pt idx="1277">
                  <c:v>9.6999999999999993</c:v>
                </c:pt>
                <c:pt idx="1278">
                  <c:v>9.5</c:v>
                </c:pt>
                <c:pt idx="1279">
                  <c:v>11.5</c:v>
                </c:pt>
                <c:pt idx="1280">
                  <c:v>10.4</c:v>
                </c:pt>
                <c:pt idx="1281">
                  <c:v>10.4</c:v>
                </c:pt>
                <c:pt idx="1282">
                  <c:v>10.9</c:v>
                </c:pt>
                <c:pt idx="1283">
                  <c:v>10.199999999999999</c:v>
                </c:pt>
                <c:pt idx="1284">
                  <c:v>10.9</c:v>
                </c:pt>
                <c:pt idx="1285">
                  <c:v>10.5</c:v>
                </c:pt>
                <c:pt idx="1286">
                  <c:v>12.4</c:v>
                </c:pt>
                <c:pt idx="1287">
                  <c:v>13</c:v>
                </c:pt>
                <c:pt idx="1288">
                  <c:v>10.199999999999999</c:v>
                </c:pt>
                <c:pt idx="1289">
                  <c:v>10.199999999999999</c:v>
                </c:pt>
                <c:pt idx="1290">
                  <c:v>11</c:v>
                </c:pt>
                <c:pt idx="1291">
                  <c:v>10.9</c:v>
                </c:pt>
                <c:pt idx="1292">
                  <c:v>12.4</c:v>
                </c:pt>
                <c:pt idx="1293">
                  <c:v>9.6999999999999993</c:v>
                </c:pt>
                <c:pt idx="1294">
                  <c:v>10.9</c:v>
                </c:pt>
                <c:pt idx="1295">
                  <c:v>9.5</c:v>
                </c:pt>
                <c:pt idx="1296">
                  <c:v>9.5</c:v>
                </c:pt>
                <c:pt idx="1297">
                  <c:v>12.1</c:v>
                </c:pt>
                <c:pt idx="1298">
                  <c:v>12.2</c:v>
                </c:pt>
                <c:pt idx="1299">
                  <c:v>10.9</c:v>
                </c:pt>
                <c:pt idx="1300">
                  <c:v>12.5</c:v>
                </c:pt>
                <c:pt idx="1301">
                  <c:v>11.7</c:v>
                </c:pt>
                <c:pt idx="1302">
                  <c:v>11.2</c:v>
                </c:pt>
                <c:pt idx="1303">
                  <c:v>11.2</c:v>
                </c:pt>
                <c:pt idx="1304">
                  <c:v>9.1999999999999993</c:v>
                </c:pt>
                <c:pt idx="1305">
                  <c:v>9.8000000000000007</c:v>
                </c:pt>
                <c:pt idx="1306">
                  <c:v>10.1</c:v>
                </c:pt>
                <c:pt idx="1307">
                  <c:v>11.1</c:v>
                </c:pt>
                <c:pt idx="1308">
                  <c:v>10.1</c:v>
                </c:pt>
                <c:pt idx="1309">
                  <c:v>9.1999999999999993</c:v>
                </c:pt>
                <c:pt idx="1310">
                  <c:v>9.8000000000000007</c:v>
                </c:pt>
                <c:pt idx="1311">
                  <c:v>12.8</c:v>
                </c:pt>
                <c:pt idx="1312">
                  <c:v>10.5</c:v>
                </c:pt>
                <c:pt idx="1313">
                  <c:v>10.1</c:v>
                </c:pt>
                <c:pt idx="1314">
                  <c:v>10.1</c:v>
                </c:pt>
                <c:pt idx="1315">
                  <c:v>9.8000000000000007</c:v>
                </c:pt>
                <c:pt idx="1316">
                  <c:v>12.5</c:v>
                </c:pt>
                <c:pt idx="1317">
                  <c:v>11.9</c:v>
                </c:pt>
                <c:pt idx="1318">
                  <c:v>9.8000000000000007</c:v>
                </c:pt>
                <c:pt idx="1319">
                  <c:v>9.1</c:v>
                </c:pt>
                <c:pt idx="1320">
                  <c:v>10.1</c:v>
                </c:pt>
                <c:pt idx="1321">
                  <c:v>12.5</c:v>
                </c:pt>
                <c:pt idx="1322">
                  <c:v>11.4</c:v>
                </c:pt>
                <c:pt idx="1323">
                  <c:v>11</c:v>
                </c:pt>
                <c:pt idx="1324">
                  <c:v>10.6</c:v>
                </c:pt>
                <c:pt idx="1325">
                  <c:v>10.6</c:v>
                </c:pt>
                <c:pt idx="1326">
                  <c:v>10.6</c:v>
                </c:pt>
                <c:pt idx="1327">
                  <c:v>10.6</c:v>
                </c:pt>
                <c:pt idx="1328">
                  <c:v>9.3000000000000007</c:v>
                </c:pt>
                <c:pt idx="1329">
                  <c:v>9.8000000000000007</c:v>
                </c:pt>
                <c:pt idx="1330">
                  <c:v>9.8000000000000007</c:v>
                </c:pt>
                <c:pt idx="1331">
                  <c:v>9.1999999999999993</c:v>
                </c:pt>
                <c:pt idx="1332">
                  <c:v>9.6999999999999993</c:v>
                </c:pt>
                <c:pt idx="1333">
                  <c:v>9.6</c:v>
                </c:pt>
                <c:pt idx="1334">
                  <c:v>10</c:v>
                </c:pt>
                <c:pt idx="1335">
                  <c:v>12.6</c:v>
                </c:pt>
                <c:pt idx="1336">
                  <c:v>9.5</c:v>
                </c:pt>
                <c:pt idx="1337">
                  <c:v>9.5</c:v>
                </c:pt>
                <c:pt idx="1338">
                  <c:v>9.5</c:v>
                </c:pt>
                <c:pt idx="1339">
                  <c:v>10.5</c:v>
                </c:pt>
                <c:pt idx="1340">
                  <c:v>10.5</c:v>
                </c:pt>
                <c:pt idx="1341">
                  <c:v>10.5</c:v>
                </c:pt>
                <c:pt idx="1342">
                  <c:v>10.4</c:v>
                </c:pt>
                <c:pt idx="1343">
                  <c:v>10.5</c:v>
                </c:pt>
                <c:pt idx="1344">
                  <c:v>11</c:v>
                </c:pt>
                <c:pt idx="1345">
                  <c:v>10.199999999999999</c:v>
                </c:pt>
                <c:pt idx="1346">
                  <c:v>11.4</c:v>
                </c:pt>
                <c:pt idx="1347">
                  <c:v>9.5</c:v>
                </c:pt>
                <c:pt idx="1348">
                  <c:v>9.5</c:v>
                </c:pt>
                <c:pt idx="1349">
                  <c:v>10.8</c:v>
                </c:pt>
                <c:pt idx="1350">
                  <c:v>10</c:v>
                </c:pt>
                <c:pt idx="1351">
                  <c:v>11.8</c:v>
                </c:pt>
                <c:pt idx="1352">
                  <c:v>10.3</c:v>
                </c:pt>
                <c:pt idx="1353">
                  <c:v>10.3</c:v>
                </c:pt>
                <c:pt idx="1354">
                  <c:v>10</c:v>
                </c:pt>
                <c:pt idx="1355">
                  <c:v>10.1</c:v>
                </c:pt>
                <c:pt idx="1356">
                  <c:v>10.1</c:v>
                </c:pt>
                <c:pt idx="1357">
                  <c:v>11.1</c:v>
                </c:pt>
                <c:pt idx="1358">
                  <c:v>9.5</c:v>
                </c:pt>
                <c:pt idx="1359">
                  <c:v>10.033333333333299</c:v>
                </c:pt>
                <c:pt idx="1360">
                  <c:v>10.9</c:v>
                </c:pt>
                <c:pt idx="1361">
                  <c:v>10.1</c:v>
                </c:pt>
                <c:pt idx="1362">
                  <c:v>10.033333333333299</c:v>
                </c:pt>
                <c:pt idx="1363">
                  <c:v>9.8000000000000007</c:v>
                </c:pt>
                <c:pt idx="1364">
                  <c:v>11.8</c:v>
                </c:pt>
                <c:pt idx="1365">
                  <c:v>9.5</c:v>
                </c:pt>
                <c:pt idx="1366">
                  <c:v>9.8000000000000007</c:v>
                </c:pt>
                <c:pt idx="1367">
                  <c:v>10.5</c:v>
                </c:pt>
                <c:pt idx="1368">
                  <c:v>9.8000000000000007</c:v>
                </c:pt>
                <c:pt idx="1369">
                  <c:v>10.4</c:v>
                </c:pt>
                <c:pt idx="1370">
                  <c:v>9.1999999999999993</c:v>
                </c:pt>
                <c:pt idx="1371">
                  <c:v>11.6</c:v>
                </c:pt>
                <c:pt idx="1372">
                  <c:v>9.1999999999999993</c:v>
                </c:pt>
                <c:pt idx="1373">
                  <c:v>9.3000000000000007</c:v>
                </c:pt>
                <c:pt idx="1374">
                  <c:v>9.8000000000000007</c:v>
                </c:pt>
                <c:pt idx="1375">
                  <c:v>9.9</c:v>
                </c:pt>
                <c:pt idx="1376">
                  <c:v>10</c:v>
                </c:pt>
                <c:pt idx="1377">
                  <c:v>12.2</c:v>
                </c:pt>
                <c:pt idx="1378">
                  <c:v>9.9</c:v>
                </c:pt>
                <c:pt idx="1379">
                  <c:v>10.8</c:v>
                </c:pt>
                <c:pt idx="1380">
                  <c:v>10.8</c:v>
                </c:pt>
                <c:pt idx="1381">
                  <c:v>9.6</c:v>
                </c:pt>
                <c:pt idx="1382">
                  <c:v>9.9</c:v>
                </c:pt>
                <c:pt idx="1383">
                  <c:v>9.9</c:v>
                </c:pt>
                <c:pt idx="1384">
                  <c:v>9.5</c:v>
                </c:pt>
                <c:pt idx="1385">
                  <c:v>9.1999999999999993</c:v>
                </c:pt>
                <c:pt idx="1386">
                  <c:v>9.6</c:v>
                </c:pt>
                <c:pt idx="1387">
                  <c:v>9.6</c:v>
                </c:pt>
                <c:pt idx="1388">
                  <c:v>10.3</c:v>
                </c:pt>
                <c:pt idx="1389">
                  <c:v>9.6999999999999993</c:v>
                </c:pt>
                <c:pt idx="1390">
                  <c:v>12.5</c:v>
                </c:pt>
                <c:pt idx="1391">
                  <c:v>11</c:v>
                </c:pt>
                <c:pt idx="1392">
                  <c:v>9.8000000000000007</c:v>
                </c:pt>
                <c:pt idx="1393">
                  <c:v>10.199999999999999</c:v>
                </c:pt>
                <c:pt idx="1394">
                  <c:v>9.1999999999999993</c:v>
                </c:pt>
                <c:pt idx="1395">
                  <c:v>9.5500000000000007</c:v>
                </c:pt>
                <c:pt idx="1396">
                  <c:v>9.5500000000000007</c:v>
                </c:pt>
                <c:pt idx="1397">
                  <c:v>9.9</c:v>
                </c:pt>
                <c:pt idx="1398">
                  <c:v>10.199999999999999</c:v>
                </c:pt>
                <c:pt idx="1399">
                  <c:v>11.1</c:v>
                </c:pt>
                <c:pt idx="1400">
                  <c:v>9.9</c:v>
                </c:pt>
                <c:pt idx="1401">
                  <c:v>9.9</c:v>
                </c:pt>
                <c:pt idx="1402">
                  <c:v>11.9</c:v>
                </c:pt>
                <c:pt idx="1403">
                  <c:v>10</c:v>
                </c:pt>
                <c:pt idx="1404">
                  <c:v>10.7</c:v>
                </c:pt>
                <c:pt idx="1405">
                  <c:v>11.3</c:v>
                </c:pt>
                <c:pt idx="1406">
                  <c:v>10.9</c:v>
                </c:pt>
                <c:pt idx="1407">
                  <c:v>10.7</c:v>
                </c:pt>
                <c:pt idx="1408">
                  <c:v>12.4</c:v>
                </c:pt>
                <c:pt idx="1409">
                  <c:v>10.7</c:v>
                </c:pt>
                <c:pt idx="1410">
                  <c:v>11.9</c:v>
                </c:pt>
                <c:pt idx="1411">
                  <c:v>10.6</c:v>
                </c:pt>
                <c:pt idx="1412">
                  <c:v>10.9</c:v>
                </c:pt>
                <c:pt idx="1413">
                  <c:v>10.1</c:v>
                </c:pt>
                <c:pt idx="1414">
                  <c:v>9.6</c:v>
                </c:pt>
                <c:pt idx="1415">
                  <c:v>9.4</c:v>
                </c:pt>
                <c:pt idx="1416">
                  <c:v>9.6</c:v>
                </c:pt>
                <c:pt idx="1417">
                  <c:v>12.1</c:v>
                </c:pt>
                <c:pt idx="1418">
                  <c:v>9.8000000000000007</c:v>
                </c:pt>
                <c:pt idx="1419">
                  <c:v>9.9</c:v>
                </c:pt>
                <c:pt idx="1420">
                  <c:v>9.8000000000000007</c:v>
                </c:pt>
                <c:pt idx="1421">
                  <c:v>9.4</c:v>
                </c:pt>
                <c:pt idx="1422">
                  <c:v>11.4</c:v>
                </c:pt>
                <c:pt idx="1423">
                  <c:v>11</c:v>
                </c:pt>
                <c:pt idx="1424">
                  <c:v>9.6</c:v>
                </c:pt>
                <c:pt idx="1425">
                  <c:v>9.6</c:v>
                </c:pt>
                <c:pt idx="1426">
                  <c:v>12.1</c:v>
                </c:pt>
                <c:pt idx="1427">
                  <c:v>11.2</c:v>
                </c:pt>
                <c:pt idx="1428">
                  <c:v>11</c:v>
                </c:pt>
                <c:pt idx="1429">
                  <c:v>11.3</c:v>
                </c:pt>
                <c:pt idx="1430">
                  <c:v>10.4</c:v>
                </c:pt>
                <c:pt idx="1431">
                  <c:v>9.9</c:v>
                </c:pt>
                <c:pt idx="1432">
                  <c:v>11.7</c:v>
                </c:pt>
                <c:pt idx="1433">
                  <c:v>10.1</c:v>
                </c:pt>
                <c:pt idx="1434">
                  <c:v>9</c:v>
                </c:pt>
                <c:pt idx="1435">
                  <c:v>9</c:v>
                </c:pt>
                <c:pt idx="1436">
                  <c:v>8.5</c:v>
                </c:pt>
                <c:pt idx="1437">
                  <c:v>11.1</c:v>
                </c:pt>
                <c:pt idx="1438">
                  <c:v>10.3</c:v>
                </c:pt>
                <c:pt idx="1439">
                  <c:v>11.066666666666698</c:v>
                </c:pt>
                <c:pt idx="1440">
                  <c:v>11.3</c:v>
                </c:pt>
                <c:pt idx="1441">
                  <c:v>9.56666666666667</c:v>
                </c:pt>
                <c:pt idx="1442">
                  <c:v>9.8000000000000007</c:v>
                </c:pt>
                <c:pt idx="1443">
                  <c:v>11.7</c:v>
                </c:pt>
                <c:pt idx="1444">
                  <c:v>11.1</c:v>
                </c:pt>
                <c:pt idx="1445">
                  <c:v>9.6</c:v>
                </c:pt>
                <c:pt idx="1446">
                  <c:v>9.8000000000000007</c:v>
                </c:pt>
                <c:pt idx="1447">
                  <c:v>9.6999999999999993</c:v>
                </c:pt>
                <c:pt idx="1448">
                  <c:v>9.6999999999999993</c:v>
                </c:pt>
                <c:pt idx="1449">
                  <c:v>11.3</c:v>
                </c:pt>
                <c:pt idx="1450">
                  <c:v>11.3</c:v>
                </c:pt>
                <c:pt idx="1451">
                  <c:v>11</c:v>
                </c:pt>
                <c:pt idx="1452">
                  <c:v>11.6</c:v>
                </c:pt>
                <c:pt idx="1453">
                  <c:v>9</c:v>
                </c:pt>
                <c:pt idx="1454">
                  <c:v>10.9</c:v>
                </c:pt>
                <c:pt idx="1455">
                  <c:v>10.9</c:v>
                </c:pt>
                <c:pt idx="1456">
                  <c:v>10.55</c:v>
                </c:pt>
                <c:pt idx="1457">
                  <c:v>9</c:v>
                </c:pt>
                <c:pt idx="1458">
                  <c:v>10.5</c:v>
                </c:pt>
                <c:pt idx="1459">
                  <c:v>11.9</c:v>
                </c:pt>
                <c:pt idx="1460">
                  <c:v>10.4</c:v>
                </c:pt>
                <c:pt idx="1461">
                  <c:v>10</c:v>
                </c:pt>
                <c:pt idx="1462">
                  <c:v>10.4</c:v>
                </c:pt>
                <c:pt idx="1463">
                  <c:v>10.8</c:v>
                </c:pt>
                <c:pt idx="1464">
                  <c:v>9.6999999999999993</c:v>
                </c:pt>
                <c:pt idx="1465">
                  <c:v>9.6999999999999993</c:v>
                </c:pt>
                <c:pt idx="1466">
                  <c:v>10</c:v>
                </c:pt>
                <c:pt idx="1467">
                  <c:v>11</c:v>
                </c:pt>
                <c:pt idx="1468">
                  <c:v>10</c:v>
                </c:pt>
                <c:pt idx="1469">
                  <c:v>9.6999999999999993</c:v>
                </c:pt>
                <c:pt idx="1470">
                  <c:v>9.6999999999999993</c:v>
                </c:pt>
                <c:pt idx="1471">
                  <c:v>12.6</c:v>
                </c:pt>
                <c:pt idx="1472">
                  <c:v>11.1</c:v>
                </c:pt>
                <c:pt idx="1473">
                  <c:v>11</c:v>
                </c:pt>
                <c:pt idx="1474">
                  <c:v>8.8000000000000007</c:v>
                </c:pt>
                <c:pt idx="1475">
                  <c:v>13.566666666666698</c:v>
                </c:pt>
                <c:pt idx="1476">
                  <c:v>8.8000000000000007</c:v>
                </c:pt>
                <c:pt idx="1477">
                  <c:v>13.6</c:v>
                </c:pt>
                <c:pt idx="1478">
                  <c:v>10.199999999999999</c:v>
                </c:pt>
                <c:pt idx="1479">
                  <c:v>10.6</c:v>
                </c:pt>
                <c:pt idx="1480">
                  <c:v>10.1</c:v>
                </c:pt>
                <c:pt idx="1481">
                  <c:v>10.6</c:v>
                </c:pt>
                <c:pt idx="1482">
                  <c:v>10.3</c:v>
                </c:pt>
                <c:pt idx="1483">
                  <c:v>10.7</c:v>
                </c:pt>
                <c:pt idx="1484">
                  <c:v>10.9</c:v>
                </c:pt>
                <c:pt idx="1485">
                  <c:v>9.6999999999999993</c:v>
                </c:pt>
                <c:pt idx="1486">
                  <c:v>10.3</c:v>
                </c:pt>
                <c:pt idx="1487">
                  <c:v>10.6</c:v>
                </c:pt>
                <c:pt idx="1488">
                  <c:v>11.4</c:v>
                </c:pt>
                <c:pt idx="1489">
                  <c:v>10.8</c:v>
                </c:pt>
                <c:pt idx="1490">
                  <c:v>12.4</c:v>
                </c:pt>
                <c:pt idx="1491">
                  <c:v>11.4</c:v>
                </c:pt>
                <c:pt idx="1492">
                  <c:v>11.95</c:v>
                </c:pt>
                <c:pt idx="1493">
                  <c:v>9.6999999999999993</c:v>
                </c:pt>
                <c:pt idx="1494">
                  <c:v>10</c:v>
                </c:pt>
                <c:pt idx="1495">
                  <c:v>10.6</c:v>
                </c:pt>
                <c:pt idx="1496">
                  <c:v>9.6999999999999993</c:v>
                </c:pt>
                <c:pt idx="1497">
                  <c:v>11.5</c:v>
                </c:pt>
                <c:pt idx="1498">
                  <c:v>10.8</c:v>
                </c:pt>
                <c:pt idx="1499">
                  <c:v>11.5</c:v>
                </c:pt>
                <c:pt idx="1500">
                  <c:v>9.6</c:v>
                </c:pt>
                <c:pt idx="1501">
                  <c:v>9.4</c:v>
                </c:pt>
                <c:pt idx="1502">
                  <c:v>9.8000000000000007</c:v>
                </c:pt>
                <c:pt idx="1503">
                  <c:v>11</c:v>
                </c:pt>
                <c:pt idx="1504">
                  <c:v>11.4</c:v>
                </c:pt>
                <c:pt idx="1505">
                  <c:v>9.9499999999999993</c:v>
                </c:pt>
                <c:pt idx="1506">
                  <c:v>10.8</c:v>
                </c:pt>
                <c:pt idx="1507">
                  <c:v>11.4</c:v>
                </c:pt>
                <c:pt idx="1508">
                  <c:v>10.6</c:v>
                </c:pt>
                <c:pt idx="1509">
                  <c:v>11.1</c:v>
                </c:pt>
                <c:pt idx="1510">
                  <c:v>9.6999999999999993</c:v>
                </c:pt>
                <c:pt idx="1511">
                  <c:v>9.8000000000000007</c:v>
                </c:pt>
                <c:pt idx="1512">
                  <c:v>10.4</c:v>
                </c:pt>
                <c:pt idx="1513">
                  <c:v>10.5</c:v>
                </c:pt>
                <c:pt idx="1514">
                  <c:v>9.2333333333333307</c:v>
                </c:pt>
                <c:pt idx="1515">
                  <c:v>9.25</c:v>
                </c:pt>
                <c:pt idx="1516">
                  <c:v>10.6</c:v>
                </c:pt>
                <c:pt idx="1517">
                  <c:v>10.3</c:v>
                </c:pt>
                <c:pt idx="1518">
                  <c:v>10.5</c:v>
                </c:pt>
                <c:pt idx="1519">
                  <c:v>10.199999999999999</c:v>
                </c:pt>
                <c:pt idx="1520">
                  <c:v>10.3</c:v>
                </c:pt>
                <c:pt idx="1521">
                  <c:v>9.0500000000000007</c:v>
                </c:pt>
                <c:pt idx="1522">
                  <c:v>10.6</c:v>
                </c:pt>
                <c:pt idx="1523">
                  <c:v>10.4</c:v>
                </c:pt>
                <c:pt idx="1524">
                  <c:v>10</c:v>
                </c:pt>
                <c:pt idx="1525">
                  <c:v>9.6999999999999993</c:v>
                </c:pt>
                <c:pt idx="1526">
                  <c:v>9.6</c:v>
                </c:pt>
                <c:pt idx="1527">
                  <c:v>10.8</c:v>
                </c:pt>
                <c:pt idx="1528">
                  <c:v>10.1</c:v>
                </c:pt>
                <c:pt idx="1529">
                  <c:v>10.199999999999999</c:v>
                </c:pt>
                <c:pt idx="1530">
                  <c:v>11.3</c:v>
                </c:pt>
                <c:pt idx="1531">
                  <c:v>10.199999999999999</c:v>
                </c:pt>
                <c:pt idx="1532">
                  <c:v>9.9</c:v>
                </c:pt>
                <c:pt idx="1533">
                  <c:v>9</c:v>
                </c:pt>
                <c:pt idx="1534">
                  <c:v>11.7</c:v>
                </c:pt>
                <c:pt idx="1535">
                  <c:v>9.6999999999999993</c:v>
                </c:pt>
                <c:pt idx="1536">
                  <c:v>10.3</c:v>
                </c:pt>
                <c:pt idx="1537">
                  <c:v>10.199999999999999</c:v>
                </c:pt>
                <c:pt idx="1538">
                  <c:v>12</c:v>
                </c:pt>
                <c:pt idx="1539">
                  <c:v>9.9</c:v>
                </c:pt>
                <c:pt idx="1540">
                  <c:v>11.6</c:v>
                </c:pt>
                <c:pt idx="1541">
                  <c:v>10.9</c:v>
                </c:pt>
                <c:pt idx="1542">
                  <c:v>10.75</c:v>
                </c:pt>
                <c:pt idx="1543">
                  <c:v>10.4</c:v>
                </c:pt>
                <c:pt idx="1544">
                  <c:v>11.2</c:v>
                </c:pt>
                <c:pt idx="1545">
                  <c:v>10.1</c:v>
                </c:pt>
                <c:pt idx="1546">
                  <c:v>10.199999999999999</c:v>
                </c:pt>
                <c:pt idx="1547">
                  <c:v>12.1</c:v>
                </c:pt>
                <c:pt idx="1548">
                  <c:v>10.4</c:v>
                </c:pt>
                <c:pt idx="1549">
                  <c:v>11.4</c:v>
                </c:pt>
                <c:pt idx="1550">
                  <c:v>9.5</c:v>
                </c:pt>
                <c:pt idx="1551">
                  <c:v>9.4</c:v>
                </c:pt>
                <c:pt idx="1552">
                  <c:v>11.3</c:v>
                </c:pt>
                <c:pt idx="1553">
                  <c:v>9.4</c:v>
                </c:pt>
                <c:pt idx="1554">
                  <c:v>11</c:v>
                </c:pt>
                <c:pt idx="1555">
                  <c:v>10.55</c:v>
                </c:pt>
                <c:pt idx="1556">
                  <c:v>9.9</c:v>
                </c:pt>
                <c:pt idx="1557">
                  <c:v>11</c:v>
                </c:pt>
                <c:pt idx="1558">
                  <c:v>9.5</c:v>
                </c:pt>
                <c:pt idx="1559">
                  <c:v>9.9</c:v>
                </c:pt>
                <c:pt idx="1560">
                  <c:v>9.9</c:v>
                </c:pt>
                <c:pt idx="1561">
                  <c:v>9.9</c:v>
                </c:pt>
                <c:pt idx="1562">
                  <c:v>10.1</c:v>
                </c:pt>
                <c:pt idx="1563">
                  <c:v>10.1</c:v>
                </c:pt>
                <c:pt idx="1564">
                  <c:v>10.1</c:v>
                </c:pt>
                <c:pt idx="1565">
                  <c:v>10.9</c:v>
                </c:pt>
                <c:pt idx="1566">
                  <c:v>11.2</c:v>
                </c:pt>
                <c:pt idx="1567">
                  <c:v>10.1</c:v>
                </c:pt>
                <c:pt idx="1568">
                  <c:v>9.1999999999999993</c:v>
                </c:pt>
                <c:pt idx="1569">
                  <c:v>11.5</c:v>
                </c:pt>
                <c:pt idx="1570">
                  <c:v>12.4</c:v>
                </c:pt>
                <c:pt idx="1571">
                  <c:v>11.1</c:v>
                </c:pt>
                <c:pt idx="1572">
                  <c:v>9.5</c:v>
                </c:pt>
                <c:pt idx="1573">
                  <c:v>12.5</c:v>
                </c:pt>
                <c:pt idx="1574">
                  <c:v>10.5</c:v>
                </c:pt>
                <c:pt idx="1575">
                  <c:v>11.8</c:v>
                </c:pt>
                <c:pt idx="1576">
                  <c:v>10.8</c:v>
                </c:pt>
                <c:pt idx="1577">
                  <c:v>11.9</c:v>
                </c:pt>
                <c:pt idx="1578">
                  <c:v>11.3</c:v>
                </c:pt>
                <c:pt idx="1579">
                  <c:v>11.3</c:v>
                </c:pt>
                <c:pt idx="1580">
                  <c:v>11.9</c:v>
                </c:pt>
                <c:pt idx="1581">
                  <c:v>11.3</c:v>
                </c:pt>
                <c:pt idx="1582">
                  <c:v>11.9</c:v>
                </c:pt>
                <c:pt idx="1583">
                  <c:v>9.8000000000000007</c:v>
                </c:pt>
                <c:pt idx="1584">
                  <c:v>11.6</c:v>
                </c:pt>
                <c:pt idx="1585">
                  <c:v>11.5</c:v>
                </c:pt>
                <c:pt idx="1586">
                  <c:v>11.4</c:v>
                </c:pt>
                <c:pt idx="1587">
                  <c:v>10.9</c:v>
                </c:pt>
                <c:pt idx="1588">
                  <c:v>12.8</c:v>
                </c:pt>
                <c:pt idx="1589">
                  <c:v>9.1999999999999993</c:v>
                </c:pt>
                <c:pt idx="1590">
                  <c:v>11.6</c:v>
                </c:pt>
                <c:pt idx="1591">
                  <c:v>11.6</c:v>
                </c:pt>
                <c:pt idx="1592">
                  <c:v>11</c:v>
                </c:pt>
                <c:pt idx="1593">
                  <c:v>9.5</c:v>
                </c:pt>
                <c:pt idx="1594">
                  <c:v>10.5</c:v>
                </c:pt>
                <c:pt idx="1595">
                  <c:v>11.2</c:v>
                </c:pt>
                <c:pt idx="1596">
                  <c:v>11</c:v>
                </c:pt>
                <c:pt idx="1597">
                  <c:v>10.199999999999999</c:v>
                </c:pt>
                <c:pt idx="1598">
                  <c:v>11</c:v>
                </c:pt>
              </c:numCache>
            </c:numRef>
          </c:xVal>
          <c:yVal>
            <c:numRef>
              <c:f>'winequality-red'!$L$2:$L$1600</c:f>
              <c:numCache>
                <c:formatCode>General</c:formatCode>
                <c:ptCount val="1599"/>
                <c:pt idx="0">
                  <c:v>5</c:v>
                </c:pt>
                <c:pt idx="1">
                  <c:v>5</c:v>
                </c:pt>
                <c:pt idx="2">
                  <c:v>5</c:v>
                </c:pt>
                <c:pt idx="3">
                  <c:v>6</c:v>
                </c:pt>
                <c:pt idx="4">
                  <c:v>5</c:v>
                </c:pt>
                <c:pt idx="5">
                  <c:v>5</c:v>
                </c:pt>
                <c:pt idx="6">
                  <c:v>5</c:v>
                </c:pt>
                <c:pt idx="7">
                  <c:v>7</c:v>
                </c:pt>
                <c:pt idx="8">
                  <c:v>7</c:v>
                </c:pt>
                <c:pt idx="9">
                  <c:v>5</c:v>
                </c:pt>
                <c:pt idx="10">
                  <c:v>5</c:v>
                </c:pt>
                <c:pt idx="11">
                  <c:v>5</c:v>
                </c:pt>
                <c:pt idx="12">
                  <c:v>5</c:v>
                </c:pt>
                <c:pt idx="13">
                  <c:v>5</c:v>
                </c:pt>
                <c:pt idx="14">
                  <c:v>5</c:v>
                </c:pt>
                <c:pt idx="15">
                  <c:v>5</c:v>
                </c:pt>
                <c:pt idx="16">
                  <c:v>7</c:v>
                </c:pt>
                <c:pt idx="17">
                  <c:v>5</c:v>
                </c:pt>
                <c:pt idx="18">
                  <c:v>4</c:v>
                </c:pt>
                <c:pt idx="19">
                  <c:v>6</c:v>
                </c:pt>
                <c:pt idx="20">
                  <c:v>6</c:v>
                </c:pt>
                <c:pt idx="21">
                  <c:v>5</c:v>
                </c:pt>
                <c:pt idx="22">
                  <c:v>5</c:v>
                </c:pt>
                <c:pt idx="23">
                  <c:v>5</c:v>
                </c:pt>
                <c:pt idx="24">
                  <c:v>6</c:v>
                </c:pt>
                <c:pt idx="25">
                  <c:v>5</c:v>
                </c:pt>
                <c:pt idx="26">
                  <c:v>5</c:v>
                </c:pt>
                <c:pt idx="27">
                  <c:v>5</c:v>
                </c:pt>
                <c:pt idx="28">
                  <c:v>5</c:v>
                </c:pt>
                <c:pt idx="29">
                  <c:v>6</c:v>
                </c:pt>
                <c:pt idx="30">
                  <c:v>5</c:v>
                </c:pt>
                <c:pt idx="31">
                  <c:v>6</c:v>
                </c:pt>
                <c:pt idx="32">
                  <c:v>5</c:v>
                </c:pt>
                <c:pt idx="33">
                  <c:v>6</c:v>
                </c:pt>
                <c:pt idx="34">
                  <c:v>5</c:v>
                </c:pt>
                <c:pt idx="35">
                  <c:v>6</c:v>
                </c:pt>
                <c:pt idx="36">
                  <c:v>6</c:v>
                </c:pt>
                <c:pt idx="37">
                  <c:v>7</c:v>
                </c:pt>
                <c:pt idx="38">
                  <c:v>4</c:v>
                </c:pt>
                <c:pt idx="39">
                  <c:v>5</c:v>
                </c:pt>
                <c:pt idx="40">
                  <c:v>5</c:v>
                </c:pt>
                <c:pt idx="41">
                  <c:v>4</c:v>
                </c:pt>
                <c:pt idx="42">
                  <c:v>6</c:v>
                </c:pt>
                <c:pt idx="43">
                  <c:v>5</c:v>
                </c:pt>
                <c:pt idx="44">
                  <c:v>5</c:v>
                </c:pt>
                <c:pt idx="45">
                  <c:v>4</c:v>
                </c:pt>
                <c:pt idx="46">
                  <c:v>5</c:v>
                </c:pt>
                <c:pt idx="47">
                  <c:v>5</c:v>
                </c:pt>
                <c:pt idx="48">
                  <c:v>5</c:v>
                </c:pt>
                <c:pt idx="49">
                  <c:v>5</c:v>
                </c:pt>
                <c:pt idx="50">
                  <c:v>5</c:v>
                </c:pt>
                <c:pt idx="51">
                  <c:v>6</c:v>
                </c:pt>
                <c:pt idx="52">
                  <c:v>6</c:v>
                </c:pt>
                <c:pt idx="53">
                  <c:v>5</c:v>
                </c:pt>
                <c:pt idx="54">
                  <c:v>6</c:v>
                </c:pt>
                <c:pt idx="55">
                  <c:v>5</c:v>
                </c:pt>
                <c:pt idx="56">
                  <c:v>5</c:v>
                </c:pt>
                <c:pt idx="57">
                  <c:v>5</c:v>
                </c:pt>
                <c:pt idx="58">
                  <c:v>5</c:v>
                </c:pt>
                <c:pt idx="59">
                  <c:v>6</c:v>
                </c:pt>
                <c:pt idx="60">
                  <c:v>5</c:v>
                </c:pt>
                <c:pt idx="61">
                  <c:v>5</c:v>
                </c:pt>
                <c:pt idx="62">
                  <c:v>7</c:v>
                </c:pt>
                <c:pt idx="63">
                  <c:v>5</c:v>
                </c:pt>
                <c:pt idx="64">
                  <c:v>5</c:v>
                </c:pt>
                <c:pt idx="65">
                  <c:v>5</c:v>
                </c:pt>
                <c:pt idx="66">
                  <c:v>5</c:v>
                </c:pt>
                <c:pt idx="67">
                  <c:v>5</c:v>
                </c:pt>
                <c:pt idx="68">
                  <c:v>5</c:v>
                </c:pt>
                <c:pt idx="69">
                  <c:v>6</c:v>
                </c:pt>
                <c:pt idx="70">
                  <c:v>6</c:v>
                </c:pt>
                <c:pt idx="71">
                  <c:v>5</c:v>
                </c:pt>
                <c:pt idx="72">
                  <c:v>5</c:v>
                </c:pt>
                <c:pt idx="73">
                  <c:v>4</c:v>
                </c:pt>
                <c:pt idx="74">
                  <c:v>5</c:v>
                </c:pt>
                <c:pt idx="75">
                  <c:v>5</c:v>
                </c:pt>
                <c:pt idx="76">
                  <c:v>5</c:v>
                </c:pt>
                <c:pt idx="77">
                  <c:v>6</c:v>
                </c:pt>
                <c:pt idx="78">
                  <c:v>5</c:v>
                </c:pt>
                <c:pt idx="79">
                  <c:v>4</c:v>
                </c:pt>
                <c:pt idx="80">
                  <c:v>5</c:v>
                </c:pt>
                <c:pt idx="81">
                  <c:v>5</c:v>
                </c:pt>
                <c:pt idx="82">
                  <c:v>5</c:v>
                </c:pt>
                <c:pt idx="83">
                  <c:v>5</c:v>
                </c:pt>
                <c:pt idx="84">
                  <c:v>6</c:v>
                </c:pt>
                <c:pt idx="85">
                  <c:v>5</c:v>
                </c:pt>
                <c:pt idx="86">
                  <c:v>6</c:v>
                </c:pt>
                <c:pt idx="87">
                  <c:v>5</c:v>
                </c:pt>
                <c:pt idx="88">
                  <c:v>5</c:v>
                </c:pt>
                <c:pt idx="89">
                  <c:v>5</c:v>
                </c:pt>
                <c:pt idx="90">
                  <c:v>5</c:v>
                </c:pt>
                <c:pt idx="91">
                  <c:v>6</c:v>
                </c:pt>
                <c:pt idx="92">
                  <c:v>5</c:v>
                </c:pt>
                <c:pt idx="93">
                  <c:v>5</c:v>
                </c:pt>
                <c:pt idx="94">
                  <c:v>4</c:v>
                </c:pt>
                <c:pt idx="95">
                  <c:v>6</c:v>
                </c:pt>
                <c:pt idx="96">
                  <c:v>5</c:v>
                </c:pt>
                <c:pt idx="97">
                  <c:v>5</c:v>
                </c:pt>
                <c:pt idx="98">
                  <c:v>5</c:v>
                </c:pt>
                <c:pt idx="99">
                  <c:v>6</c:v>
                </c:pt>
                <c:pt idx="100">
                  <c:v>6</c:v>
                </c:pt>
                <c:pt idx="101">
                  <c:v>6</c:v>
                </c:pt>
                <c:pt idx="102">
                  <c:v>6</c:v>
                </c:pt>
                <c:pt idx="103">
                  <c:v>5</c:v>
                </c:pt>
                <c:pt idx="104">
                  <c:v>5</c:v>
                </c:pt>
                <c:pt idx="105">
                  <c:v>5</c:v>
                </c:pt>
                <c:pt idx="106">
                  <c:v>5</c:v>
                </c:pt>
                <c:pt idx="107">
                  <c:v>5</c:v>
                </c:pt>
                <c:pt idx="108">
                  <c:v>6</c:v>
                </c:pt>
                <c:pt idx="109">
                  <c:v>5</c:v>
                </c:pt>
                <c:pt idx="110">
                  <c:v>5</c:v>
                </c:pt>
                <c:pt idx="111">
                  <c:v>5</c:v>
                </c:pt>
                <c:pt idx="112">
                  <c:v>5</c:v>
                </c:pt>
                <c:pt idx="113">
                  <c:v>6</c:v>
                </c:pt>
                <c:pt idx="114">
                  <c:v>5</c:v>
                </c:pt>
                <c:pt idx="115">
                  <c:v>6</c:v>
                </c:pt>
                <c:pt idx="116">
                  <c:v>6</c:v>
                </c:pt>
                <c:pt idx="117">
                  <c:v>6</c:v>
                </c:pt>
                <c:pt idx="118">
                  <c:v>6</c:v>
                </c:pt>
                <c:pt idx="119">
                  <c:v>6</c:v>
                </c:pt>
                <c:pt idx="120">
                  <c:v>5</c:v>
                </c:pt>
                <c:pt idx="121">
                  <c:v>6</c:v>
                </c:pt>
                <c:pt idx="122">
                  <c:v>5</c:v>
                </c:pt>
                <c:pt idx="123">
                  <c:v>5</c:v>
                </c:pt>
                <c:pt idx="124">
                  <c:v>5</c:v>
                </c:pt>
                <c:pt idx="125">
                  <c:v>5</c:v>
                </c:pt>
                <c:pt idx="126">
                  <c:v>5</c:v>
                </c:pt>
                <c:pt idx="127">
                  <c:v>5</c:v>
                </c:pt>
                <c:pt idx="128">
                  <c:v>7</c:v>
                </c:pt>
                <c:pt idx="129">
                  <c:v>5</c:v>
                </c:pt>
                <c:pt idx="130">
                  <c:v>5</c:v>
                </c:pt>
                <c:pt idx="131">
                  <c:v>5</c:v>
                </c:pt>
                <c:pt idx="132">
                  <c:v>5</c:v>
                </c:pt>
                <c:pt idx="133">
                  <c:v>6</c:v>
                </c:pt>
                <c:pt idx="134">
                  <c:v>6</c:v>
                </c:pt>
                <c:pt idx="135">
                  <c:v>5</c:v>
                </c:pt>
                <c:pt idx="136">
                  <c:v>5</c:v>
                </c:pt>
                <c:pt idx="137">
                  <c:v>5</c:v>
                </c:pt>
                <c:pt idx="138">
                  <c:v>5</c:v>
                </c:pt>
                <c:pt idx="139">
                  <c:v>5</c:v>
                </c:pt>
                <c:pt idx="140">
                  <c:v>5</c:v>
                </c:pt>
                <c:pt idx="141">
                  <c:v>5</c:v>
                </c:pt>
                <c:pt idx="142">
                  <c:v>6</c:v>
                </c:pt>
                <c:pt idx="143">
                  <c:v>5</c:v>
                </c:pt>
                <c:pt idx="144">
                  <c:v>6</c:v>
                </c:pt>
                <c:pt idx="145">
                  <c:v>5</c:v>
                </c:pt>
                <c:pt idx="146">
                  <c:v>5</c:v>
                </c:pt>
                <c:pt idx="147">
                  <c:v>5</c:v>
                </c:pt>
                <c:pt idx="148">
                  <c:v>6</c:v>
                </c:pt>
                <c:pt idx="149">
                  <c:v>6</c:v>
                </c:pt>
                <c:pt idx="150">
                  <c:v>6</c:v>
                </c:pt>
                <c:pt idx="151">
                  <c:v>4</c:v>
                </c:pt>
                <c:pt idx="152">
                  <c:v>5</c:v>
                </c:pt>
                <c:pt idx="153">
                  <c:v>5</c:v>
                </c:pt>
                <c:pt idx="154">
                  <c:v>5</c:v>
                </c:pt>
                <c:pt idx="155">
                  <c:v>5</c:v>
                </c:pt>
                <c:pt idx="156">
                  <c:v>5</c:v>
                </c:pt>
                <c:pt idx="157">
                  <c:v>5</c:v>
                </c:pt>
                <c:pt idx="158">
                  <c:v>5</c:v>
                </c:pt>
                <c:pt idx="159">
                  <c:v>6</c:v>
                </c:pt>
                <c:pt idx="160">
                  <c:v>5</c:v>
                </c:pt>
                <c:pt idx="161">
                  <c:v>4</c:v>
                </c:pt>
                <c:pt idx="162">
                  <c:v>6</c:v>
                </c:pt>
                <c:pt idx="163">
                  <c:v>5</c:v>
                </c:pt>
                <c:pt idx="164">
                  <c:v>5</c:v>
                </c:pt>
                <c:pt idx="165">
                  <c:v>5</c:v>
                </c:pt>
                <c:pt idx="166">
                  <c:v>5</c:v>
                </c:pt>
                <c:pt idx="167">
                  <c:v>4</c:v>
                </c:pt>
                <c:pt idx="168">
                  <c:v>6</c:v>
                </c:pt>
                <c:pt idx="169">
                  <c:v>5</c:v>
                </c:pt>
                <c:pt idx="170">
                  <c:v>4</c:v>
                </c:pt>
                <c:pt idx="171">
                  <c:v>6</c:v>
                </c:pt>
                <c:pt idx="172">
                  <c:v>6</c:v>
                </c:pt>
                <c:pt idx="173">
                  <c:v>6</c:v>
                </c:pt>
                <c:pt idx="174">
                  <c:v>5</c:v>
                </c:pt>
                <c:pt idx="175">
                  <c:v>5</c:v>
                </c:pt>
                <c:pt idx="176">
                  <c:v>5</c:v>
                </c:pt>
                <c:pt idx="177">
                  <c:v>6</c:v>
                </c:pt>
                <c:pt idx="178">
                  <c:v>5</c:v>
                </c:pt>
                <c:pt idx="179">
                  <c:v>5</c:v>
                </c:pt>
                <c:pt idx="180">
                  <c:v>5</c:v>
                </c:pt>
                <c:pt idx="181">
                  <c:v>5</c:v>
                </c:pt>
                <c:pt idx="182">
                  <c:v>5</c:v>
                </c:pt>
                <c:pt idx="183">
                  <c:v>5</c:v>
                </c:pt>
                <c:pt idx="184">
                  <c:v>6</c:v>
                </c:pt>
                <c:pt idx="185">
                  <c:v>5</c:v>
                </c:pt>
                <c:pt idx="186">
                  <c:v>5</c:v>
                </c:pt>
                <c:pt idx="187">
                  <c:v>5</c:v>
                </c:pt>
                <c:pt idx="188">
                  <c:v>5</c:v>
                </c:pt>
                <c:pt idx="189">
                  <c:v>5</c:v>
                </c:pt>
                <c:pt idx="190">
                  <c:v>5</c:v>
                </c:pt>
                <c:pt idx="191">
                  <c:v>6</c:v>
                </c:pt>
                <c:pt idx="192">
                  <c:v>5</c:v>
                </c:pt>
                <c:pt idx="193">
                  <c:v>5</c:v>
                </c:pt>
                <c:pt idx="194">
                  <c:v>5</c:v>
                </c:pt>
                <c:pt idx="195">
                  <c:v>5</c:v>
                </c:pt>
                <c:pt idx="196">
                  <c:v>5</c:v>
                </c:pt>
                <c:pt idx="197">
                  <c:v>6</c:v>
                </c:pt>
                <c:pt idx="198">
                  <c:v>7</c:v>
                </c:pt>
                <c:pt idx="199">
                  <c:v>4</c:v>
                </c:pt>
                <c:pt idx="200">
                  <c:v>7</c:v>
                </c:pt>
                <c:pt idx="201">
                  <c:v>5</c:v>
                </c:pt>
                <c:pt idx="202">
                  <c:v>5</c:v>
                </c:pt>
                <c:pt idx="203">
                  <c:v>5</c:v>
                </c:pt>
                <c:pt idx="204">
                  <c:v>6</c:v>
                </c:pt>
                <c:pt idx="205">
                  <c:v>7</c:v>
                </c:pt>
                <c:pt idx="206">
                  <c:v>7</c:v>
                </c:pt>
                <c:pt idx="207">
                  <c:v>5</c:v>
                </c:pt>
                <c:pt idx="208">
                  <c:v>5</c:v>
                </c:pt>
                <c:pt idx="209">
                  <c:v>7</c:v>
                </c:pt>
                <c:pt idx="210">
                  <c:v>6</c:v>
                </c:pt>
                <c:pt idx="211">
                  <c:v>6</c:v>
                </c:pt>
                <c:pt idx="212">
                  <c:v>6</c:v>
                </c:pt>
                <c:pt idx="213">
                  <c:v>5</c:v>
                </c:pt>
                <c:pt idx="214">
                  <c:v>6</c:v>
                </c:pt>
                <c:pt idx="215">
                  <c:v>5</c:v>
                </c:pt>
                <c:pt idx="216">
                  <c:v>5</c:v>
                </c:pt>
                <c:pt idx="217">
                  <c:v>5</c:v>
                </c:pt>
                <c:pt idx="218">
                  <c:v>5</c:v>
                </c:pt>
                <c:pt idx="219">
                  <c:v>5</c:v>
                </c:pt>
                <c:pt idx="220">
                  <c:v>6</c:v>
                </c:pt>
                <c:pt idx="221">
                  <c:v>5</c:v>
                </c:pt>
                <c:pt idx="222">
                  <c:v>5</c:v>
                </c:pt>
                <c:pt idx="223">
                  <c:v>6</c:v>
                </c:pt>
                <c:pt idx="224">
                  <c:v>4</c:v>
                </c:pt>
                <c:pt idx="225">
                  <c:v>6</c:v>
                </c:pt>
                <c:pt idx="226">
                  <c:v>6</c:v>
                </c:pt>
                <c:pt idx="227">
                  <c:v>5</c:v>
                </c:pt>
                <c:pt idx="228">
                  <c:v>6</c:v>
                </c:pt>
                <c:pt idx="229">
                  <c:v>5</c:v>
                </c:pt>
                <c:pt idx="230">
                  <c:v>7</c:v>
                </c:pt>
                <c:pt idx="231">
                  <c:v>6</c:v>
                </c:pt>
                <c:pt idx="232">
                  <c:v>6</c:v>
                </c:pt>
                <c:pt idx="233">
                  <c:v>5</c:v>
                </c:pt>
                <c:pt idx="234">
                  <c:v>6</c:v>
                </c:pt>
                <c:pt idx="235">
                  <c:v>6</c:v>
                </c:pt>
                <c:pt idx="236">
                  <c:v>6</c:v>
                </c:pt>
                <c:pt idx="237">
                  <c:v>6</c:v>
                </c:pt>
                <c:pt idx="238">
                  <c:v>6</c:v>
                </c:pt>
                <c:pt idx="239">
                  <c:v>6</c:v>
                </c:pt>
                <c:pt idx="240">
                  <c:v>5</c:v>
                </c:pt>
                <c:pt idx="241">
                  <c:v>6</c:v>
                </c:pt>
                <c:pt idx="242">
                  <c:v>6</c:v>
                </c:pt>
                <c:pt idx="243">
                  <c:v>7</c:v>
                </c:pt>
                <c:pt idx="244">
                  <c:v>7</c:v>
                </c:pt>
                <c:pt idx="245">
                  <c:v>6</c:v>
                </c:pt>
                <c:pt idx="246">
                  <c:v>5</c:v>
                </c:pt>
                <c:pt idx="247">
                  <c:v>5</c:v>
                </c:pt>
                <c:pt idx="248">
                  <c:v>6</c:v>
                </c:pt>
                <c:pt idx="249">
                  <c:v>6</c:v>
                </c:pt>
                <c:pt idx="250">
                  <c:v>6</c:v>
                </c:pt>
                <c:pt idx="251">
                  <c:v>6</c:v>
                </c:pt>
                <c:pt idx="252">
                  <c:v>5</c:v>
                </c:pt>
                <c:pt idx="253">
                  <c:v>5</c:v>
                </c:pt>
                <c:pt idx="254">
                  <c:v>6</c:v>
                </c:pt>
                <c:pt idx="255">
                  <c:v>5</c:v>
                </c:pt>
                <c:pt idx="256">
                  <c:v>5</c:v>
                </c:pt>
                <c:pt idx="257">
                  <c:v>5</c:v>
                </c:pt>
                <c:pt idx="258">
                  <c:v>5</c:v>
                </c:pt>
                <c:pt idx="259">
                  <c:v>7</c:v>
                </c:pt>
                <c:pt idx="260">
                  <c:v>5</c:v>
                </c:pt>
                <c:pt idx="261">
                  <c:v>4</c:v>
                </c:pt>
                <c:pt idx="262">
                  <c:v>5</c:v>
                </c:pt>
                <c:pt idx="263">
                  <c:v>5</c:v>
                </c:pt>
                <c:pt idx="264">
                  <c:v>5</c:v>
                </c:pt>
                <c:pt idx="265">
                  <c:v>7</c:v>
                </c:pt>
                <c:pt idx="266">
                  <c:v>4</c:v>
                </c:pt>
                <c:pt idx="267">
                  <c:v>8</c:v>
                </c:pt>
                <c:pt idx="268">
                  <c:v>6</c:v>
                </c:pt>
                <c:pt idx="269">
                  <c:v>6</c:v>
                </c:pt>
                <c:pt idx="270">
                  <c:v>6</c:v>
                </c:pt>
                <c:pt idx="271">
                  <c:v>6</c:v>
                </c:pt>
                <c:pt idx="272">
                  <c:v>5</c:v>
                </c:pt>
                <c:pt idx="273">
                  <c:v>5</c:v>
                </c:pt>
                <c:pt idx="274">
                  <c:v>5</c:v>
                </c:pt>
                <c:pt idx="275">
                  <c:v>6</c:v>
                </c:pt>
                <c:pt idx="276">
                  <c:v>6</c:v>
                </c:pt>
                <c:pt idx="277">
                  <c:v>6</c:v>
                </c:pt>
                <c:pt idx="278">
                  <c:v>8</c:v>
                </c:pt>
                <c:pt idx="279">
                  <c:v>7</c:v>
                </c:pt>
                <c:pt idx="280">
                  <c:v>6</c:v>
                </c:pt>
                <c:pt idx="281">
                  <c:v>7</c:v>
                </c:pt>
                <c:pt idx="282">
                  <c:v>5</c:v>
                </c:pt>
                <c:pt idx="283">
                  <c:v>7</c:v>
                </c:pt>
                <c:pt idx="284">
                  <c:v>5</c:v>
                </c:pt>
                <c:pt idx="285">
                  <c:v>5</c:v>
                </c:pt>
                <c:pt idx="286">
                  <c:v>6</c:v>
                </c:pt>
                <c:pt idx="287">
                  <c:v>6</c:v>
                </c:pt>
                <c:pt idx="288">
                  <c:v>7</c:v>
                </c:pt>
                <c:pt idx="289">
                  <c:v>5</c:v>
                </c:pt>
                <c:pt idx="290">
                  <c:v>7</c:v>
                </c:pt>
                <c:pt idx="291">
                  <c:v>5</c:v>
                </c:pt>
                <c:pt idx="292">
                  <c:v>6</c:v>
                </c:pt>
                <c:pt idx="293">
                  <c:v>6</c:v>
                </c:pt>
                <c:pt idx="294">
                  <c:v>6</c:v>
                </c:pt>
                <c:pt idx="295">
                  <c:v>5</c:v>
                </c:pt>
                <c:pt idx="296">
                  <c:v>5</c:v>
                </c:pt>
                <c:pt idx="297">
                  <c:v>5</c:v>
                </c:pt>
                <c:pt idx="298">
                  <c:v>5</c:v>
                </c:pt>
                <c:pt idx="299">
                  <c:v>5</c:v>
                </c:pt>
                <c:pt idx="300">
                  <c:v>6</c:v>
                </c:pt>
                <c:pt idx="301">
                  <c:v>6</c:v>
                </c:pt>
                <c:pt idx="302">
                  <c:v>5</c:v>
                </c:pt>
                <c:pt idx="303">
                  <c:v>5</c:v>
                </c:pt>
                <c:pt idx="304">
                  <c:v>5</c:v>
                </c:pt>
                <c:pt idx="305">
                  <c:v>6</c:v>
                </c:pt>
                <c:pt idx="306">
                  <c:v>5</c:v>
                </c:pt>
                <c:pt idx="307">
                  <c:v>6</c:v>
                </c:pt>
                <c:pt idx="308">
                  <c:v>6</c:v>
                </c:pt>
                <c:pt idx="309">
                  <c:v>6</c:v>
                </c:pt>
                <c:pt idx="310">
                  <c:v>6</c:v>
                </c:pt>
                <c:pt idx="311">
                  <c:v>6</c:v>
                </c:pt>
                <c:pt idx="312">
                  <c:v>6</c:v>
                </c:pt>
                <c:pt idx="313">
                  <c:v>5</c:v>
                </c:pt>
                <c:pt idx="314">
                  <c:v>5</c:v>
                </c:pt>
                <c:pt idx="315">
                  <c:v>6</c:v>
                </c:pt>
                <c:pt idx="316">
                  <c:v>5</c:v>
                </c:pt>
                <c:pt idx="317">
                  <c:v>6</c:v>
                </c:pt>
                <c:pt idx="318">
                  <c:v>7</c:v>
                </c:pt>
                <c:pt idx="319">
                  <c:v>6</c:v>
                </c:pt>
                <c:pt idx="320">
                  <c:v>7</c:v>
                </c:pt>
                <c:pt idx="321">
                  <c:v>5</c:v>
                </c:pt>
                <c:pt idx="322">
                  <c:v>5</c:v>
                </c:pt>
                <c:pt idx="323">
                  <c:v>6</c:v>
                </c:pt>
                <c:pt idx="324">
                  <c:v>6</c:v>
                </c:pt>
                <c:pt idx="325">
                  <c:v>6</c:v>
                </c:pt>
                <c:pt idx="326">
                  <c:v>7</c:v>
                </c:pt>
                <c:pt idx="327">
                  <c:v>5</c:v>
                </c:pt>
                <c:pt idx="328">
                  <c:v>6</c:v>
                </c:pt>
                <c:pt idx="329">
                  <c:v>5</c:v>
                </c:pt>
                <c:pt idx="330">
                  <c:v>6</c:v>
                </c:pt>
                <c:pt idx="331">
                  <c:v>6</c:v>
                </c:pt>
                <c:pt idx="332">
                  <c:v>6</c:v>
                </c:pt>
                <c:pt idx="333">
                  <c:v>5</c:v>
                </c:pt>
                <c:pt idx="334">
                  <c:v>7</c:v>
                </c:pt>
                <c:pt idx="335">
                  <c:v>7</c:v>
                </c:pt>
                <c:pt idx="336">
                  <c:v>6</c:v>
                </c:pt>
                <c:pt idx="337">
                  <c:v>5</c:v>
                </c:pt>
                <c:pt idx="338">
                  <c:v>6</c:v>
                </c:pt>
                <c:pt idx="339">
                  <c:v>7</c:v>
                </c:pt>
                <c:pt idx="340">
                  <c:v>6</c:v>
                </c:pt>
                <c:pt idx="341">
                  <c:v>6</c:v>
                </c:pt>
                <c:pt idx="342">
                  <c:v>6</c:v>
                </c:pt>
                <c:pt idx="343">
                  <c:v>6</c:v>
                </c:pt>
                <c:pt idx="344">
                  <c:v>6</c:v>
                </c:pt>
                <c:pt idx="345">
                  <c:v>5</c:v>
                </c:pt>
                <c:pt idx="346">
                  <c:v>7</c:v>
                </c:pt>
                <c:pt idx="347">
                  <c:v>6</c:v>
                </c:pt>
                <c:pt idx="348">
                  <c:v>6</c:v>
                </c:pt>
                <c:pt idx="349">
                  <c:v>6</c:v>
                </c:pt>
                <c:pt idx="350">
                  <c:v>6</c:v>
                </c:pt>
                <c:pt idx="351">
                  <c:v>6</c:v>
                </c:pt>
                <c:pt idx="352">
                  <c:v>5</c:v>
                </c:pt>
                <c:pt idx="353">
                  <c:v>5</c:v>
                </c:pt>
                <c:pt idx="354">
                  <c:v>6</c:v>
                </c:pt>
                <c:pt idx="355">
                  <c:v>6</c:v>
                </c:pt>
                <c:pt idx="356">
                  <c:v>5</c:v>
                </c:pt>
                <c:pt idx="357">
                  <c:v>7</c:v>
                </c:pt>
                <c:pt idx="358">
                  <c:v>7</c:v>
                </c:pt>
                <c:pt idx="359">
                  <c:v>6</c:v>
                </c:pt>
                <c:pt idx="360">
                  <c:v>5</c:v>
                </c:pt>
                <c:pt idx="361">
                  <c:v>6</c:v>
                </c:pt>
                <c:pt idx="362">
                  <c:v>5</c:v>
                </c:pt>
                <c:pt idx="363">
                  <c:v>5</c:v>
                </c:pt>
                <c:pt idx="364">
                  <c:v>7</c:v>
                </c:pt>
                <c:pt idx="365">
                  <c:v>6</c:v>
                </c:pt>
                <c:pt idx="366">
                  <c:v>7</c:v>
                </c:pt>
                <c:pt idx="367">
                  <c:v>5</c:v>
                </c:pt>
                <c:pt idx="368">
                  <c:v>5</c:v>
                </c:pt>
                <c:pt idx="369">
                  <c:v>7</c:v>
                </c:pt>
                <c:pt idx="370">
                  <c:v>5</c:v>
                </c:pt>
                <c:pt idx="371">
                  <c:v>6</c:v>
                </c:pt>
                <c:pt idx="372">
                  <c:v>6</c:v>
                </c:pt>
                <c:pt idx="373">
                  <c:v>5</c:v>
                </c:pt>
                <c:pt idx="374">
                  <c:v>6</c:v>
                </c:pt>
                <c:pt idx="375">
                  <c:v>7</c:v>
                </c:pt>
                <c:pt idx="376">
                  <c:v>6</c:v>
                </c:pt>
                <c:pt idx="377">
                  <c:v>7</c:v>
                </c:pt>
                <c:pt idx="378">
                  <c:v>6</c:v>
                </c:pt>
                <c:pt idx="379">
                  <c:v>6</c:v>
                </c:pt>
                <c:pt idx="380">
                  <c:v>6</c:v>
                </c:pt>
                <c:pt idx="381">
                  <c:v>6</c:v>
                </c:pt>
                <c:pt idx="382">
                  <c:v>6</c:v>
                </c:pt>
                <c:pt idx="383">
                  <c:v>6</c:v>
                </c:pt>
                <c:pt idx="384">
                  <c:v>5</c:v>
                </c:pt>
                <c:pt idx="385">
                  <c:v>6</c:v>
                </c:pt>
                <c:pt idx="386">
                  <c:v>6</c:v>
                </c:pt>
                <c:pt idx="387">
                  <c:v>6</c:v>
                </c:pt>
                <c:pt idx="388">
                  <c:v>6</c:v>
                </c:pt>
                <c:pt idx="389">
                  <c:v>7</c:v>
                </c:pt>
                <c:pt idx="390">
                  <c:v>8</c:v>
                </c:pt>
                <c:pt idx="391">
                  <c:v>6</c:v>
                </c:pt>
                <c:pt idx="392">
                  <c:v>5</c:v>
                </c:pt>
                <c:pt idx="393">
                  <c:v>5</c:v>
                </c:pt>
                <c:pt idx="394">
                  <c:v>5</c:v>
                </c:pt>
                <c:pt idx="395">
                  <c:v>7</c:v>
                </c:pt>
                <c:pt idx="396">
                  <c:v>5</c:v>
                </c:pt>
                <c:pt idx="397">
                  <c:v>6</c:v>
                </c:pt>
                <c:pt idx="398">
                  <c:v>6</c:v>
                </c:pt>
                <c:pt idx="399">
                  <c:v>5</c:v>
                </c:pt>
                <c:pt idx="400">
                  <c:v>5</c:v>
                </c:pt>
                <c:pt idx="401">
                  <c:v>6</c:v>
                </c:pt>
                <c:pt idx="402">
                  <c:v>6</c:v>
                </c:pt>
                <c:pt idx="403">
                  <c:v>6</c:v>
                </c:pt>
                <c:pt idx="404">
                  <c:v>5</c:v>
                </c:pt>
                <c:pt idx="405">
                  <c:v>6</c:v>
                </c:pt>
                <c:pt idx="406">
                  <c:v>6</c:v>
                </c:pt>
                <c:pt idx="407">
                  <c:v>7</c:v>
                </c:pt>
                <c:pt idx="408">
                  <c:v>6</c:v>
                </c:pt>
                <c:pt idx="409">
                  <c:v>4</c:v>
                </c:pt>
                <c:pt idx="410">
                  <c:v>6</c:v>
                </c:pt>
                <c:pt idx="411">
                  <c:v>5</c:v>
                </c:pt>
                <c:pt idx="412">
                  <c:v>5</c:v>
                </c:pt>
                <c:pt idx="413">
                  <c:v>7</c:v>
                </c:pt>
                <c:pt idx="414">
                  <c:v>5</c:v>
                </c:pt>
                <c:pt idx="415">
                  <c:v>5</c:v>
                </c:pt>
                <c:pt idx="416">
                  <c:v>6</c:v>
                </c:pt>
                <c:pt idx="417">
                  <c:v>5</c:v>
                </c:pt>
                <c:pt idx="418">
                  <c:v>6</c:v>
                </c:pt>
                <c:pt idx="419">
                  <c:v>5</c:v>
                </c:pt>
                <c:pt idx="420">
                  <c:v>7</c:v>
                </c:pt>
                <c:pt idx="421">
                  <c:v>7</c:v>
                </c:pt>
                <c:pt idx="422">
                  <c:v>5</c:v>
                </c:pt>
                <c:pt idx="423">
                  <c:v>7</c:v>
                </c:pt>
                <c:pt idx="424">
                  <c:v>5</c:v>
                </c:pt>
                <c:pt idx="425">
                  <c:v>7</c:v>
                </c:pt>
                <c:pt idx="426">
                  <c:v>6</c:v>
                </c:pt>
                <c:pt idx="427">
                  <c:v>6</c:v>
                </c:pt>
                <c:pt idx="428">
                  <c:v>5</c:v>
                </c:pt>
                <c:pt idx="429">
                  <c:v>6</c:v>
                </c:pt>
                <c:pt idx="430">
                  <c:v>7</c:v>
                </c:pt>
                <c:pt idx="431">
                  <c:v>5</c:v>
                </c:pt>
                <c:pt idx="432">
                  <c:v>6</c:v>
                </c:pt>
                <c:pt idx="433">
                  <c:v>5</c:v>
                </c:pt>
                <c:pt idx="434">
                  <c:v>6</c:v>
                </c:pt>
                <c:pt idx="435">
                  <c:v>5</c:v>
                </c:pt>
                <c:pt idx="436">
                  <c:v>6</c:v>
                </c:pt>
                <c:pt idx="437">
                  <c:v>6</c:v>
                </c:pt>
                <c:pt idx="438">
                  <c:v>6</c:v>
                </c:pt>
                <c:pt idx="439">
                  <c:v>5</c:v>
                </c:pt>
                <c:pt idx="440">
                  <c:v>8</c:v>
                </c:pt>
                <c:pt idx="441">
                  <c:v>6</c:v>
                </c:pt>
                <c:pt idx="442">
                  <c:v>7</c:v>
                </c:pt>
                <c:pt idx="443">
                  <c:v>7</c:v>
                </c:pt>
                <c:pt idx="444">
                  <c:v>7</c:v>
                </c:pt>
                <c:pt idx="445">
                  <c:v>6</c:v>
                </c:pt>
                <c:pt idx="446">
                  <c:v>5</c:v>
                </c:pt>
                <c:pt idx="447">
                  <c:v>5</c:v>
                </c:pt>
                <c:pt idx="448">
                  <c:v>6</c:v>
                </c:pt>
                <c:pt idx="449">
                  <c:v>6</c:v>
                </c:pt>
                <c:pt idx="450">
                  <c:v>6</c:v>
                </c:pt>
                <c:pt idx="451">
                  <c:v>6</c:v>
                </c:pt>
                <c:pt idx="452">
                  <c:v>6</c:v>
                </c:pt>
                <c:pt idx="453">
                  <c:v>7</c:v>
                </c:pt>
                <c:pt idx="454">
                  <c:v>5</c:v>
                </c:pt>
                <c:pt idx="455">
                  <c:v>8</c:v>
                </c:pt>
                <c:pt idx="456">
                  <c:v>5</c:v>
                </c:pt>
                <c:pt idx="457">
                  <c:v>5</c:v>
                </c:pt>
                <c:pt idx="458">
                  <c:v>7</c:v>
                </c:pt>
                <c:pt idx="459">
                  <c:v>3</c:v>
                </c:pt>
                <c:pt idx="460">
                  <c:v>6</c:v>
                </c:pt>
                <c:pt idx="461">
                  <c:v>5</c:v>
                </c:pt>
                <c:pt idx="462">
                  <c:v>5</c:v>
                </c:pt>
                <c:pt idx="463">
                  <c:v>5</c:v>
                </c:pt>
                <c:pt idx="464">
                  <c:v>6</c:v>
                </c:pt>
                <c:pt idx="465">
                  <c:v>5</c:v>
                </c:pt>
                <c:pt idx="466">
                  <c:v>6</c:v>
                </c:pt>
                <c:pt idx="467">
                  <c:v>6</c:v>
                </c:pt>
                <c:pt idx="468">
                  <c:v>6</c:v>
                </c:pt>
                <c:pt idx="469">
                  <c:v>5</c:v>
                </c:pt>
                <c:pt idx="470">
                  <c:v>5</c:v>
                </c:pt>
                <c:pt idx="471">
                  <c:v>6</c:v>
                </c:pt>
                <c:pt idx="472">
                  <c:v>6</c:v>
                </c:pt>
                <c:pt idx="473">
                  <c:v>5</c:v>
                </c:pt>
                <c:pt idx="474">
                  <c:v>6</c:v>
                </c:pt>
                <c:pt idx="475">
                  <c:v>5</c:v>
                </c:pt>
                <c:pt idx="476">
                  <c:v>5</c:v>
                </c:pt>
                <c:pt idx="477">
                  <c:v>6</c:v>
                </c:pt>
                <c:pt idx="478">
                  <c:v>5</c:v>
                </c:pt>
                <c:pt idx="479">
                  <c:v>6</c:v>
                </c:pt>
                <c:pt idx="480">
                  <c:v>5</c:v>
                </c:pt>
                <c:pt idx="481">
                  <c:v>8</c:v>
                </c:pt>
                <c:pt idx="482">
                  <c:v>5</c:v>
                </c:pt>
                <c:pt idx="483">
                  <c:v>5</c:v>
                </c:pt>
                <c:pt idx="484">
                  <c:v>6</c:v>
                </c:pt>
                <c:pt idx="485">
                  <c:v>5</c:v>
                </c:pt>
                <c:pt idx="486">
                  <c:v>5</c:v>
                </c:pt>
                <c:pt idx="487">
                  <c:v>6</c:v>
                </c:pt>
                <c:pt idx="488">
                  <c:v>7</c:v>
                </c:pt>
                <c:pt idx="489">
                  <c:v>6</c:v>
                </c:pt>
                <c:pt idx="490">
                  <c:v>6</c:v>
                </c:pt>
                <c:pt idx="491">
                  <c:v>7</c:v>
                </c:pt>
                <c:pt idx="492">
                  <c:v>7</c:v>
                </c:pt>
                <c:pt idx="493">
                  <c:v>6</c:v>
                </c:pt>
                <c:pt idx="494">
                  <c:v>6</c:v>
                </c:pt>
                <c:pt idx="495">
                  <c:v>8</c:v>
                </c:pt>
                <c:pt idx="496">
                  <c:v>6</c:v>
                </c:pt>
                <c:pt idx="497">
                  <c:v>5</c:v>
                </c:pt>
                <c:pt idx="498">
                  <c:v>8</c:v>
                </c:pt>
                <c:pt idx="499">
                  <c:v>6</c:v>
                </c:pt>
                <c:pt idx="500">
                  <c:v>6</c:v>
                </c:pt>
                <c:pt idx="501">
                  <c:v>7</c:v>
                </c:pt>
                <c:pt idx="502">
                  <c:v>7</c:v>
                </c:pt>
                <c:pt idx="503">
                  <c:v>7</c:v>
                </c:pt>
                <c:pt idx="504">
                  <c:v>7</c:v>
                </c:pt>
                <c:pt idx="505">
                  <c:v>7</c:v>
                </c:pt>
                <c:pt idx="506">
                  <c:v>7</c:v>
                </c:pt>
                <c:pt idx="507">
                  <c:v>6</c:v>
                </c:pt>
                <c:pt idx="508">
                  <c:v>6</c:v>
                </c:pt>
                <c:pt idx="509">
                  <c:v>7</c:v>
                </c:pt>
                <c:pt idx="510">
                  <c:v>5</c:v>
                </c:pt>
                <c:pt idx="511">
                  <c:v>6</c:v>
                </c:pt>
                <c:pt idx="512">
                  <c:v>6</c:v>
                </c:pt>
                <c:pt idx="513">
                  <c:v>7</c:v>
                </c:pt>
                <c:pt idx="514">
                  <c:v>7</c:v>
                </c:pt>
                <c:pt idx="515">
                  <c:v>5</c:v>
                </c:pt>
                <c:pt idx="516">
                  <c:v>6</c:v>
                </c:pt>
                <c:pt idx="517">
                  <c:v>3</c:v>
                </c:pt>
                <c:pt idx="518">
                  <c:v>6</c:v>
                </c:pt>
                <c:pt idx="519">
                  <c:v>5</c:v>
                </c:pt>
                <c:pt idx="520">
                  <c:v>6</c:v>
                </c:pt>
                <c:pt idx="521">
                  <c:v>5</c:v>
                </c:pt>
                <c:pt idx="522">
                  <c:v>5</c:v>
                </c:pt>
                <c:pt idx="523">
                  <c:v>5</c:v>
                </c:pt>
                <c:pt idx="524">
                  <c:v>5</c:v>
                </c:pt>
                <c:pt idx="525">
                  <c:v>5</c:v>
                </c:pt>
                <c:pt idx="526">
                  <c:v>5</c:v>
                </c:pt>
                <c:pt idx="527">
                  <c:v>6</c:v>
                </c:pt>
                <c:pt idx="528">
                  <c:v>6</c:v>
                </c:pt>
                <c:pt idx="529">
                  <c:v>5</c:v>
                </c:pt>
                <c:pt idx="530">
                  <c:v>6</c:v>
                </c:pt>
                <c:pt idx="531">
                  <c:v>5</c:v>
                </c:pt>
                <c:pt idx="532">
                  <c:v>5</c:v>
                </c:pt>
                <c:pt idx="533">
                  <c:v>6</c:v>
                </c:pt>
                <c:pt idx="534">
                  <c:v>6</c:v>
                </c:pt>
                <c:pt idx="535">
                  <c:v>6</c:v>
                </c:pt>
                <c:pt idx="536">
                  <c:v>5</c:v>
                </c:pt>
                <c:pt idx="537">
                  <c:v>6</c:v>
                </c:pt>
                <c:pt idx="538">
                  <c:v>7</c:v>
                </c:pt>
                <c:pt idx="539">
                  <c:v>5</c:v>
                </c:pt>
                <c:pt idx="540">
                  <c:v>5</c:v>
                </c:pt>
                <c:pt idx="541">
                  <c:v>6</c:v>
                </c:pt>
                <c:pt idx="542">
                  <c:v>5</c:v>
                </c:pt>
                <c:pt idx="543">
                  <c:v>6</c:v>
                </c:pt>
                <c:pt idx="544">
                  <c:v>6</c:v>
                </c:pt>
                <c:pt idx="545">
                  <c:v>5</c:v>
                </c:pt>
                <c:pt idx="546">
                  <c:v>6</c:v>
                </c:pt>
                <c:pt idx="547">
                  <c:v>6</c:v>
                </c:pt>
                <c:pt idx="548">
                  <c:v>6</c:v>
                </c:pt>
                <c:pt idx="549">
                  <c:v>6</c:v>
                </c:pt>
                <c:pt idx="550">
                  <c:v>6</c:v>
                </c:pt>
                <c:pt idx="551">
                  <c:v>6</c:v>
                </c:pt>
                <c:pt idx="552">
                  <c:v>6</c:v>
                </c:pt>
                <c:pt idx="553">
                  <c:v>5</c:v>
                </c:pt>
                <c:pt idx="554">
                  <c:v>5</c:v>
                </c:pt>
                <c:pt idx="555">
                  <c:v>5</c:v>
                </c:pt>
                <c:pt idx="556">
                  <c:v>6</c:v>
                </c:pt>
                <c:pt idx="557">
                  <c:v>5</c:v>
                </c:pt>
                <c:pt idx="558">
                  <c:v>6</c:v>
                </c:pt>
                <c:pt idx="559">
                  <c:v>6</c:v>
                </c:pt>
                <c:pt idx="560">
                  <c:v>5</c:v>
                </c:pt>
                <c:pt idx="561">
                  <c:v>5</c:v>
                </c:pt>
                <c:pt idx="562">
                  <c:v>5</c:v>
                </c:pt>
                <c:pt idx="563">
                  <c:v>6</c:v>
                </c:pt>
                <c:pt idx="564">
                  <c:v>6</c:v>
                </c:pt>
                <c:pt idx="565">
                  <c:v>5</c:v>
                </c:pt>
                <c:pt idx="566">
                  <c:v>6</c:v>
                </c:pt>
                <c:pt idx="567">
                  <c:v>6</c:v>
                </c:pt>
                <c:pt idx="568">
                  <c:v>6</c:v>
                </c:pt>
                <c:pt idx="569">
                  <c:v>6</c:v>
                </c:pt>
                <c:pt idx="570">
                  <c:v>6</c:v>
                </c:pt>
                <c:pt idx="571">
                  <c:v>6</c:v>
                </c:pt>
                <c:pt idx="572">
                  <c:v>5</c:v>
                </c:pt>
                <c:pt idx="573">
                  <c:v>4</c:v>
                </c:pt>
                <c:pt idx="574">
                  <c:v>6</c:v>
                </c:pt>
                <c:pt idx="575">
                  <c:v>6</c:v>
                </c:pt>
                <c:pt idx="576">
                  <c:v>4</c:v>
                </c:pt>
                <c:pt idx="577">
                  <c:v>5</c:v>
                </c:pt>
                <c:pt idx="578">
                  <c:v>5</c:v>
                </c:pt>
                <c:pt idx="579">
                  <c:v>6</c:v>
                </c:pt>
                <c:pt idx="580">
                  <c:v>5</c:v>
                </c:pt>
                <c:pt idx="581">
                  <c:v>5</c:v>
                </c:pt>
                <c:pt idx="582">
                  <c:v>5</c:v>
                </c:pt>
                <c:pt idx="583">
                  <c:v>7</c:v>
                </c:pt>
                <c:pt idx="584">
                  <c:v>7</c:v>
                </c:pt>
                <c:pt idx="585">
                  <c:v>6</c:v>
                </c:pt>
                <c:pt idx="586">
                  <c:v>7</c:v>
                </c:pt>
                <c:pt idx="587">
                  <c:v>5</c:v>
                </c:pt>
                <c:pt idx="588">
                  <c:v>8</c:v>
                </c:pt>
                <c:pt idx="589">
                  <c:v>7</c:v>
                </c:pt>
                <c:pt idx="590">
                  <c:v>5</c:v>
                </c:pt>
                <c:pt idx="591">
                  <c:v>6</c:v>
                </c:pt>
                <c:pt idx="592">
                  <c:v>5</c:v>
                </c:pt>
                <c:pt idx="593">
                  <c:v>5</c:v>
                </c:pt>
                <c:pt idx="594">
                  <c:v>5</c:v>
                </c:pt>
                <c:pt idx="595">
                  <c:v>5</c:v>
                </c:pt>
                <c:pt idx="596">
                  <c:v>6</c:v>
                </c:pt>
                <c:pt idx="597">
                  <c:v>6</c:v>
                </c:pt>
                <c:pt idx="598">
                  <c:v>6</c:v>
                </c:pt>
                <c:pt idx="599">
                  <c:v>6</c:v>
                </c:pt>
                <c:pt idx="600">
                  <c:v>4</c:v>
                </c:pt>
                <c:pt idx="601">
                  <c:v>6</c:v>
                </c:pt>
                <c:pt idx="602">
                  <c:v>5</c:v>
                </c:pt>
                <c:pt idx="603">
                  <c:v>6</c:v>
                </c:pt>
                <c:pt idx="604">
                  <c:v>6</c:v>
                </c:pt>
                <c:pt idx="605">
                  <c:v>6</c:v>
                </c:pt>
                <c:pt idx="606">
                  <c:v>7</c:v>
                </c:pt>
                <c:pt idx="607">
                  <c:v>6</c:v>
                </c:pt>
                <c:pt idx="608">
                  <c:v>6</c:v>
                </c:pt>
                <c:pt idx="609">
                  <c:v>6</c:v>
                </c:pt>
                <c:pt idx="610">
                  <c:v>5</c:v>
                </c:pt>
                <c:pt idx="611">
                  <c:v>5</c:v>
                </c:pt>
                <c:pt idx="612">
                  <c:v>6</c:v>
                </c:pt>
                <c:pt idx="613">
                  <c:v>5</c:v>
                </c:pt>
                <c:pt idx="614">
                  <c:v>6</c:v>
                </c:pt>
                <c:pt idx="615">
                  <c:v>5</c:v>
                </c:pt>
                <c:pt idx="616">
                  <c:v>5</c:v>
                </c:pt>
                <c:pt idx="617">
                  <c:v>6</c:v>
                </c:pt>
                <c:pt idx="618">
                  <c:v>5</c:v>
                </c:pt>
                <c:pt idx="619">
                  <c:v>5</c:v>
                </c:pt>
                <c:pt idx="620">
                  <c:v>5</c:v>
                </c:pt>
                <c:pt idx="621">
                  <c:v>5</c:v>
                </c:pt>
                <c:pt idx="622">
                  <c:v>5</c:v>
                </c:pt>
                <c:pt idx="623">
                  <c:v>6</c:v>
                </c:pt>
                <c:pt idx="624">
                  <c:v>5</c:v>
                </c:pt>
                <c:pt idx="625">
                  <c:v>5</c:v>
                </c:pt>
                <c:pt idx="626">
                  <c:v>5</c:v>
                </c:pt>
                <c:pt idx="627">
                  <c:v>5</c:v>
                </c:pt>
                <c:pt idx="628">
                  <c:v>6</c:v>
                </c:pt>
                <c:pt idx="629">
                  <c:v>5</c:v>
                </c:pt>
                <c:pt idx="630">
                  <c:v>6</c:v>
                </c:pt>
                <c:pt idx="631">
                  <c:v>5</c:v>
                </c:pt>
                <c:pt idx="632">
                  <c:v>6</c:v>
                </c:pt>
                <c:pt idx="633">
                  <c:v>4</c:v>
                </c:pt>
                <c:pt idx="634">
                  <c:v>5</c:v>
                </c:pt>
                <c:pt idx="635">
                  <c:v>5</c:v>
                </c:pt>
                <c:pt idx="636">
                  <c:v>5</c:v>
                </c:pt>
                <c:pt idx="637">
                  <c:v>5</c:v>
                </c:pt>
                <c:pt idx="638">
                  <c:v>7</c:v>
                </c:pt>
                <c:pt idx="639">
                  <c:v>6</c:v>
                </c:pt>
                <c:pt idx="640">
                  <c:v>5</c:v>
                </c:pt>
                <c:pt idx="641">
                  <c:v>5</c:v>
                </c:pt>
                <c:pt idx="642">
                  <c:v>5</c:v>
                </c:pt>
                <c:pt idx="643">
                  <c:v>5</c:v>
                </c:pt>
                <c:pt idx="644">
                  <c:v>5</c:v>
                </c:pt>
                <c:pt idx="645">
                  <c:v>7</c:v>
                </c:pt>
                <c:pt idx="646">
                  <c:v>5</c:v>
                </c:pt>
                <c:pt idx="647">
                  <c:v>4</c:v>
                </c:pt>
                <c:pt idx="648">
                  <c:v>7</c:v>
                </c:pt>
                <c:pt idx="649">
                  <c:v>6</c:v>
                </c:pt>
                <c:pt idx="650">
                  <c:v>5</c:v>
                </c:pt>
                <c:pt idx="651">
                  <c:v>5</c:v>
                </c:pt>
                <c:pt idx="652">
                  <c:v>5</c:v>
                </c:pt>
                <c:pt idx="653">
                  <c:v>6</c:v>
                </c:pt>
                <c:pt idx="654">
                  <c:v>5</c:v>
                </c:pt>
                <c:pt idx="655">
                  <c:v>5</c:v>
                </c:pt>
                <c:pt idx="656">
                  <c:v>5</c:v>
                </c:pt>
                <c:pt idx="657">
                  <c:v>7</c:v>
                </c:pt>
                <c:pt idx="658">
                  <c:v>6</c:v>
                </c:pt>
                <c:pt idx="659">
                  <c:v>4</c:v>
                </c:pt>
                <c:pt idx="660">
                  <c:v>6</c:v>
                </c:pt>
                <c:pt idx="661">
                  <c:v>5</c:v>
                </c:pt>
                <c:pt idx="662">
                  <c:v>6</c:v>
                </c:pt>
                <c:pt idx="663">
                  <c:v>6</c:v>
                </c:pt>
                <c:pt idx="664">
                  <c:v>5</c:v>
                </c:pt>
                <c:pt idx="665">
                  <c:v>5</c:v>
                </c:pt>
                <c:pt idx="666">
                  <c:v>6</c:v>
                </c:pt>
                <c:pt idx="667">
                  <c:v>6</c:v>
                </c:pt>
                <c:pt idx="668">
                  <c:v>5</c:v>
                </c:pt>
                <c:pt idx="669">
                  <c:v>6</c:v>
                </c:pt>
                <c:pt idx="670">
                  <c:v>5</c:v>
                </c:pt>
                <c:pt idx="671">
                  <c:v>5</c:v>
                </c:pt>
                <c:pt idx="672">
                  <c:v>5</c:v>
                </c:pt>
                <c:pt idx="673">
                  <c:v>5</c:v>
                </c:pt>
                <c:pt idx="674">
                  <c:v>6</c:v>
                </c:pt>
                <c:pt idx="675">
                  <c:v>5</c:v>
                </c:pt>
                <c:pt idx="676">
                  <c:v>6</c:v>
                </c:pt>
                <c:pt idx="677">
                  <c:v>5</c:v>
                </c:pt>
                <c:pt idx="678">
                  <c:v>5</c:v>
                </c:pt>
                <c:pt idx="679">
                  <c:v>5</c:v>
                </c:pt>
                <c:pt idx="680">
                  <c:v>5</c:v>
                </c:pt>
                <c:pt idx="681">
                  <c:v>6</c:v>
                </c:pt>
                <c:pt idx="682">
                  <c:v>5</c:v>
                </c:pt>
                <c:pt idx="683">
                  <c:v>5</c:v>
                </c:pt>
                <c:pt idx="684">
                  <c:v>5</c:v>
                </c:pt>
                <c:pt idx="685">
                  <c:v>5</c:v>
                </c:pt>
                <c:pt idx="686">
                  <c:v>5</c:v>
                </c:pt>
                <c:pt idx="687">
                  <c:v>5</c:v>
                </c:pt>
                <c:pt idx="688">
                  <c:v>5</c:v>
                </c:pt>
                <c:pt idx="689">
                  <c:v>5</c:v>
                </c:pt>
                <c:pt idx="690">
                  <c:v>3</c:v>
                </c:pt>
                <c:pt idx="691">
                  <c:v>5</c:v>
                </c:pt>
                <c:pt idx="692">
                  <c:v>5</c:v>
                </c:pt>
                <c:pt idx="693">
                  <c:v>5</c:v>
                </c:pt>
                <c:pt idx="694">
                  <c:v>5</c:v>
                </c:pt>
                <c:pt idx="695">
                  <c:v>6</c:v>
                </c:pt>
                <c:pt idx="696">
                  <c:v>6</c:v>
                </c:pt>
                <c:pt idx="697">
                  <c:v>6</c:v>
                </c:pt>
                <c:pt idx="698">
                  <c:v>5</c:v>
                </c:pt>
                <c:pt idx="699">
                  <c:v>6</c:v>
                </c:pt>
                <c:pt idx="700">
                  <c:v>6</c:v>
                </c:pt>
                <c:pt idx="701">
                  <c:v>6</c:v>
                </c:pt>
                <c:pt idx="702">
                  <c:v>6</c:v>
                </c:pt>
                <c:pt idx="703">
                  <c:v>4</c:v>
                </c:pt>
                <c:pt idx="704">
                  <c:v>4</c:v>
                </c:pt>
                <c:pt idx="705">
                  <c:v>5</c:v>
                </c:pt>
                <c:pt idx="706">
                  <c:v>5</c:v>
                </c:pt>
                <c:pt idx="707">
                  <c:v>5</c:v>
                </c:pt>
                <c:pt idx="708">
                  <c:v>6</c:v>
                </c:pt>
                <c:pt idx="709">
                  <c:v>6</c:v>
                </c:pt>
                <c:pt idx="710">
                  <c:v>5</c:v>
                </c:pt>
                <c:pt idx="711">
                  <c:v>5</c:v>
                </c:pt>
                <c:pt idx="712">
                  <c:v>5</c:v>
                </c:pt>
                <c:pt idx="713">
                  <c:v>5</c:v>
                </c:pt>
                <c:pt idx="714">
                  <c:v>5</c:v>
                </c:pt>
                <c:pt idx="715">
                  <c:v>6</c:v>
                </c:pt>
                <c:pt idx="716">
                  <c:v>5</c:v>
                </c:pt>
                <c:pt idx="717">
                  <c:v>5</c:v>
                </c:pt>
                <c:pt idx="718">
                  <c:v>5</c:v>
                </c:pt>
                <c:pt idx="719">
                  <c:v>5</c:v>
                </c:pt>
                <c:pt idx="720">
                  <c:v>5</c:v>
                </c:pt>
                <c:pt idx="721">
                  <c:v>5</c:v>
                </c:pt>
                <c:pt idx="722">
                  <c:v>5</c:v>
                </c:pt>
                <c:pt idx="723">
                  <c:v>5</c:v>
                </c:pt>
                <c:pt idx="724">
                  <c:v>4</c:v>
                </c:pt>
                <c:pt idx="725">
                  <c:v>5</c:v>
                </c:pt>
                <c:pt idx="726">
                  <c:v>6</c:v>
                </c:pt>
                <c:pt idx="727">
                  <c:v>5</c:v>
                </c:pt>
                <c:pt idx="728">
                  <c:v>5</c:v>
                </c:pt>
                <c:pt idx="729">
                  <c:v>6</c:v>
                </c:pt>
                <c:pt idx="730">
                  <c:v>5</c:v>
                </c:pt>
                <c:pt idx="731">
                  <c:v>5</c:v>
                </c:pt>
                <c:pt idx="732">
                  <c:v>5</c:v>
                </c:pt>
                <c:pt idx="733">
                  <c:v>5</c:v>
                </c:pt>
                <c:pt idx="734">
                  <c:v>5</c:v>
                </c:pt>
                <c:pt idx="735">
                  <c:v>5</c:v>
                </c:pt>
                <c:pt idx="736">
                  <c:v>5</c:v>
                </c:pt>
                <c:pt idx="737">
                  <c:v>6</c:v>
                </c:pt>
                <c:pt idx="738">
                  <c:v>5</c:v>
                </c:pt>
                <c:pt idx="739">
                  <c:v>5</c:v>
                </c:pt>
                <c:pt idx="740">
                  <c:v>6</c:v>
                </c:pt>
                <c:pt idx="741">
                  <c:v>5</c:v>
                </c:pt>
                <c:pt idx="742">
                  <c:v>5</c:v>
                </c:pt>
                <c:pt idx="743">
                  <c:v>5</c:v>
                </c:pt>
                <c:pt idx="744">
                  <c:v>5</c:v>
                </c:pt>
                <c:pt idx="745">
                  <c:v>6</c:v>
                </c:pt>
                <c:pt idx="746">
                  <c:v>6</c:v>
                </c:pt>
                <c:pt idx="747">
                  <c:v>5</c:v>
                </c:pt>
                <c:pt idx="748">
                  <c:v>6</c:v>
                </c:pt>
                <c:pt idx="749">
                  <c:v>6</c:v>
                </c:pt>
                <c:pt idx="750">
                  <c:v>5</c:v>
                </c:pt>
                <c:pt idx="751">
                  <c:v>5</c:v>
                </c:pt>
                <c:pt idx="752">
                  <c:v>5</c:v>
                </c:pt>
                <c:pt idx="753">
                  <c:v>5</c:v>
                </c:pt>
                <c:pt idx="754">
                  <c:v>6</c:v>
                </c:pt>
                <c:pt idx="755">
                  <c:v>6</c:v>
                </c:pt>
                <c:pt idx="756">
                  <c:v>6</c:v>
                </c:pt>
                <c:pt idx="757">
                  <c:v>5</c:v>
                </c:pt>
                <c:pt idx="758">
                  <c:v>5</c:v>
                </c:pt>
                <c:pt idx="759">
                  <c:v>5</c:v>
                </c:pt>
                <c:pt idx="760">
                  <c:v>5</c:v>
                </c:pt>
                <c:pt idx="761">
                  <c:v>5</c:v>
                </c:pt>
                <c:pt idx="762">
                  <c:v>6</c:v>
                </c:pt>
                <c:pt idx="763">
                  <c:v>5</c:v>
                </c:pt>
                <c:pt idx="764">
                  <c:v>6</c:v>
                </c:pt>
                <c:pt idx="765">
                  <c:v>6</c:v>
                </c:pt>
                <c:pt idx="766">
                  <c:v>5</c:v>
                </c:pt>
                <c:pt idx="767">
                  <c:v>5</c:v>
                </c:pt>
                <c:pt idx="768">
                  <c:v>6</c:v>
                </c:pt>
                <c:pt idx="769">
                  <c:v>5</c:v>
                </c:pt>
                <c:pt idx="770">
                  <c:v>6</c:v>
                </c:pt>
                <c:pt idx="771">
                  <c:v>5</c:v>
                </c:pt>
                <c:pt idx="772">
                  <c:v>5</c:v>
                </c:pt>
                <c:pt idx="773">
                  <c:v>6</c:v>
                </c:pt>
                <c:pt idx="774">
                  <c:v>6</c:v>
                </c:pt>
                <c:pt idx="775">
                  <c:v>5</c:v>
                </c:pt>
                <c:pt idx="776">
                  <c:v>6</c:v>
                </c:pt>
                <c:pt idx="777">
                  <c:v>6</c:v>
                </c:pt>
                <c:pt idx="778">
                  <c:v>5</c:v>
                </c:pt>
                <c:pt idx="779">
                  <c:v>5</c:v>
                </c:pt>
                <c:pt idx="780">
                  <c:v>6</c:v>
                </c:pt>
                <c:pt idx="781">
                  <c:v>5</c:v>
                </c:pt>
                <c:pt idx="782">
                  <c:v>5</c:v>
                </c:pt>
                <c:pt idx="783">
                  <c:v>5</c:v>
                </c:pt>
                <c:pt idx="784">
                  <c:v>5</c:v>
                </c:pt>
                <c:pt idx="785">
                  <c:v>5</c:v>
                </c:pt>
                <c:pt idx="786">
                  <c:v>5</c:v>
                </c:pt>
                <c:pt idx="787">
                  <c:v>6</c:v>
                </c:pt>
                <c:pt idx="788">
                  <c:v>6</c:v>
                </c:pt>
                <c:pt idx="789">
                  <c:v>5</c:v>
                </c:pt>
                <c:pt idx="790">
                  <c:v>6</c:v>
                </c:pt>
                <c:pt idx="791">
                  <c:v>5</c:v>
                </c:pt>
                <c:pt idx="792">
                  <c:v>6</c:v>
                </c:pt>
                <c:pt idx="793">
                  <c:v>5</c:v>
                </c:pt>
                <c:pt idx="794">
                  <c:v>6</c:v>
                </c:pt>
                <c:pt idx="795">
                  <c:v>5</c:v>
                </c:pt>
                <c:pt idx="796">
                  <c:v>5</c:v>
                </c:pt>
                <c:pt idx="797">
                  <c:v>7</c:v>
                </c:pt>
                <c:pt idx="798">
                  <c:v>6</c:v>
                </c:pt>
                <c:pt idx="799">
                  <c:v>6</c:v>
                </c:pt>
                <c:pt idx="800">
                  <c:v>5</c:v>
                </c:pt>
                <c:pt idx="801">
                  <c:v>5</c:v>
                </c:pt>
                <c:pt idx="802">
                  <c:v>7</c:v>
                </c:pt>
                <c:pt idx="803">
                  <c:v>6</c:v>
                </c:pt>
                <c:pt idx="804">
                  <c:v>6</c:v>
                </c:pt>
                <c:pt idx="805">
                  <c:v>7</c:v>
                </c:pt>
                <c:pt idx="806">
                  <c:v>7</c:v>
                </c:pt>
                <c:pt idx="807">
                  <c:v>7</c:v>
                </c:pt>
                <c:pt idx="808">
                  <c:v>5</c:v>
                </c:pt>
                <c:pt idx="809">
                  <c:v>6</c:v>
                </c:pt>
                <c:pt idx="810">
                  <c:v>5</c:v>
                </c:pt>
                <c:pt idx="811">
                  <c:v>6</c:v>
                </c:pt>
                <c:pt idx="812">
                  <c:v>5</c:v>
                </c:pt>
                <c:pt idx="813">
                  <c:v>4</c:v>
                </c:pt>
                <c:pt idx="814">
                  <c:v>6</c:v>
                </c:pt>
                <c:pt idx="815">
                  <c:v>5</c:v>
                </c:pt>
                <c:pt idx="816">
                  <c:v>6</c:v>
                </c:pt>
                <c:pt idx="817">
                  <c:v>6</c:v>
                </c:pt>
                <c:pt idx="818">
                  <c:v>5</c:v>
                </c:pt>
                <c:pt idx="819">
                  <c:v>5</c:v>
                </c:pt>
                <c:pt idx="820">
                  <c:v>5</c:v>
                </c:pt>
                <c:pt idx="821">
                  <c:v>7</c:v>
                </c:pt>
                <c:pt idx="822">
                  <c:v>5</c:v>
                </c:pt>
                <c:pt idx="823">
                  <c:v>5</c:v>
                </c:pt>
                <c:pt idx="824">
                  <c:v>5</c:v>
                </c:pt>
                <c:pt idx="825">
                  <c:v>5</c:v>
                </c:pt>
                <c:pt idx="826">
                  <c:v>7</c:v>
                </c:pt>
                <c:pt idx="827">
                  <c:v>5</c:v>
                </c:pt>
                <c:pt idx="828">
                  <c:v>8</c:v>
                </c:pt>
                <c:pt idx="829">
                  <c:v>6</c:v>
                </c:pt>
                <c:pt idx="830">
                  <c:v>4</c:v>
                </c:pt>
                <c:pt idx="831">
                  <c:v>6</c:v>
                </c:pt>
                <c:pt idx="832">
                  <c:v>3</c:v>
                </c:pt>
                <c:pt idx="833">
                  <c:v>4</c:v>
                </c:pt>
                <c:pt idx="834">
                  <c:v>5</c:v>
                </c:pt>
                <c:pt idx="835">
                  <c:v>5</c:v>
                </c:pt>
                <c:pt idx="836">
                  <c:v>7</c:v>
                </c:pt>
                <c:pt idx="837">
                  <c:v>7</c:v>
                </c:pt>
                <c:pt idx="838">
                  <c:v>7</c:v>
                </c:pt>
                <c:pt idx="839">
                  <c:v>5</c:v>
                </c:pt>
                <c:pt idx="840">
                  <c:v>7</c:v>
                </c:pt>
                <c:pt idx="841">
                  <c:v>5</c:v>
                </c:pt>
                <c:pt idx="842">
                  <c:v>6</c:v>
                </c:pt>
                <c:pt idx="843">
                  <c:v>5</c:v>
                </c:pt>
                <c:pt idx="844">
                  <c:v>6</c:v>
                </c:pt>
                <c:pt idx="845">
                  <c:v>5</c:v>
                </c:pt>
                <c:pt idx="846">
                  <c:v>5</c:v>
                </c:pt>
                <c:pt idx="847">
                  <c:v>6</c:v>
                </c:pt>
                <c:pt idx="848">
                  <c:v>5</c:v>
                </c:pt>
                <c:pt idx="849">
                  <c:v>5</c:v>
                </c:pt>
                <c:pt idx="850">
                  <c:v>5</c:v>
                </c:pt>
                <c:pt idx="851">
                  <c:v>5</c:v>
                </c:pt>
                <c:pt idx="852">
                  <c:v>5</c:v>
                </c:pt>
                <c:pt idx="853">
                  <c:v>6</c:v>
                </c:pt>
                <c:pt idx="854">
                  <c:v>6</c:v>
                </c:pt>
                <c:pt idx="855">
                  <c:v>7</c:v>
                </c:pt>
                <c:pt idx="856">
                  <c:v>6</c:v>
                </c:pt>
                <c:pt idx="857">
                  <c:v>7</c:v>
                </c:pt>
                <c:pt idx="858">
                  <c:v>7</c:v>
                </c:pt>
                <c:pt idx="859">
                  <c:v>6</c:v>
                </c:pt>
                <c:pt idx="860">
                  <c:v>5</c:v>
                </c:pt>
                <c:pt idx="861">
                  <c:v>6</c:v>
                </c:pt>
                <c:pt idx="862">
                  <c:v>5</c:v>
                </c:pt>
                <c:pt idx="863">
                  <c:v>5</c:v>
                </c:pt>
                <c:pt idx="864">
                  <c:v>5</c:v>
                </c:pt>
                <c:pt idx="865">
                  <c:v>5</c:v>
                </c:pt>
                <c:pt idx="866">
                  <c:v>6</c:v>
                </c:pt>
                <c:pt idx="867">
                  <c:v>6</c:v>
                </c:pt>
                <c:pt idx="868">
                  <c:v>6</c:v>
                </c:pt>
                <c:pt idx="869">
                  <c:v>6</c:v>
                </c:pt>
                <c:pt idx="870">
                  <c:v>6</c:v>
                </c:pt>
                <c:pt idx="871">
                  <c:v>5</c:v>
                </c:pt>
                <c:pt idx="872">
                  <c:v>4</c:v>
                </c:pt>
                <c:pt idx="873">
                  <c:v>7</c:v>
                </c:pt>
                <c:pt idx="874">
                  <c:v>7</c:v>
                </c:pt>
                <c:pt idx="875">
                  <c:v>7</c:v>
                </c:pt>
                <c:pt idx="876">
                  <c:v>4</c:v>
                </c:pt>
                <c:pt idx="877">
                  <c:v>6</c:v>
                </c:pt>
                <c:pt idx="878">
                  <c:v>6</c:v>
                </c:pt>
                <c:pt idx="879">
                  <c:v>5</c:v>
                </c:pt>
                <c:pt idx="880">
                  <c:v>5</c:v>
                </c:pt>
                <c:pt idx="881">
                  <c:v>6</c:v>
                </c:pt>
                <c:pt idx="882">
                  <c:v>6</c:v>
                </c:pt>
                <c:pt idx="883">
                  <c:v>5</c:v>
                </c:pt>
                <c:pt idx="884">
                  <c:v>6</c:v>
                </c:pt>
                <c:pt idx="885">
                  <c:v>5</c:v>
                </c:pt>
                <c:pt idx="886">
                  <c:v>6</c:v>
                </c:pt>
                <c:pt idx="887">
                  <c:v>7</c:v>
                </c:pt>
                <c:pt idx="888">
                  <c:v>6</c:v>
                </c:pt>
                <c:pt idx="889">
                  <c:v>5</c:v>
                </c:pt>
                <c:pt idx="890">
                  <c:v>5</c:v>
                </c:pt>
                <c:pt idx="891">
                  <c:v>5</c:v>
                </c:pt>
                <c:pt idx="892">
                  <c:v>6</c:v>
                </c:pt>
                <c:pt idx="893">
                  <c:v>5</c:v>
                </c:pt>
                <c:pt idx="894">
                  <c:v>6</c:v>
                </c:pt>
                <c:pt idx="895">
                  <c:v>6</c:v>
                </c:pt>
                <c:pt idx="896">
                  <c:v>7</c:v>
                </c:pt>
                <c:pt idx="897">
                  <c:v>6</c:v>
                </c:pt>
                <c:pt idx="898">
                  <c:v>7</c:v>
                </c:pt>
                <c:pt idx="899">
                  <c:v>3</c:v>
                </c:pt>
                <c:pt idx="900">
                  <c:v>5</c:v>
                </c:pt>
                <c:pt idx="901">
                  <c:v>7</c:v>
                </c:pt>
                <c:pt idx="902">
                  <c:v>7</c:v>
                </c:pt>
                <c:pt idx="903">
                  <c:v>7</c:v>
                </c:pt>
                <c:pt idx="904">
                  <c:v>7</c:v>
                </c:pt>
                <c:pt idx="905">
                  <c:v>5</c:v>
                </c:pt>
                <c:pt idx="906">
                  <c:v>5</c:v>
                </c:pt>
                <c:pt idx="907">
                  <c:v>6</c:v>
                </c:pt>
                <c:pt idx="908">
                  <c:v>6</c:v>
                </c:pt>
                <c:pt idx="909">
                  <c:v>6</c:v>
                </c:pt>
                <c:pt idx="910">
                  <c:v>6</c:v>
                </c:pt>
                <c:pt idx="911">
                  <c:v>6</c:v>
                </c:pt>
                <c:pt idx="912">
                  <c:v>6</c:v>
                </c:pt>
                <c:pt idx="913">
                  <c:v>7</c:v>
                </c:pt>
                <c:pt idx="914">
                  <c:v>6</c:v>
                </c:pt>
                <c:pt idx="915">
                  <c:v>6</c:v>
                </c:pt>
                <c:pt idx="916">
                  <c:v>5</c:v>
                </c:pt>
                <c:pt idx="917">
                  <c:v>6</c:v>
                </c:pt>
                <c:pt idx="918">
                  <c:v>6</c:v>
                </c:pt>
                <c:pt idx="919">
                  <c:v>6</c:v>
                </c:pt>
                <c:pt idx="920">
                  <c:v>5</c:v>
                </c:pt>
                <c:pt idx="921">
                  <c:v>6</c:v>
                </c:pt>
                <c:pt idx="922">
                  <c:v>6</c:v>
                </c:pt>
                <c:pt idx="923">
                  <c:v>6</c:v>
                </c:pt>
                <c:pt idx="924">
                  <c:v>5</c:v>
                </c:pt>
                <c:pt idx="925">
                  <c:v>7</c:v>
                </c:pt>
                <c:pt idx="926">
                  <c:v>6</c:v>
                </c:pt>
                <c:pt idx="927">
                  <c:v>4</c:v>
                </c:pt>
                <c:pt idx="928">
                  <c:v>5</c:v>
                </c:pt>
                <c:pt idx="929">
                  <c:v>7</c:v>
                </c:pt>
                <c:pt idx="930">
                  <c:v>5</c:v>
                </c:pt>
                <c:pt idx="931">
                  <c:v>5</c:v>
                </c:pt>
                <c:pt idx="932">
                  <c:v>6</c:v>
                </c:pt>
                <c:pt idx="933">
                  <c:v>5</c:v>
                </c:pt>
                <c:pt idx="934">
                  <c:v>5</c:v>
                </c:pt>
                <c:pt idx="935">
                  <c:v>6</c:v>
                </c:pt>
                <c:pt idx="936">
                  <c:v>6</c:v>
                </c:pt>
                <c:pt idx="937">
                  <c:v>4</c:v>
                </c:pt>
                <c:pt idx="938">
                  <c:v>7</c:v>
                </c:pt>
                <c:pt idx="939">
                  <c:v>5</c:v>
                </c:pt>
                <c:pt idx="940">
                  <c:v>7</c:v>
                </c:pt>
                <c:pt idx="941">
                  <c:v>7</c:v>
                </c:pt>
                <c:pt idx="942">
                  <c:v>7</c:v>
                </c:pt>
                <c:pt idx="943">
                  <c:v>7</c:v>
                </c:pt>
                <c:pt idx="944">
                  <c:v>7</c:v>
                </c:pt>
                <c:pt idx="945">
                  <c:v>7</c:v>
                </c:pt>
                <c:pt idx="946">
                  <c:v>7</c:v>
                </c:pt>
                <c:pt idx="947">
                  <c:v>7</c:v>
                </c:pt>
                <c:pt idx="948">
                  <c:v>7</c:v>
                </c:pt>
                <c:pt idx="949">
                  <c:v>7</c:v>
                </c:pt>
                <c:pt idx="950">
                  <c:v>7</c:v>
                </c:pt>
                <c:pt idx="951">
                  <c:v>7</c:v>
                </c:pt>
                <c:pt idx="952">
                  <c:v>7</c:v>
                </c:pt>
                <c:pt idx="953">
                  <c:v>7</c:v>
                </c:pt>
                <c:pt idx="954">
                  <c:v>6</c:v>
                </c:pt>
                <c:pt idx="955">
                  <c:v>5</c:v>
                </c:pt>
                <c:pt idx="956">
                  <c:v>6</c:v>
                </c:pt>
                <c:pt idx="957">
                  <c:v>6</c:v>
                </c:pt>
                <c:pt idx="958">
                  <c:v>7</c:v>
                </c:pt>
                <c:pt idx="959">
                  <c:v>5</c:v>
                </c:pt>
                <c:pt idx="960">
                  <c:v>6</c:v>
                </c:pt>
                <c:pt idx="961">
                  <c:v>5</c:v>
                </c:pt>
                <c:pt idx="962">
                  <c:v>5</c:v>
                </c:pt>
                <c:pt idx="963">
                  <c:v>6</c:v>
                </c:pt>
                <c:pt idx="964">
                  <c:v>6</c:v>
                </c:pt>
                <c:pt idx="965">
                  <c:v>6</c:v>
                </c:pt>
                <c:pt idx="966">
                  <c:v>7</c:v>
                </c:pt>
                <c:pt idx="967">
                  <c:v>5</c:v>
                </c:pt>
                <c:pt idx="968">
                  <c:v>6</c:v>
                </c:pt>
                <c:pt idx="969">
                  <c:v>5</c:v>
                </c:pt>
                <c:pt idx="970">
                  <c:v>6</c:v>
                </c:pt>
                <c:pt idx="971">
                  <c:v>6</c:v>
                </c:pt>
                <c:pt idx="972">
                  <c:v>7</c:v>
                </c:pt>
                <c:pt idx="973">
                  <c:v>5</c:v>
                </c:pt>
                <c:pt idx="974">
                  <c:v>7</c:v>
                </c:pt>
                <c:pt idx="975">
                  <c:v>5</c:v>
                </c:pt>
                <c:pt idx="976">
                  <c:v>5</c:v>
                </c:pt>
                <c:pt idx="977">
                  <c:v>5</c:v>
                </c:pt>
                <c:pt idx="978">
                  <c:v>7</c:v>
                </c:pt>
                <c:pt idx="979">
                  <c:v>5</c:v>
                </c:pt>
                <c:pt idx="980">
                  <c:v>6</c:v>
                </c:pt>
                <c:pt idx="981">
                  <c:v>5</c:v>
                </c:pt>
                <c:pt idx="982">
                  <c:v>6</c:v>
                </c:pt>
                <c:pt idx="983">
                  <c:v>6</c:v>
                </c:pt>
                <c:pt idx="984">
                  <c:v>5</c:v>
                </c:pt>
                <c:pt idx="985">
                  <c:v>6</c:v>
                </c:pt>
                <c:pt idx="986">
                  <c:v>7</c:v>
                </c:pt>
                <c:pt idx="987">
                  <c:v>5</c:v>
                </c:pt>
                <c:pt idx="988">
                  <c:v>5</c:v>
                </c:pt>
                <c:pt idx="989">
                  <c:v>6</c:v>
                </c:pt>
                <c:pt idx="990">
                  <c:v>5</c:v>
                </c:pt>
                <c:pt idx="991">
                  <c:v>5</c:v>
                </c:pt>
                <c:pt idx="992">
                  <c:v>6</c:v>
                </c:pt>
                <c:pt idx="993">
                  <c:v>5</c:v>
                </c:pt>
                <c:pt idx="994">
                  <c:v>5</c:v>
                </c:pt>
                <c:pt idx="995">
                  <c:v>6</c:v>
                </c:pt>
                <c:pt idx="996">
                  <c:v>7</c:v>
                </c:pt>
                <c:pt idx="997">
                  <c:v>7</c:v>
                </c:pt>
                <c:pt idx="998">
                  <c:v>6</c:v>
                </c:pt>
                <c:pt idx="999">
                  <c:v>6</c:v>
                </c:pt>
                <c:pt idx="1000">
                  <c:v>7</c:v>
                </c:pt>
                <c:pt idx="1001">
                  <c:v>7</c:v>
                </c:pt>
                <c:pt idx="1002">
                  <c:v>7</c:v>
                </c:pt>
                <c:pt idx="1003">
                  <c:v>7</c:v>
                </c:pt>
                <c:pt idx="1004">
                  <c:v>5</c:v>
                </c:pt>
                <c:pt idx="1005">
                  <c:v>7</c:v>
                </c:pt>
                <c:pt idx="1006">
                  <c:v>7</c:v>
                </c:pt>
                <c:pt idx="1007">
                  <c:v>7</c:v>
                </c:pt>
                <c:pt idx="1008">
                  <c:v>7</c:v>
                </c:pt>
                <c:pt idx="1009">
                  <c:v>5</c:v>
                </c:pt>
                <c:pt idx="1010">
                  <c:v>7</c:v>
                </c:pt>
                <c:pt idx="1011">
                  <c:v>6</c:v>
                </c:pt>
                <c:pt idx="1012">
                  <c:v>5</c:v>
                </c:pt>
                <c:pt idx="1013">
                  <c:v>6</c:v>
                </c:pt>
                <c:pt idx="1014">
                  <c:v>6</c:v>
                </c:pt>
                <c:pt idx="1015">
                  <c:v>6</c:v>
                </c:pt>
                <c:pt idx="1016">
                  <c:v>7</c:v>
                </c:pt>
                <c:pt idx="1017">
                  <c:v>6</c:v>
                </c:pt>
                <c:pt idx="1018">
                  <c:v>6</c:v>
                </c:pt>
                <c:pt idx="1019">
                  <c:v>5</c:v>
                </c:pt>
                <c:pt idx="1020">
                  <c:v>6</c:v>
                </c:pt>
                <c:pt idx="1021">
                  <c:v>6</c:v>
                </c:pt>
                <c:pt idx="1022">
                  <c:v>5</c:v>
                </c:pt>
                <c:pt idx="1023">
                  <c:v>6</c:v>
                </c:pt>
                <c:pt idx="1024">
                  <c:v>7</c:v>
                </c:pt>
                <c:pt idx="1025">
                  <c:v>6</c:v>
                </c:pt>
                <c:pt idx="1026">
                  <c:v>6</c:v>
                </c:pt>
                <c:pt idx="1027">
                  <c:v>5</c:v>
                </c:pt>
                <c:pt idx="1028">
                  <c:v>6</c:v>
                </c:pt>
                <c:pt idx="1029">
                  <c:v>7</c:v>
                </c:pt>
                <c:pt idx="1030">
                  <c:v>7</c:v>
                </c:pt>
                <c:pt idx="1031">
                  <c:v>7</c:v>
                </c:pt>
                <c:pt idx="1032">
                  <c:v>5</c:v>
                </c:pt>
                <c:pt idx="1033">
                  <c:v>6</c:v>
                </c:pt>
                <c:pt idx="1034">
                  <c:v>6</c:v>
                </c:pt>
                <c:pt idx="1035">
                  <c:v>7</c:v>
                </c:pt>
                <c:pt idx="1036">
                  <c:v>7</c:v>
                </c:pt>
                <c:pt idx="1037">
                  <c:v>5</c:v>
                </c:pt>
                <c:pt idx="1038">
                  <c:v>7</c:v>
                </c:pt>
                <c:pt idx="1039">
                  <c:v>6</c:v>
                </c:pt>
                <c:pt idx="1040">
                  <c:v>5</c:v>
                </c:pt>
                <c:pt idx="1041">
                  <c:v>6</c:v>
                </c:pt>
                <c:pt idx="1042">
                  <c:v>6</c:v>
                </c:pt>
                <c:pt idx="1043">
                  <c:v>7</c:v>
                </c:pt>
                <c:pt idx="1044">
                  <c:v>6</c:v>
                </c:pt>
                <c:pt idx="1045">
                  <c:v>6</c:v>
                </c:pt>
                <c:pt idx="1046">
                  <c:v>6</c:v>
                </c:pt>
                <c:pt idx="1047">
                  <c:v>5</c:v>
                </c:pt>
                <c:pt idx="1048">
                  <c:v>6</c:v>
                </c:pt>
                <c:pt idx="1049">
                  <c:v>6</c:v>
                </c:pt>
                <c:pt idx="1050">
                  <c:v>5</c:v>
                </c:pt>
                <c:pt idx="1051">
                  <c:v>5</c:v>
                </c:pt>
                <c:pt idx="1052">
                  <c:v>5</c:v>
                </c:pt>
                <c:pt idx="1053">
                  <c:v>7</c:v>
                </c:pt>
                <c:pt idx="1054">
                  <c:v>6</c:v>
                </c:pt>
                <c:pt idx="1055">
                  <c:v>6</c:v>
                </c:pt>
                <c:pt idx="1056">
                  <c:v>7</c:v>
                </c:pt>
                <c:pt idx="1057">
                  <c:v>5</c:v>
                </c:pt>
                <c:pt idx="1058">
                  <c:v>7</c:v>
                </c:pt>
                <c:pt idx="1059">
                  <c:v>7</c:v>
                </c:pt>
                <c:pt idx="1060">
                  <c:v>6</c:v>
                </c:pt>
                <c:pt idx="1061">
                  <c:v>8</c:v>
                </c:pt>
                <c:pt idx="1062">
                  <c:v>6</c:v>
                </c:pt>
                <c:pt idx="1063">
                  <c:v>6</c:v>
                </c:pt>
                <c:pt idx="1064">
                  <c:v>6</c:v>
                </c:pt>
                <c:pt idx="1065">
                  <c:v>6</c:v>
                </c:pt>
                <c:pt idx="1066">
                  <c:v>7</c:v>
                </c:pt>
                <c:pt idx="1067">
                  <c:v>7</c:v>
                </c:pt>
                <c:pt idx="1068">
                  <c:v>7</c:v>
                </c:pt>
                <c:pt idx="1069">
                  <c:v>5</c:v>
                </c:pt>
                <c:pt idx="1070">
                  <c:v>7</c:v>
                </c:pt>
                <c:pt idx="1071">
                  <c:v>5</c:v>
                </c:pt>
                <c:pt idx="1072">
                  <c:v>6</c:v>
                </c:pt>
                <c:pt idx="1073">
                  <c:v>6</c:v>
                </c:pt>
                <c:pt idx="1074">
                  <c:v>5</c:v>
                </c:pt>
                <c:pt idx="1075">
                  <c:v>7</c:v>
                </c:pt>
                <c:pt idx="1076">
                  <c:v>6</c:v>
                </c:pt>
                <c:pt idx="1077">
                  <c:v>5</c:v>
                </c:pt>
                <c:pt idx="1078">
                  <c:v>5</c:v>
                </c:pt>
                <c:pt idx="1079">
                  <c:v>7</c:v>
                </c:pt>
                <c:pt idx="1080">
                  <c:v>6</c:v>
                </c:pt>
                <c:pt idx="1081">
                  <c:v>7</c:v>
                </c:pt>
                <c:pt idx="1082">
                  <c:v>6</c:v>
                </c:pt>
                <c:pt idx="1083">
                  <c:v>6</c:v>
                </c:pt>
                <c:pt idx="1084">
                  <c:v>6</c:v>
                </c:pt>
                <c:pt idx="1085">
                  <c:v>5</c:v>
                </c:pt>
                <c:pt idx="1086">
                  <c:v>7</c:v>
                </c:pt>
                <c:pt idx="1087">
                  <c:v>6</c:v>
                </c:pt>
                <c:pt idx="1088">
                  <c:v>7</c:v>
                </c:pt>
                <c:pt idx="1089">
                  <c:v>7</c:v>
                </c:pt>
                <c:pt idx="1090">
                  <c:v>8</c:v>
                </c:pt>
                <c:pt idx="1091">
                  <c:v>6</c:v>
                </c:pt>
                <c:pt idx="1092">
                  <c:v>6</c:v>
                </c:pt>
                <c:pt idx="1093">
                  <c:v>7</c:v>
                </c:pt>
                <c:pt idx="1094">
                  <c:v>6</c:v>
                </c:pt>
                <c:pt idx="1095">
                  <c:v>5</c:v>
                </c:pt>
                <c:pt idx="1096">
                  <c:v>6</c:v>
                </c:pt>
                <c:pt idx="1097">
                  <c:v>5</c:v>
                </c:pt>
                <c:pt idx="1098">
                  <c:v>7</c:v>
                </c:pt>
                <c:pt idx="1099">
                  <c:v>5</c:v>
                </c:pt>
                <c:pt idx="1100">
                  <c:v>6</c:v>
                </c:pt>
                <c:pt idx="1101">
                  <c:v>6</c:v>
                </c:pt>
                <c:pt idx="1102">
                  <c:v>6</c:v>
                </c:pt>
                <c:pt idx="1103">
                  <c:v>6</c:v>
                </c:pt>
                <c:pt idx="1104">
                  <c:v>6</c:v>
                </c:pt>
                <c:pt idx="1105">
                  <c:v>5</c:v>
                </c:pt>
                <c:pt idx="1106">
                  <c:v>6</c:v>
                </c:pt>
                <c:pt idx="1107">
                  <c:v>7</c:v>
                </c:pt>
                <c:pt idx="1108">
                  <c:v>5</c:v>
                </c:pt>
                <c:pt idx="1109">
                  <c:v>6</c:v>
                </c:pt>
                <c:pt idx="1110">
                  <c:v>6</c:v>
                </c:pt>
                <c:pt idx="1111">
                  <c:v>7</c:v>
                </c:pt>
                <c:pt idx="1112">
                  <c:v>6</c:v>
                </c:pt>
                <c:pt idx="1113">
                  <c:v>6</c:v>
                </c:pt>
                <c:pt idx="1114">
                  <c:v>6</c:v>
                </c:pt>
                <c:pt idx="1115">
                  <c:v>6</c:v>
                </c:pt>
                <c:pt idx="1116">
                  <c:v>6</c:v>
                </c:pt>
                <c:pt idx="1117">
                  <c:v>6</c:v>
                </c:pt>
                <c:pt idx="1118">
                  <c:v>6</c:v>
                </c:pt>
                <c:pt idx="1119">
                  <c:v>5</c:v>
                </c:pt>
                <c:pt idx="1120">
                  <c:v>8</c:v>
                </c:pt>
                <c:pt idx="1121">
                  <c:v>6</c:v>
                </c:pt>
                <c:pt idx="1122">
                  <c:v>6</c:v>
                </c:pt>
                <c:pt idx="1123">
                  <c:v>6</c:v>
                </c:pt>
                <c:pt idx="1124">
                  <c:v>4</c:v>
                </c:pt>
                <c:pt idx="1125">
                  <c:v>7</c:v>
                </c:pt>
                <c:pt idx="1126">
                  <c:v>6</c:v>
                </c:pt>
                <c:pt idx="1127">
                  <c:v>6</c:v>
                </c:pt>
                <c:pt idx="1128">
                  <c:v>5</c:v>
                </c:pt>
                <c:pt idx="1129">
                  <c:v>6</c:v>
                </c:pt>
                <c:pt idx="1130">
                  <c:v>6</c:v>
                </c:pt>
                <c:pt idx="1131">
                  <c:v>5</c:v>
                </c:pt>
                <c:pt idx="1132">
                  <c:v>7</c:v>
                </c:pt>
                <c:pt idx="1133">
                  <c:v>7</c:v>
                </c:pt>
                <c:pt idx="1134">
                  <c:v>7</c:v>
                </c:pt>
                <c:pt idx="1135">
                  <c:v>6</c:v>
                </c:pt>
                <c:pt idx="1136">
                  <c:v>6</c:v>
                </c:pt>
                <c:pt idx="1137">
                  <c:v>6</c:v>
                </c:pt>
                <c:pt idx="1138">
                  <c:v>5</c:v>
                </c:pt>
                <c:pt idx="1139">
                  <c:v>6</c:v>
                </c:pt>
                <c:pt idx="1140">
                  <c:v>6</c:v>
                </c:pt>
                <c:pt idx="1141">
                  <c:v>6</c:v>
                </c:pt>
                <c:pt idx="1142">
                  <c:v>6</c:v>
                </c:pt>
                <c:pt idx="1143">
                  <c:v>6</c:v>
                </c:pt>
                <c:pt idx="1144">
                  <c:v>5</c:v>
                </c:pt>
                <c:pt idx="1145">
                  <c:v>6</c:v>
                </c:pt>
                <c:pt idx="1146">
                  <c:v>6</c:v>
                </c:pt>
                <c:pt idx="1147">
                  <c:v>7</c:v>
                </c:pt>
                <c:pt idx="1148">
                  <c:v>6</c:v>
                </c:pt>
                <c:pt idx="1149">
                  <c:v>6</c:v>
                </c:pt>
                <c:pt idx="1150">
                  <c:v>7</c:v>
                </c:pt>
                <c:pt idx="1151">
                  <c:v>6</c:v>
                </c:pt>
                <c:pt idx="1152">
                  <c:v>5</c:v>
                </c:pt>
                <c:pt idx="1153">
                  <c:v>6</c:v>
                </c:pt>
                <c:pt idx="1154">
                  <c:v>6</c:v>
                </c:pt>
                <c:pt idx="1155">
                  <c:v>5</c:v>
                </c:pt>
                <c:pt idx="1156">
                  <c:v>7</c:v>
                </c:pt>
                <c:pt idx="1157">
                  <c:v>7</c:v>
                </c:pt>
                <c:pt idx="1158">
                  <c:v>6</c:v>
                </c:pt>
                <c:pt idx="1159">
                  <c:v>5</c:v>
                </c:pt>
                <c:pt idx="1160">
                  <c:v>7</c:v>
                </c:pt>
                <c:pt idx="1161">
                  <c:v>6</c:v>
                </c:pt>
                <c:pt idx="1162">
                  <c:v>7</c:v>
                </c:pt>
                <c:pt idx="1163">
                  <c:v>5</c:v>
                </c:pt>
                <c:pt idx="1164">
                  <c:v>5</c:v>
                </c:pt>
                <c:pt idx="1165">
                  <c:v>5</c:v>
                </c:pt>
                <c:pt idx="1166">
                  <c:v>5</c:v>
                </c:pt>
                <c:pt idx="1167">
                  <c:v>7</c:v>
                </c:pt>
                <c:pt idx="1168">
                  <c:v>6</c:v>
                </c:pt>
                <c:pt idx="1169">
                  <c:v>6</c:v>
                </c:pt>
                <c:pt idx="1170">
                  <c:v>6</c:v>
                </c:pt>
                <c:pt idx="1171">
                  <c:v>6</c:v>
                </c:pt>
                <c:pt idx="1172">
                  <c:v>6</c:v>
                </c:pt>
                <c:pt idx="1173">
                  <c:v>6</c:v>
                </c:pt>
                <c:pt idx="1174">
                  <c:v>6</c:v>
                </c:pt>
                <c:pt idx="1175">
                  <c:v>6</c:v>
                </c:pt>
                <c:pt idx="1176">
                  <c:v>4</c:v>
                </c:pt>
                <c:pt idx="1177">
                  <c:v>7</c:v>
                </c:pt>
                <c:pt idx="1178">
                  <c:v>5</c:v>
                </c:pt>
                <c:pt idx="1179">
                  <c:v>6</c:v>
                </c:pt>
                <c:pt idx="1180">
                  <c:v>6</c:v>
                </c:pt>
                <c:pt idx="1181">
                  <c:v>5</c:v>
                </c:pt>
                <c:pt idx="1182">
                  <c:v>6</c:v>
                </c:pt>
                <c:pt idx="1183">
                  <c:v>5</c:v>
                </c:pt>
                <c:pt idx="1184">
                  <c:v>5</c:v>
                </c:pt>
                <c:pt idx="1185">
                  <c:v>6</c:v>
                </c:pt>
                <c:pt idx="1186">
                  <c:v>5</c:v>
                </c:pt>
                <c:pt idx="1187">
                  <c:v>6</c:v>
                </c:pt>
                <c:pt idx="1188">
                  <c:v>5</c:v>
                </c:pt>
                <c:pt idx="1189">
                  <c:v>4</c:v>
                </c:pt>
                <c:pt idx="1190">
                  <c:v>6</c:v>
                </c:pt>
                <c:pt idx="1191">
                  <c:v>5</c:v>
                </c:pt>
                <c:pt idx="1192">
                  <c:v>7</c:v>
                </c:pt>
                <c:pt idx="1193">
                  <c:v>5</c:v>
                </c:pt>
                <c:pt idx="1194">
                  <c:v>6</c:v>
                </c:pt>
                <c:pt idx="1195">
                  <c:v>6</c:v>
                </c:pt>
                <c:pt idx="1196">
                  <c:v>6</c:v>
                </c:pt>
                <c:pt idx="1197">
                  <c:v>6</c:v>
                </c:pt>
                <c:pt idx="1198">
                  <c:v>6</c:v>
                </c:pt>
                <c:pt idx="1199">
                  <c:v>6</c:v>
                </c:pt>
                <c:pt idx="1200">
                  <c:v>6</c:v>
                </c:pt>
                <c:pt idx="1201">
                  <c:v>7</c:v>
                </c:pt>
                <c:pt idx="1202">
                  <c:v>8</c:v>
                </c:pt>
                <c:pt idx="1203">
                  <c:v>5</c:v>
                </c:pt>
                <c:pt idx="1204">
                  <c:v>7</c:v>
                </c:pt>
                <c:pt idx="1205">
                  <c:v>7</c:v>
                </c:pt>
                <c:pt idx="1206">
                  <c:v>7</c:v>
                </c:pt>
                <c:pt idx="1207">
                  <c:v>5</c:v>
                </c:pt>
                <c:pt idx="1208">
                  <c:v>7</c:v>
                </c:pt>
                <c:pt idx="1209">
                  <c:v>7</c:v>
                </c:pt>
                <c:pt idx="1210">
                  <c:v>6</c:v>
                </c:pt>
                <c:pt idx="1211">
                  <c:v>5</c:v>
                </c:pt>
                <c:pt idx="1212">
                  <c:v>6</c:v>
                </c:pt>
                <c:pt idx="1213">
                  <c:v>6</c:v>
                </c:pt>
                <c:pt idx="1214">
                  <c:v>6</c:v>
                </c:pt>
                <c:pt idx="1215">
                  <c:v>6</c:v>
                </c:pt>
                <c:pt idx="1216">
                  <c:v>6</c:v>
                </c:pt>
                <c:pt idx="1217">
                  <c:v>6</c:v>
                </c:pt>
                <c:pt idx="1218">
                  <c:v>6</c:v>
                </c:pt>
                <c:pt idx="1219">
                  <c:v>6</c:v>
                </c:pt>
                <c:pt idx="1220">
                  <c:v>6</c:v>
                </c:pt>
                <c:pt idx="1221">
                  <c:v>6</c:v>
                </c:pt>
                <c:pt idx="1222">
                  <c:v>6</c:v>
                </c:pt>
                <c:pt idx="1223">
                  <c:v>6</c:v>
                </c:pt>
                <c:pt idx="1224">
                  <c:v>6</c:v>
                </c:pt>
                <c:pt idx="1225">
                  <c:v>5</c:v>
                </c:pt>
                <c:pt idx="1226">
                  <c:v>5</c:v>
                </c:pt>
                <c:pt idx="1227">
                  <c:v>5</c:v>
                </c:pt>
                <c:pt idx="1228">
                  <c:v>7</c:v>
                </c:pt>
                <c:pt idx="1229">
                  <c:v>5</c:v>
                </c:pt>
                <c:pt idx="1230">
                  <c:v>6</c:v>
                </c:pt>
                <c:pt idx="1231">
                  <c:v>5</c:v>
                </c:pt>
                <c:pt idx="1232">
                  <c:v>5</c:v>
                </c:pt>
                <c:pt idx="1233">
                  <c:v>4</c:v>
                </c:pt>
                <c:pt idx="1234">
                  <c:v>6</c:v>
                </c:pt>
                <c:pt idx="1235">
                  <c:v>4</c:v>
                </c:pt>
                <c:pt idx="1236">
                  <c:v>6</c:v>
                </c:pt>
                <c:pt idx="1237">
                  <c:v>6</c:v>
                </c:pt>
                <c:pt idx="1238">
                  <c:v>4</c:v>
                </c:pt>
                <c:pt idx="1239">
                  <c:v>4</c:v>
                </c:pt>
                <c:pt idx="1240">
                  <c:v>5</c:v>
                </c:pt>
                <c:pt idx="1241">
                  <c:v>5</c:v>
                </c:pt>
                <c:pt idx="1242">
                  <c:v>6</c:v>
                </c:pt>
                <c:pt idx="1243">
                  <c:v>5</c:v>
                </c:pt>
                <c:pt idx="1244">
                  <c:v>6</c:v>
                </c:pt>
                <c:pt idx="1245">
                  <c:v>5</c:v>
                </c:pt>
                <c:pt idx="1246">
                  <c:v>5</c:v>
                </c:pt>
                <c:pt idx="1247">
                  <c:v>5</c:v>
                </c:pt>
                <c:pt idx="1248">
                  <c:v>6</c:v>
                </c:pt>
                <c:pt idx="1249">
                  <c:v>6</c:v>
                </c:pt>
                <c:pt idx="1250">
                  <c:v>6</c:v>
                </c:pt>
                <c:pt idx="1251">
                  <c:v>5</c:v>
                </c:pt>
                <c:pt idx="1252">
                  <c:v>5</c:v>
                </c:pt>
                <c:pt idx="1253">
                  <c:v>5</c:v>
                </c:pt>
                <c:pt idx="1254">
                  <c:v>5</c:v>
                </c:pt>
                <c:pt idx="1255">
                  <c:v>5</c:v>
                </c:pt>
                <c:pt idx="1256">
                  <c:v>5</c:v>
                </c:pt>
                <c:pt idx="1257">
                  <c:v>6</c:v>
                </c:pt>
                <c:pt idx="1258">
                  <c:v>6</c:v>
                </c:pt>
                <c:pt idx="1259">
                  <c:v>6</c:v>
                </c:pt>
                <c:pt idx="1260">
                  <c:v>5</c:v>
                </c:pt>
                <c:pt idx="1261">
                  <c:v>4</c:v>
                </c:pt>
                <c:pt idx="1262">
                  <c:v>5</c:v>
                </c:pt>
                <c:pt idx="1263">
                  <c:v>4</c:v>
                </c:pt>
                <c:pt idx="1264">
                  <c:v>6</c:v>
                </c:pt>
                <c:pt idx="1265">
                  <c:v>6</c:v>
                </c:pt>
                <c:pt idx="1266">
                  <c:v>6</c:v>
                </c:pt>
                <c:pt idx="1267">
                  <c:v>6</c:v>
                </c:pt>
                <c:pt idx="1268">
                  <c:v>6</c:v>
                </c:pt>
                <c:pt idx="1269">
                  <c:v>8</c:v>
                </c:pt>
                <c:pt idx="1270">
                  <c:v>6</c:v>
                </c:pt>
                <c:pt idx="1271">
                  <c:v>6</c:v>
                </c:pt>
                <c:pt idx="1272">
                  <c:v>5</c:v>
                </c:pt>
                <c:pt idx="1273">
                  <c:v>5</c:v>
                </c:pt>
                <c:pt idx="1274">
                  <c:v>6</c:v>
                </c:pt>
                <c:pt idx="1275">
                  <c:v>6</c:v>
                </c:pt>
                <c:pt idx="1276">
                  <c:v>4</c:v>
                </c:pt>
                <c:pt idx="1277">
                  <c:v>6</c:v>
                </c:pt>
                <c:pt idx="1278">
                  <c:v>6</c:v>
                </c:pt>
                <c:pt idx="1279">
                  <c:v>7</c:v>
                </c:pt>
                <c:pt idx="1280">
                  <c:v>6</c:v>
                </c:pt>
                <c:pt idx="1281">
                  <c:v>6</c:v>
                </c:pt>
                <c:pt idx="1282">
                  <c:v>6</c:v>
                </c:pt>
                <c:pt idx="1283">
                  <c:v>6</c:v>
                </c:pt>
                <c:pt idx="1284">
                  <c:v>5</c:v>
                </c:pt>
                <c:pt idx="1285">
                  <c:v>5</c:v>
                </c:pt>
                <c:pt idx="1286">
                  <c:v>6</c:v>
                </c:pt>
                <c:pt idx="1287">
                  <c:v>5</c:v>
                </c:pt>
                <c:pt idx="1288">
                  <c:v>5</c:v>
                </c:pt>
                <c:pt idx="1289">
                  <c:v>5</c:v>
                </c:pt>
                <c:pt idx="1290">
                  <c:v>5</c:v>
                </c:pt>
                <c:pt idx="1291">
                  <c:v>6</c:v>
                </c:pt>
                <c:pt idx="1292">
                  <c:v>6</c:v>
                </c:pt>
                <c:pt idx="1293">
                  <c:v>4</c:v>
                </c:pt>
                <c:pt idx="1294">
                  <c:v>6</c:v>
                </c:pt>
                <c:pt idx="1295">
                  <c:v>5</c:v>
                </c:pt>
                <c:pt idx="1296">
                  <c:v>5</c:v>
                </c:pt>
                <c:pt idx="1297">
                  <c:v>6</c:v>
                </c:pt>
                <c:pt idx="1298">
                  <c:v>6</c:v>
                </c:pt>
                <c:pt idx="1299">
                  <c:v>3</c:v>
                </c:pt>
                <c:pt idx="1300">
                  <c:v>6</c:v>
                </c:pt>
                <c:pt idx="1301">
                  <c:v>6</c:v>
                </c:pt>
                <c:pt idx="1302">
                  <c:v>6</c:v>
                </c:pt>
                <c:pt idx="1303">
                  <c:v>5</c:v>
                </c:pt>
                <c:pt idx="1304">
                  <c:v>5</c:v>
                </c:pt>
                <c:pt idx="1305">
                  <c:v>5</c:v>
                </c:pt>
                <c:pt idx="1306">
                  <c:v>5</c:v>
                </c:pt>
                <c:pt idx="1307">
                  <c:v>4</c:v>
                </c:pt>
                <c:pt idx="1308">
                  <c:v>5</c:v>
                </c:pt>
                <c:pt idx="1309">
                  <c:v>5</c:v>
                </c:pt>
                <c:pt idx="1310">
                  <c:v>5</c:v>
                </c:pt>
                <c:pt idx="1311">
                  <c:v>6</c:v>
                </c:pt>
                <c:pt idx="1312">
                  <c:v>5</c:v>
                </c:pt>
                <c:pt idx="1313">
                  <c:v>6</c:v>
                </c:pt>
                <c:pt idx="1314">
                  <c:v>6</c:v>
                </c:pt>
                <c:pt idx="1315">
                  <c:v>6</c:v>
                </c:pt>
                <c:pt idx="1316">
                  <c:v>6</c:v>
                </c:pt>
                <c:pt idx="1317">
                  <c:v>6</c:v>
                </c:pt>
                <c:pt idx="1318">
                  <c:v>6</c:v>
                </c:pt>
                <c:pt idx="1319">
                  <c:v>6</c:v>
                </c:pt>
                <c:pt idx="1320">
                  <c:v>5</c:v>
                </c:pt>
                <c:pt idx="1321">
                  <c:v>6</c:v>
                </c:pt>
                <c:pt idx="1322">
                  <c:v>5</c:v>
                </c:pt>
                <c:pt idx="1323">
                  <c:v>7</c:v>
                </c:pt>
                <c:pt idx="1324">
                  <c:v>6</c:v>
                </c:pt>
                <c:pt idx="1325">
                  <c:v>6</c:v>
                </c:pt>
                <c:pt idx="1326">
                  <c:v>6</c:v>
                </c:pt>
                <c:pt idx="1327">
                  <c:v>6</c:v>
                </c:pt>
                <c:pt idx="1328">
                  <c:v>5</c:v>
                </c:pt>
                <c:pt idx="1329">
                  <c:v>6</c:v>
                </c:pt>
                <c:pt idx="1330">
                  <c:v>6</c:v>
                </c:pt>
                <c:pt idx="1331">
                  <c:v>5</c:v>
                </c:pt>
                <c:pt idx="1332">
                  <c:v>6</c:v>
                </c:pt>
                <c:pt idx="1333">
                  <c:v>5</c:v>
                </c:pt>
                <c:pt idx="1334">
                  <c:v>5</c:v>
                </c:pt>
                <c:pt idx="1335">
                  <c:v>6</c:v>
                </c:pt>
                <c:pt idx="1336">
                  <c:v>5</c:v>
                </c:pt>
                <c:pt idx="1337">
                  <c:v>5</c:v>
                </c:pt>
                <c:pt idx="1338">
                  <c:v>5</c:v>
                </c:pt>
                <c:pt idx="1339">
                  <c:v>6</c:v>
                </c:pt>
                <c:pt idx="1340">
                  <c:v>6</c:v>
                </c:pt>
                <c:pt idx="1341">
                  <c:v>6</c:v>
                </c:pt>
                <c:pt idx="1342">
                  <c:v>6</c:v>
                </c:pt>
                <c:pt idx="1343">
                  <c:v>6</c:v>
                </c:pt>
                <c:pt idx="1344">
                  <c:v>5</c:v>
                </c:pt>
                <c:pt idx="1345">
                  <c:v>6</c:v>
                </c:pt>
                <c:pt idx="1346">
                  <c:v>5</c:v>
                </c:pt>
                <c:pt idx="1347">
                  <c:v>5</c:v>
                </c:pt>
                <c:pt idx="1348">
                  <c:v>5</c:v>
                </c:pt>
                <c:pt idx="1349">
                  <c:v>5</c:v>
                </c:pt>
                <c:pt idx="1350">
                  <c:v>5</c:v>
                </c:pt>
                <c:pt idx="1351">
                  <c:v>6</c:v>
                </c:pt>
                <c:pt idx="1352">
                  <c:v>5</c:v>
                </c:pt>
                <c:pt idx="1353">
                  <c:v>5</c:v>
                </c:pt>
                <c:pt idx="1354">
                  <c:v>5</c:v>
                </c:pt>
                <c:pt idx="1355">
                  <c:v>5</c:v>
                </c:pt>
                <c:pt idx="1356">
                  <c:v>5</c:v>
                </c:pt>
                <c:pt idx="1357">
                  <c:v>6</c:v>
                </c:pt>
                <c:pt idx="1358">
                  <c:v>5</c:v>
                </c:pt>
                <c:pt idx="1359">
                  <c:v>6</c:v>
                </c:pt>
                <c:pt idx="1360">
                  <c:v>5</c:v>
                </c:pt>
                <c:pt idx="1361">
                  <c:v>5</c:v>
                </c:pt>
                <c:pt idx="1362">
                  <c:v>6</c:v>
                </c:pt>
                <c:pt idx="1363">
                  <c:v>4</c:v>
                </c:pt>
                <c:pt idx="1364">
                  <c:v>6</c:v>
                </c:pt>
                <c:pt idx="1365">
                  <c:v>5</c:v>
                </c:pt>
                <c:pt idx="1366">
                  <c:v>5</c:v>
                </c:pt>
                <c:pt idx="1367">
                  <c:v>6</c:v>
                </c:pt>
                <c:pt idx="1368">
                  <c:v>6</c:v>
                </c:pt>
                <c:pt idx="1369">
                  <c:v>4</c:v>
                </c:pt>
                <c:pt idx="1370">
                  <c:v>5</c:v>
                </c:pt>
                <c:pt idx="1371">
                  <c:v>6</c:v>
                </c:pt>
                <c:pt idx="1372">
                  <c:v>5</c:v>
                </c:pt>
                <c:pt idx="1373">
                  <c:v>5</c:v>
                </c:pt>
                <c:pt idx="1374">
                  <c:v>3</c:v>
                </c:pt>
                <c:pt idx="1375">
                  <c:v>5</c:v>
                </c:pt>
                <c:pt idx="1376">
                  <c:v>5</c:v>
                </c:pt>
                <c:pt idx="1377">
                  <c:v>6</c:v>
                </c:pt>
                <c:pt idx="1378">
                  <c:v>6</c:v>
                </c:pt>
                <c:pt idx="1379">
                  <c:v>6</c:v>
                </c:pt>
                <c:pt idx="1380">
                  <c:v>6</c:v>
                </c:pt>
                <c:pt idx="1381">
                  <c:v>5</c:v>
                </c:pt>
                <c:pt idx="1382">
                  <c:v>5</c:v>
                </c:pt>
                <c:pt idx="1383">
                  <c:v>5</c:v>
                </c:pt>
                <c:pt idx="1384">
                  <c:v>5</c:v>
                </c:pt>
                <c:pt idx="1385">
                  <c:v>5</c:v>
                </c:pt>
                <c:pt idx="1386">
                  <c:v>5</c:v>
                </c:pt>
                <c:pt idx="1387">
                  <c:v>5</c:v>
                </c:pt>
                <c:pt idx="1388">
                  <c:v>5</c:v>
                </c:pt>
                <c:pt idx="1389">
                  <c:v>5</c:v>
                </c:pt>
                <c:pt idx="1390">
                  <c:v>6</c:v>
                </c:pt>
                <c:pt idx="1391">
                  <c:v>5</c:v>
                </c:pt>
                <c:pt idx="1392">
                  <c:v>5</c:v>
                </c:pt>
                <c:pt idx="1393">
                  <c:v>5</c:v>
                </c:pt>
                <c:pt idx="1394">
                  <c:v>5</c:v>
                </c:pt>
                <c:pt idx="1395">
                  <c:v>6</c:v>
                </c:pt>
                <c:pt idx="1396">
                  <c:v>5</c:v>
                </c:pt>
                <c:pt idx="1397">
                  <c:v>5</c:v>
                </c:pt>
                <c:pt idx="1398">
                  <c:v>7</c:v>
                </c:pt>
                <c:pt idx="1399">
                  <c:v>6</c:v>
                </c:pt>
                <c:pt idx="1400">
                  <c:v>5</c:v>
                </c:pt>
                <c:pt idx="1401">
                  <c:v>5</c:v>
                </c:pt>
                <c:pt idx="1402">
                  <c:v>6</c:v>
                </c:pt>
                <c:pt idx="1403">
                  <c:v>8</c:v>
                </c:pt>
                <c:pt idx="1404">
                  <c:v>6</c:v>
                </c:pt>
                <c:pt idx="1405">
                  <c:v>7</c:v>
                </c:pt>
                <c:pt idx="1406">
                  <c:v>6</c:v>
                </c:pt>
                <c:pt idx="1407">
                  <c:v>6</c:v>
                </c:pt>
                <c:pt idx="1408">
                  <c:v>7</c:v>
                </c:pt>
                <c:pt idx="1409">
                  <c:v>6</c:v>
                </c:pt>
                <c:pt idx="1410">
                  <c:v>6</c:v>
                </c:pt>
                <c:pt idx="1411">
                  <c:v>6</c:v>
                </c:pt>
                <c:pt idx="1412">
                  <c:v>6</c:v>
                </c:pt>
                <c:pt idx="1413">
                  <c:v>5</c:v>
                </c:pt>
                <c:pt idx="1414">
                  <c:v>5</c:v>
                </c:pt>
                <c:pt idx="1415">
                  <c:v>5</c:v>
                </c:pt>
                <c:pt idx="1416">
                  <c:v>5</c:v>
                </c:pt>
                <c:pt idx="1417">
                  <c:v>7</c:v>
                </c:pt>
                <c:pt idx="1418">
                  <c:v>5</c:v>
                </c:pt>
                <c:pt idx="1419">
                  <c:v>5</c:v>
                </c:pt>
                <c:pt idx="1420">
                  <c:v>5</c:v>
                </c:pt>
                <c:pt idx="1421">
                  <c:v>5</c:v>
                </c:pt>
                <c:pt idx="1422">
                  <c:v>6</c:v>
                </c:pt>
                <c:pt idx="1423">
                  <c:v>4</c:v>
                </c:pt>
                <c:pt idx="1424">
                  <c:v>6</c:v>
                </c:pt>
                <c:pt idx="1425">
                  <c:v>6</c:v>
                </c:pt>
                <c:pt idx="1426">
                  <c:v>6</c:v>
                </c:pt>
                <c:pt idx="1427">
                  <c:v>5</c:v>
                </c:pt>
                <c:pt idx="1428">
                  <c:v>5</c:v>
                </c:pt>
                <c:pt idx="1429">
                  <c:v>5</c:v>
                </c:pt>
                <c:pt idx="1430">
                  <c:v>5</c:v>
                </c:pt>
                <c:pt idx="1431">
                  <c:v>6</c:v>
                </c:pt>
                <c:pt idx="1432">
                  <c:v>6</c:v>
                </c:pt>
                <c:pt idx="1433">
                  <c:v>7</c:v>
                </c:pt>
                <c:pt idx="1434">
                  <c:v>6</c:v>
                </c:pt>
                <c:pt idx="1435">
                  <c:v>6</c:v>
                </c:pt>
                <c:pt idx="1436">
                  <c:v>5</c:v>
                </c:pt>
                <c:pt idx="1437">
                  <c:v>5</c:v>
                </c:pt>
                <c:pt idx="1438">
                  <c:v>5</c:v>
                </c:pt>
                <c:pt idx="1439">
                  <c:v>6</c:v>
                </c:pt>
                <c:pt idx="1440">
                  <c:v>7</c:v>
                </c:pt>
                <c:pt idx="1441">
                  <c:v>6</c:v>
                </c:pt>
                <c:pt idx="1442">
                  <c:v>5</c:v>
                </c:pt>
                <c:pt idx="1443">
                  <c:v>5</c:v>
                </c:pt>
                <c:pt idx="1444">
                  <c:v>6</c:v>
                </c:pt>
                <c:pt idx="1445">
                  <c:v>6</c:v>
                </c:pt>
                <c:pt idx="1446">
                  <c:v>5</c:v>
                </c:pt>
                <c:pt idx="1447">
                  <c:v>5</c:v>
                </c:pt>
                <c:pt idx="1448">
                  <c:v>5</c:v>
                </c:pt>
                <c:pt idx="1449">
                  <c:v>8</c:v>
                </c:pt>
                <c:pt idx="1450">
                  <c:v>7</c:v>
                </c:pt>
                <c:pt idx="1451">
                  <c:v>7</c:v>
                </c:pt>
                <c:pt idx="1452">
                  <c:v>7</c:v>
                </c:pt>
                <c:pt idx="1453">
                  <c:v>5</c:v>
                </c:pt>
                <c:pt idx="1454">
                  <c:v>6</c:v>
                </c:pt>
                <c:pt idx="1455">
                  <c:v>6</c:v>
                </c:pt>
                <c:pt idx="1456">
                  <c:v>6</c:v>
                </c:pt>
                <c:pt idx="1457">
                  <c:v>5</c:v>
                </c:pt>
                <c:pt idx="1458">
                  <c:v>5</c:v>
                </c:pt>
                <c:pt idx="1459">
                  <c:v>7</c:v>
                </c:pt>
                <c:pt idx="1460">
                  <c:v>6</c:v>
                </c:pt>
                <c:pt idx="1461">
                  <c:v>4</c:v>
                </c:pt>
                <c:pt idx="1462">
                  <c:v>6</c:v>
                </c:pt>
                <c:pt idx="1463">
                  <c:v>6</c:v>
                </c:pt>
                <c:pt idx="1464">
                  <c:v>5</c:v>
                </c:pt>
                <c:pt idx="1465">
                  <c:v>5</c:v>
                </c:pt>
                <c:pt idx="1466">
                  <c:v>7</c:v>
                </c:pt>
                <c:pt idx="1467">
                  <c:v>4</c:v>
                </c:pt>
                <c:pt idx="1468">
                  <c:v>7</c:v>
                </c:pt>
                <c:pt idx="1469">
                  <c:v>3</c:v>
                </c:pt>
                <c:pt idx="1470">
                  <c:v>5</c:v>
                </c:pt>
                <c:pt idx="1471">
                  <c:v>5</c:v>
                </c:pt>
                <c:pt idx="1472">
                  <c:v>6</c:v>
                </c:pt>
                <c:pt idx="1473">
                  <c:v>5</c:v>
                </c:pt>
                <c:pt idx="1474">
                  <c:v>5</c:v>
                </c:pt>
                <c:pt idx="1475">
                  <c:v>7</c:v>
                </c:pt>
                <c:pt idx="1476">
                  <c:v>5</c:v>
                </c:pt>
                <c:pt idx="1477">
                  <c:v>7</c:v>
                </c:pt>
                <c:pt idx="1478">
                  <c:v>3</c:v>
                </c:pt>
                <c:pt idx="1479">
                  <c:v>5</c:v>
                </c:pt>
                <c:pt idx="1480">
                  <c:v>4</c:v>
                </c:pt>
                <c:pt idx="1481">
                  <c:v>5</c:v>
                </c:pt>
                <c:pt idx="1482">
                  <c:v>4</c:v>
                </c:pt>
                <c:pt idx="1483">
                  <c:v>5</c:v>
                </c:pt>
                <c:pt idx="1484">
                  <c:v>4</c:v>
                </c:pt>
                <c:pt idx="1485">
                  <c:v>5</c:v>
                </c:pt>
                <c:pt idx="1486">
                  <c:v>5</c:v>
                </c:pt>
                <c:pt idx="1487">
                  <c:v>5</c:v>
                </c:pt>
                <c:pt idx="1488">
                  <c:v>5</c:v>
                </c:pt>
                <c:pt idx="1489">
                  <c:v>6</c:v>
                </c:pt>
                <c:pt idx="1490">
                  <c:v>6</c:v>
                </c:pt>
                <c:pt idx="1491">
                  <c:v>5</c:v>
                </c:pt>
                <c:pt idx="1492">
                  <c:v>5</c:v>
                </c:pt>
                <c:pt idx="1493">
                  <c:v>5</c:v>
                </c:pt>
                <c:pt idx="1494">
                  <c:v>7</c:v>
                </c:pt>
                <c:pt idx="1495">
                  <c:v>6</c:v>
                </c:pt>
                <c:pt idx="1496">
                  <c:v>5</c:v>
                </c:pt>
                <c:pt idx="1497">
                  <c:v>6</c:v>
                </c:pt>
                <c:pt idx="1498">
                  <c:v>6</c:v>
                </c:pt>
                <c:pt idx="1499">
                  <c:v>6</c:v>
                </c:pt>
                <c:pt idx="1500">
                  <c:v>5</c:v>
                </c:pt>
                <c:pt idx="1501">
                  <c:v>5</c:v>
                </c:pt>
                <c:pt idx="1502">
                  <c:v>5</c:v>
                </c:pt>
                <c:pt idx="1503">
                  <c:v>6</c:v>
                </c:pt>
                <c:pt idx="1504">
                  <c:v>6</c:v>
                </c:pt>
                <c:pt idx="1505">
                  <c:v>3</c:v>
                </c:pt>
                <c:pt idx="1506">
                  <c:v>6</c:v>
                </c:pt>
                <c:pt idx="1507">
                  <c:v>6</c:v>
                </c:pt>
                <c:pt idx="1508">
                  <c:v>6</c:v>
                </c:pt>
                <c:pt idx="1509">
                  <c:v>5</c:v>
                </c:pt>
                <c:pt idx="1510">
                  <c:v>6</c:v>
                </c:pt>
                <c:pt idx="1511">
                  <c:v>5</c:v>
                </c:pt>
                <c:pt idx="1512">
                  <c:v>6</c:v>
                </c:pt>
                <c:pt idx="1513">
                  <c:v>6</c:v>
                </c:pt>
                <c:pt idx="1514">
                  <c:v>6</c:v>
                </c:pt>
                <c:pt idx="1515">
                  <c:v>6</c:v>
                </c:pt>
                <c:pt idx="1516">
                  <c:v>5</c:v>
                </c:pt>
                <c:pt idx="1517">
                  <c:v>6</c:v>
                </c:pt>
                <c:pt idx="1518">
                  <c:v>5</c:v>
                </c:pt>
                <c:pt idx="1519">
                  <c:v>5</c:v>
                </c:pt>
                <c:pt idx="1520">
                  <c:v>6</c:v>
                </c:pt>
                <c:pt idx="1521">
                  <c:v>4</c:v>
                </c:pt>
                <c:pt idx="1522">
                  <c:v>5</c:v>
                </c:pt>
                <c:pt idx="1523">
                  <c:v>5</c:v>
                </c:pt>
                <c:pt idx="1524">
                  <c:v>6</c:v>
                </c:pt>
                <c:pt idx="1525">
                  <c:v>5</c:v>
                </c:pt>
                <c:pt idx="1526">
                  <c:v>6</c:v>
                </c:pt>
                <c:pt idx="1527">
                  <c:v>6</c:v>
                </c:pt>
                <c:pt idx="1528">
                  <c:v>6</c:v>
                </c:pt>
                <c:pt idx="1529">
                  <c:v>6</c:v>
                </c:pt>
                <c:pt idx="1530">
                  <c:v>6</c:v>
                </c:pt>
                <c:pt idx="1531">
                  <c:v>5</c:v>
                </c:pt>
                <c:pt idx="1532">
                  <c:v>6</c:v>
                </c:pt>
                <c:pt idx="1533">
                  <c:v>5</c:v>
                </c:pt>
                <c:pt idx="1534">
                  <c:v>7</c:v>
                </c:pt>
                <c:pt idx="1535">
                  <c:v>6</c:v>
                </c:pt>
                <c:pt idx="1536">
                  <c:v>6</c:v>
                </c:pt>
                <c:pt idx="1537">
                  <c:v>6</c:v>
                </c:pt>
                <c:pt idx="1538">
                  <c:v>5</c:v>
                </c:pt>
                <c:pt idx="1539">
                  <c:v>5</c:v>
                </c:pt>
                <c:pt idx="1540">
                  <c:v>6</c:v>
                </c:pt>
                <c:pt idx="1541">
                  <c:v>7</c:v>
                </c:pt>
                <c:pt idx="1542">
                  <c:v>6</c:v>
                </c:pt>
                <c:pt idx="1543">
                  <c:v>6</c:v>
                </c:pt>
                <c:pt idx="1544">
                  <c:v>7</c:v>
                </c:pt>
                <c:pt idx="1545">
                  <c:v>6</c:v>
                </c:pt>
                <c:pt idx="1546">
                  <c:v>5</c:v>
                </c:pt>
                <c:pt idx="1547">
                  <c:v>5</c:v>
                </c:pt>
                <c:pt idx="1548">
                  <c:v>5</c:v>
                </c:pt>
                <c:pt idx="1549">
                  <c:v>8</c:v>
                </c:pt>
                <c:pt idx="1550">
                  <c:v>5</c:v>
                </c:pt>
                <c:pt idx="1551">
                  <c:v>5</c:v>
                </c:pt>
                <c:pt idx="1552">
                  <c:v>6</c:v>
                </c:pt>
                <c:pt idx="1553">
                  <c:v>5</c:v>
                </c:pt>
                <c:pt idx="1554">
                  <c:v>6</c:v>
                </c:pt>
                <c:pt idx="1555">
                  <c:v>7</c:v>
                </c:pt>
                <c:pt idx="1556">
                  <c:v>5</c:v>
                </c:pt>
                <c:pt idx="1557">
                  <c:v>6</c:v>
                </c:pt>
                <c:pt idx="1558">
                  <c:v>5</c:v>
                </c:pt>
                <c:pt idx="1559">
                  <c:v>5</c:v>
                </c:pt>
                <c:pt idx="1560">
                  <c:v>5</c:v>
                </c:pt>
                <c:pt idx="1561">
                  <c:v>5</c:v>
                </c:pt>
                <c:pt idx="1562">
                  <c:v>5</c:v>
                </c:pt>
                <c:pt idx="1563">
                  <c:v>5</c:v>
                </c:pt>
                <c:pt idx="1564">
                  <c:v>5</c:v>
                </c:pt>
                <c:pt idx="1565">
                  <c:v>6</c:v>
                </c:pt>
                <c:pt idx="1566">
                  <c:v>6</c:v>
                </c:pt>
                <c:pt idx="1567">
                  <c:v>5</c:v>
                </c:pt>
                <c:pt idx="1568">
                  <c:v>5</c:v>
                </c:pt>
                <c:pt idx="1569">
                  <c:v>6</c:v>
                </c:pt>
                <c:pt idx="1570">
                  <c:v>6</c:v>
                </c:pt>
                <c:pt idx="1571">
                  <c:v>6</c:v>
                </c:pt>
                <c:pt idx="1572">
                  <c:v>5</c:v>
                </c:pt>
                <c:pt idx="1573">
                  <c:v>6</c:v>
                </c:pt>
                <c:pt idx="1574">
                  <c:v>6</c:v>
                </c:pt>
                <c:pt idx="1575">
                  <c:v>6</c:v>
                </c:pt>
                <c:pt idx="1576">
                  <c:v>6</c:v>
                </c:pt>
                <c:pt idx="1577">
                  <c:v>6</c:v>
                </c:pt>
                <c:pt idx="1578">
                  <c:v>6</c:v>
                </c:pt>
                <c:pt idx="1579">
                  <c:v>5</c:v>
                </c:pt>
                <c:pt idx="1580">
                  <c:v>6</c:v>
                </c:pt>
                <c:pt idx="1581">
                  <c:v>5</c:v>
                </c:pt>
                <c:pt idx="1582">
                  <c:v>5</c:v>
                </c:pt>
                <c:pt idx="1583">
                  <c:v>5</c:v>
                </c:pt>
                <c:pt idx="1584">
                  <c:v>7</c:v>
                </c:pt>
                <c:pt idx="1585">
                  <c:v>6</c:v>
                </c:pt>
                <c:pt idx="1586">
                  <c:v>6</c:v>
                </c:pt>
                <c:pt idx="1587">
                  <c:v>6</c:v>
                </c:pt>
                <c:pt idx="1588">
                  <c:v>6</c:v>
                </c:pt>
                <c:pt idx="1589">
                  <c:v>5</c:v>
                </c:pt>
                <c:pt idx="1590">
                  <c:v>6</c:v>
                </c:pt>
                <c:pt idx="1591">
                  <c:v>6</c:v>
                </c:pt>
                <c:pt idx="1592">
                  <c:v>6</c:v>
                </c:pt>
                <c:pt idx="1593">
                  <c:v>6</c:v>
                </c:pt>
                <c:pt idx="1594">
                  <c:v>5</c:v>
                </c:pt>
                <c:pt idx="1595">
                  <c:v>6</c:v>
                </c:pt>
                <c:pt idx="1596">
                  <c:v>6</c:v>
                </c:pt>
                <c:pt idx="1597">
                  <c:v>5</c:v>
                </c:pt>
                <c:pt idx="1598">
                  <c:v>6</c:v>
                </c:pt>
              </c:numCache>
            </c:numRef>
          </c:yVal>
          <c:smooth val="0"/>
          <c:extLst>
            <c:ext xmlns:c16="http://schemas.microsoft.com/office/drawing/2014/chart" uri="{C3380CC4-5D6E-409C-BE32-E72D297353CC}">
              <c16:uniqueId val="{00000000-7231-4E34-9609-347C38DBFC57}"/>
            </c:ext>
          </c:extLst>
        </c:ser>
        <c:dLbls>
          <c:showLegendKey val="0"/>
          <c:showVal val="0"/>
          <c:showCatName val="0"/>
          <c:showSerName val="0"/>
          <c:showPercent val="0"/>
          <c:showBubbleSize val="0"/>
        </c:dLbls>
        <c:axId val="76344768"/>
        <c:axId val="970776944"/>
      </c:scatterChart>
      <c:valAx>
        <c:axId val="76344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0776944"/>
        <c:crosses val="autoZero"/>
        <c:crossBetween val="midCat"/>
      </c:valAx>
      <c:valAx>
        <c:axId val="970776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34476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125730</xdr:rowOff>
    </xdr:from>
    <xdr:to>
      <xdr:col>5</xdr:col>
      <xdr:colOff>525780</xdr:colOff>
      <xdr:row>25</xdr:row>
      <xdr:rowOff>125730</xdr:rowOff>
    </xdr:to>
    <xdr:graphicFrame macro="">
      <xdr:nvGraphicFramePr>
        <xdr:cNvPr id="2" name="Chart 1">
          <a:extLst>
            <a:ext uri="{FF2B5EF4-FFF2-40B4-BE49-F238E27FC236}">
              <a16:creationId xmlns:a16="http://schemas.microsoft.com/office/drawing/2014/main" id="{628F9496-B7D9-B363-7265-C2C63CF8D0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556260</xdr:colOff>
      <xdr:row>13</xdr:row>
      <xdr:rowOff>83820</xdr:rowOff>
    </xdr:from>
    <xdr:to>
      <xdr:col>9</xdr:col>
      <xdr:colOff>861060</xdr:colOff>
      <xdr:row>28</xdr:row>
      <xdr:rowOff>83820</xdr:rowOff>
    </xdr:to>
    <xdr:graphicFrame macro="">
      <xdr:nvGraphicFramePr>
        <xdr:cNvPr id="3" name="Chart 2">
          <a:extLst>
            <a:ext uri="{FF2B5EF4-FFF2-40B4-BE49-F238E27FC236}">
              <a16:creationId xmlns:a16="http://schemas.microsoft.com/office/drawing/2014/main" id="{2A146A92-DBC5-41D2-8FDB-E40B90D7CC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982980</xdr:colOff>
      <xdr:row>1</xdr:row>
      <xdr:rowOff>1</xdr:rowOff>
    </xdr:from>
    <xdr:to>
      <xdr:col>11</xdr:col>
      <xdr:colOff>678180</xdr:colOff>
      <xdr:row>11</xdr:row>
      <xdr:rowOff>114300</xdr:rowOff>
    </xdr:to>
    <mc:AlternateContent xmlns:mc="http://schemas.openxmlformats.org/markup-compatibility/2006">
      <mc:Choice xmlns:a14="http://schemas.microsoft.com/office/drawing/2010/main" Requires="a14">
        <xdr:graphicFrame macro="">
          <xdr:nvGraphicFramePr>
            <xdr:cNvPr id="4" name="pH">
              <a:extLst>
                <a:ext uri="{FF2B5EF4-FFF2-40B4-BE49-F238E27FC236}">
                  <a16:creationId xmlns:a16="http://schemas.microsoft.com/office/drawing/2014/main" id="{63EEEF02-5258-6ACD-98F9-F8120E693B32}"/>
                </a:ext>
              </a:extLst>
            </xdr:cNvPr>
            <xdr:cNvGraphicFramePr/>
          </xdr:nvGraphicFramePr>
          <xdr:xfrm>
            <a:off x="0" y="0"/>
            <a:ext cx="0" cy="0"/>
          </xdr:xfrm>
          <a:graphic>
            <a:graphicData uri="http://schemas.microsoft.com/office/drawing/2010/slicer">
              <sle:slicer xmlns:sle="http://schemas.microsoft.com/office/drawing/2010/slicer" name="pH"/>
            </a:graphicData>
          </a:graphic>
        </xdr:graphicFrame>
      </mc:Choice>
      <mc:Fallback>
        <xdr:sp macro="" textlink="">
          <xdr:nvSpPr>
            <xdr:cNvPr id="0" name=""/>
            <xdr:cNvSpPr>
              <a:spLocks noTextEdit="1"/>
            </xdr:cNvSpPr>
          </xdr:nvSpPr>
          <xdr:spPr>
            <a:xfrm>
              <a:off x="10119360" y="182881"/>
              <a:ext cx="1828800" cy="1943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457200</xdr:colOff>
      <xdr:row>1</xdr:row>
      <xdr:rowOff>22860</xdr:rowOff>
    </xdr:from>
    <xdr:to>
      <xdr:col>8</xdr:col>
      <xdr:colOff>152400</xdr:colOff>
      <xdr:row>11</xdr:row>
      <xdr:rowOff>152399</xdr:rowOff>
    </xdr:to>
    <mc:AlternateContent xmlns:mc="http://schemas.openxmlformats.org/markup-compatibility/2006">
      <mc:Choice xmlns:a14="http://schemas.microsoft.com/office/drawing/2010/main" Requires="a14">
        <xdr:graphicFrame macro="">
          <xdr:nvGraphicFramePr>
            <xdr:cNvPr id="5" name="alcohol">
              <a:extLst>
                <a:ext uri="{FF2B5EF4-FFF2-40B4-BE49-F238E27FC236}">
                  <a16:creationId xmlns:a16="http://schemas.microsoft.com/office/drawing/2014/main" id="{C0D646BE-DEAC-8C18-DC93-1B91014A4320}"/>
                </a:ext>
              </a:extLst>
            </xdr:cNvPr>
            <xdr:cNvGraphicFramePr/>
          </xdr:nvGraphicFramePr>
          <xdr:xfrm>
            <a:off x="0" y="0"/>
            <a:ext cx="0" cy="0"/>
          </xdr:xfrm>
          <a:graphic>
            <a:graphicData uri="http://schemas.microsoft.com/office/drawing/2010/slicer">
              <sle:slicer xmlns:sle="http://schemas.microsoft.com/office/drawing/2010/slicer" name="alcohol"/>
            </a:graphicData>
          </a:graphic>
        </xdr:graphicFrame>
      </mc:Choice>
      <mc:Fallback>
        <xdr:sp macro="" textlink="">
          <xdr:nvSpPr>
            <xdr:cNvPr id="0" name=""/>
            <xdr:cNvSpPr>
              <a:spLocks noTextEdit="1"/>
            </xdr:cNvSpPr>
          </xdr:nvSpPr>
          <xdr:spPr>
            <a:xfrm>
              <a:off x="6393180" y="205740"/>
              <a:ext cx="1828800" cy="19583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182880</xdr:colOff>
      <xdr:row>1</xdr:row>
      <xdr:rowOff>7620</xdr:rowOff>
    </xdr:from>
    <xdr:to>
      <xdr:col>9</xdr:col>
      <xdr:colOff>944880</xdr:colOff>
      <xdr:row>11</xdr:row>
      <xdr:rowOff>121919</xdr:rowOff>
    </xdr:to>
    <mc:AlternateContent xmlns:mc="http://schemas.openxmlformats.org/markup-compatibility/2006">
      <mc:Choice xmlns:a14="http://schemas.microsoft.com/office/drawing/2010/main" Requires="a14">
        <xdr:graphicFrame macro="">
          <xdr:nvGraphicFramePr>
            <xdr:cNvPr id="6" name="quality">
              <a:extLst>
                <a:ext uri="{FF2B5EF4-FFF2-40B4-BE49-F238E27FC236}">
                  <a16:creationId xmlns:a16="http://schemas.microsoft.com/office/drawing/2014/main" id="{9BE1BB14-0EB0-5561-A04F-F74AE1BF8702}"/>
                </a:ext>
              </a:extLst>
            </xdr:cNvPr>
            <xdr:cNvGraphicFramePr/>
          </xdr:nvGraphicFramePr>
          <xdr:xfrm>
            <a:off x="0" y="0"/>
            <a:ext cx="0" cy="0"/>
          </xdr:xfrm>
          <a:graphic>
            <a:graphicData uri="http://schemas.microsoft.com/office/drawing/2010/slicer">
              <sle:slicer xmlns:sle="http://schemas.microsoft.com/office/drawing/2010/slicer" name="quality"/>
            </a:graphicData>
          </a:graphic>
        </xdr:graphicFrame>
      </mc:Choice>
      <mc:Fallback>
        <xdr:sp macro="" textlink="">
          <xdr:nvSpPr>
            <xdr:cNvPr id="0" name=""/>
            <xdr:cNvSpPr>
              <a:spLocks noTextEdit="1"/>
            </xdr:cNvSpPr>
          </xdr:nvSpPr>
          <xdr:spPr>
            <a:xfrm>
              <a:off x="8252460" y="190500"/>
              <a:ext cx="1828800" cy="1943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762000</xdr:colOff>
      <xdr:row>1</xdr:row>
      <xdr:rowOff>7621</xdr:rowOff>
    </xdr:from>
    <xdr:to>
      <xdr:col>6</xdr:col>
      <xdr:colOff>457200</xdr:colOff>
      <xdr:row>8</xdr:row>
      <xdr:rowOff>1</xdr:rowOff>
    </xdr:to>
    <mc:AlternateContent xmlns:mc="http://schemas.openxmlformats.org/markup-compatibility/2006">
      <mc:Choice xmlns:a14="http://schemas.microsoft.com/office/drawing/2010/main" Requires="a14">
        <xdr:graphicFrame macro="">
          <xdr:nvGraphicFramePr>
            <xdr:cNvPr id="7" name="Banding">
              <a:extLst>
                <a:ext uri="{FF2B5EF4-FFF2-40B4-BE49-F238E27FC236}">
                  <a16:creationId xmlns:a16="http://schemas.microsoft.com/office/drawing/2014/main" id="{1C21AC09-1DC8-D5A1-E42F-2FE26BA5EF5C}"/>
                </a:ext>
              </a:extLst>
            </xdr:cNvPr>
            <xdr:cNvGraphicFramePr/>
          </xdr:nvGraphicFramePr>
          <xdr:xfrm>
            <a:off x="0" y="0"/>
            <a:ext cx="0" cy="0"/>
          </xdr:xfrm>
          <a:graphic>
            <a:graphicData uri="http://schemas.microsoft.com/office/drawing/2010/slicer">
              <sle:slicer xmlns:sle="http://schemas.microsoft.com/office/drawing/2010/slicer" name="Banding"/>
            </a:graphicData>
          </a:graphic>
        </xdr:graphicFrame>
      </mc:Choice>
      <mc:Fallback>
        <xdr:sp macro="" textlink="">
          <xdr:nvSpPr>
            <xdr:cNvPr id="0" name=""/>
            <xdr:cNvSpPr>
              <a:spLocks noTextEdit="1"/>
            </xdr:cNvSpPr>
          </xdr:nvSpPr>
          <xdr:spPr>
            <a:xfrm>
              <a:off x="4564380" y="190501"/>
              <a:ext cx="1828800" cy="1272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304800</xdr:colOff>
      <xdr:row>9</xdr:row>
      <xdr:rowOff>152400</xdr:rowOff>
    </xdr:from>
    <xdr:to>
      <xdr:col>17</xdr:col>
      <xdr:colOff>205740</xdr:colOff>
      <xdr:row>11</xdr:row>
      <xdr:rowOff>160020</xdr:rowOff>
    </xdr:to>
    <xdr:sp macro="[0]!RefreshAndFormatReports" textlink="">
      <xdr:nvSpPr>
        <xdr:cNvPr id="2" name="Rectangle 1">
          <a:extLst>
            <a:ext uri="{FF2B5EF4-FFF2-40B4-BE49-F238E27FC236}">
              <a16:creationId xmlns:a16="http://schemas.microsoft.com/office/drawing/2014/main" id="{E7B106C5-9F74-E00E-2BC3-F69838D4E448}"/>
            </a:ext>
          </a:extLst>
        </xdr:cNvPr>
        <xdr:cNvSpPr/>
      </xdr:nvSpPr>
      <xdr:spPr>
        <a:xfrm>
          <a:off x="13921740" y="1798320"/>
          <a:ext cx="1120140" cy="373380"/>
        </a:xfrm>
        <a:prstGeom prst="rect">
          <a:avLst/>
        </a:prstGeom>
        <a:solidFill>
          <a:schemeClr val="accent3">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solidFill>
                  <a:schemeClr val="accent2">
                    <a:lumMod val="40000"/>
                    <a:lumOff val="60000"/>
                  </a:schemeClr>
                </a:solidFill>
              </a:ln>
              <a:solidFill>
                <a:srgbClr val="FFFF00"/>
              </a:solidFill>
            </a:rPr>
            <a:t>REFRESH DATA</a:t>
          </a:r>
        </a:p>
      </xdr:txBody>
    </xdr:sp>
    <xdr:clientData/>
  </xdr:twoCellAnchor>
  <xdr:twoCellAnchor>
    <xdr:from>
      <xdr:col>6</xdr:col>
      <xdr:colOff>148590</xdr:colOff>
      <xdr:row>1606</xdr:row>
      <xdr:rowOff>171450</xdr:rowOff>
    </xdr:from>
    <xdr:to>
      <xdr:col>12</xdr:col>
      <xdr:colOff>179070</xdr:colOff>
      <xdr:row>1621</xdr:row>
      <xdr:rowOff>171450</xdr:rowOff>
    </xdr:to>
    <xdr:graphicFrame macro="">
      <xdr:nvGraphicFramePr>
        <xdr:cNvPr id="7" name="Chart 6">
          <a:extLst>
            <a:ext uri="{FF2B5EF4-FFF2-40B4-BE49-F238E27FC236}">
              <a16:creationId xmlns:a16="http://schemas.microsoft.com/office/drawing/2014/main" id="{E1633502-E33F-91CB-849C-E8752854DE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IK RAUSHAN" refreshedDate="46000.904110185184" createdVersion="8" refreshedVersion="8" minRefreshableVersion="3" recordCount="1599" xr:uid="{08F9666C-D4BC-4DDD-B835-89C7C84A84D8}">
  <cacheSource type="worksheet">
    <worksheetSource name="winequality_red"/>
  </cacheSource>
  <cacheFields count="15">
    <cacheField name="Updated Quality &amp; Alcohol Analysis" numFmtId="0">
      <sharedItems containsSemiMixedTypes="0" containsString="0" containsNumber="1" minValue="4.5999999999999996" maxValue="15.9"/>
    </cacheField>
    <cacheField name="volatile acidity" numFmtId="0">
      <sharedItems containsSemiMixedTypes="0" containsString="0" containsNumber="1" minValue="0.12" maxValue="1.58"/>
    </cacheField>
    <cacheField name="citric acid" numFmtId="0">
      <sharedItems containsSemiMixedTypes="0" containsString="0" containsNumber="1" minValue="0" maxValue="1"/>
    </cacheField>
    <cacheField name="residual sugar" numFmtId="0">
      <sharedItems containsSemiMixedTypes="0" containsString="0" containsNumber="1" minValue="0.9" maxValue="15.5"/>
    </cacheField>
    <cacheField name="chlorides" numFmtId="0">
      <sharedItems containsSemiMixedTypes="0" containsString="0" containsNumber="1" minValue="1.2E-2" maxValue="0.61099999999999999"/>
    </cacheField>
    <cacheField name="free sulfur dioxide" numFmtId="0">
      <sharedItems containsSemiMixedTypes="0" containsString="0" containsNumber="1" containsInteger="1" minValue="1" maxValue="72"/>
    </cacheField>
    <cacheField name="total sulfur dioxide" numFmtId="0">
      <sharedItems containsSemiMixedTypes="0" containsString="0" containsNumber="1" containsInteger="1" minValue="6" maxValue="289"/>
    </cacheField>
    <cacheField name="density" numFmtId="0">
      <sharedItems containsSemiMixedTypes="0" containsString="0" containsNumber="1" minValue="0.99007000000000012" maxValue="1.00369"/>
    </cacheField>
    <cacheField name="pH" numFmtId="0">
      <sharedItems containsSemiMixedTypes="0" containsString="0" containsNumber="1" minValue="2.74" maxValue="4.01" count="89">
        <n v="3.51"/>
        <n v="3.2"/>
        <n v="3.26"/>
        <n v="3.16"/>
        <n v="3.3"/>
        <n v="3.39"/>
        <n v="3.36"/>
        <n v="3.35"/>
        <n v="3.28"/>
        <n v="3.58"/>
        <n v="3.17"/>
        <n v="3.11"/>
        <n v="3.38"/>
        <n v="3.04"/>
        <n v="3.52"/>
        <n v="3.43"/>
        <n v="3.34"/>
        <n v="3.47"/>
        <n v="3.46"/>
        <n v="3.45"/>
        <n v="3.4"/>
        <n v="3.42"/>
        <n v="3.23"/>
        <n v="3.5"/>
        <n v="3.33"/>
        <n v="3.21"/>
        <n v="3.48"/>
        <n v="3.9"/>
        <n v="3.25"/>
        <n v="3.32"/>
        <n v="3.15"/>
        <n v="3.41"/>
        <n v="3.44"/>
        <n v="3.31"/>
        <n v="3.54"/>
        <n v="3.13"/>
        <n v="2.93"/>
        <n v="3.14"/>
        <n v="3.75"/>
        <n v="3.85"/>
        <n v="3.29"/>
        <n v="3.08"/>
        <n v="3.37"/>
        <n v="3.19"/>
        <n v="3.07"/>
        <n v="3.49"/>
        <n v="3.53"/>
        <n v="3.24"/>
        <n v="3.63"/>
        <n v="3.22"/>
        <n v="3.68"/>
        <n v="2.74"/>
        <n v="3.59"/>
        <n v="3"/>
        <n v="3.12"/>
        <n v="3.57"/>
        <n v="3.61"/>
        <n v="3.06"/>
        <n v="3.6"/>
        <n v="3.69"/>
        <n v="3.1"/>
        <n v="3.05"/>
        <n v="3.67"/>
        <n v="3.27"/>
        <n v="3.18"/>
        <n v="3.02"/>
        <n v="3.55"/>
        <n v="2.99"/>
        <n v="3.01"/>
        <n v="3.56"/>
        <n v="3.03"/>
        <n v="3.62"/>
        <n v="2.88"/>
        <n v="2.95"/>
        <n v="2.98"/>
        <n v="3.09"/>
        <n v="2.86"/>
        <n v="3.74"/>
        <n v="2.92"/>
        <n v="3.72"/>
        <n v="2.87"/>
        <n v="2.89"/>
        <n v="2.94"/>
        <n v="3.66"/>
        <n v="3.71"/>
        <n v="3.78"/>
        <n v="3.7"/>
        <n v="4.01"/>
        <n v="2.9"/>
      </sharedItems>
    </cacheField>
    <cacheField name="sulphates" numFmtId="0">
      <sharedItems containsSemiMixedTypes="0" containsString="0" containsNumber="1" minValue="0.33" maxValue="2"/>
    </cacheField>
    <cacheField name="alcohol" numFmtId="0">
      <sharedItems containsSemiMixedTypes="0" containsString="0" containsNumber="1" minValue="8.4" maxValue="14.9" count="65">
        <n v="9.4"/>
        <n v="9.8000000000000007"/>
        <n v="10"/>
        <n v="9.5"/>
        <n v="10.5"/>
        <n v="9.1999999999999993"/>
        <n v="9.9"/>
        <n v="9.1"/>
        <n v="9.3000000000000007"/>
        <n v="9"/>
        <n v="9.6999999999999993"/>
        <n v="10.1"/>
        <n v="10.6"/>
        <n v="9.6"/>
        <n v="10.8"/>
        <n v="10.3"/>
        <n v="13.1"/>
        <n v="10.199999999999999"/>
        <n v="10.9"/>
        <n v="10.7"/>
        <n v="12.9"/>
        <n v="10.4"/>
        <n v="13"/>
        <n v="14"/>
        <n v="11.5"/>
        <n v="11.4"/>
        <n v="12.4"/>
        <n v="11"/>
        <n v="12.2"/>
        <n v="12.8"/>
        <n v="12.6"/>
        <n v="12.5"/>
        <n v="11.7"/>
        <n v="11.3"/>
        <n v="12.3"/>
        <n v="12"/>
        <n v="11.9"/>
        <n v="11.8"/>
        <n v="8.6999999999999993"/>
        <n v="13.3"/>
        <n v="11.2"/>
        <n v="11.6"/>
        <n v="11.1"/>
        <n v="13.4"/>
        <n v="12.1"/>
        <n v="8.4"/>
        <n v="12.7"/>
        <n v="14.9"/>
        <n v="13.2"/>
        <n v="13.6"/>
        <n v="13.5"/>
        <n v="10.033333333333299"/>
        <n v="9.5500000000000007"/>
        <n v="8.5"/>
        <n v="11.066666666666698"/>
        <n v="9.56666666666667"/>
        <n v="10.55"/>
        <n v="8.8000000000000007"/>
        <n v="13.566666666666698"/>
        <n v="11.95"/>
        <n v="9.9499999999999993"/>
        <n v="9.2333333333333307"/>
        <n v="9.25"/>
        <n v="9.0500000000000007"/>
        <n v="10.75"/>
      </sharedItems>
    </cacheField>
    <cacheField name="quality" numFmtId="0">
      <sharedItems containsSemiMixedTypes="0" containsString="0" containsNumber="1" containsInteger="1" minValue="3" maxValue="8" count="6">
        <n v="5"/>
        <n v="6"/>
        <n v="7"/>
        <n v="4"/>
        <n v="8"/>
        <n v="3"/>
      </sharedItems>
    </cacheField>
    <cacheField name="Banding" numFmtId="0">
      <sharedItems count="3">
        <s v="Medium"/>
        <s v="High"/>
        <s v="Low"/>
      </sharedItems>
    </cacheField>
    <cacheField name="Acidity " numFmtId="0">
      <sharedItems containsSemiMixedTypes="0" containsString="0" containsNumber="1" minValue="5.27" maxValue="17.045000000000002"/>
    </cacheField>
    <cacheField name="Risk Score" numFmtId="0">
      <sharedItems containsSemiMixedTypes="0" containsString="0" containsNumber="1" minValue="6.2362204724409447E-3" maxValue="0.11799473684210525"/>
    </cacheField>
  </cacheFields>
  <extLst>
    <ext xmlns:x14="http://schemas.microsoft.com/office/spreadsheetml/2009/9/main" uri="{725AE2AE-9491-48be-B2B4-4EB974FC3084}">
      <x14:pivotCacheDefinition pivotCacheId="16298356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99">
  <r>
    <n v="7.4"/>
    <n v="0.7"/>
    <n v="0"/>
    <n v="1.9"/>
    <n v="7.5999999999999998E-2"/>
    <n v="11"/>
    <n v="34"/>
    <n v="0.99780000000000002"/>
    <x v="0"/>
    <n v="0.56000000000000005"/>
    <x v="0"/>
    <x v="0"/>
    <x v="0"/>
    <n v="8.1"/>
    <n v="4.170212765957447E-2"/>
  </r>
  <r>
    <n v="7.8"/>
    <n v="0.88"/>
    <n v="0"/>
    <n v="2.6"/>
    <n v="9.8000000000000004E-2"/>
    <n v="25"/>
    <n v="67"/>
    <n v="0.99680000000000002"/>
    <x v="1"/>
    <n v="0.68"/>
    <x v="1"/>
    <x v="0"/>
    <x v="0"/>
    <n v="8.68"/>
    <n v="6.1061224489795916E-2"/>
  </r>
  <r>
    <n v="7.8"/>
    <n v="0.76"/>
    <n v="0.04"/>
    <n v="2.2999999999999998"/>
    <n v="9.1999999999999998E-2"/>
    <n v="15"/>
    <n v="54"/>
    <n v="0.997"/>
    <x v="2"/>
    <n v="0.65"/>
    <x v="1"/>
    <x v="0"/>
    <x v="0"/>
    <n v="8.6"/>
    <n v="5.0408163265306123E-2"/>
  </r>
  <r>
    <n v="11.2"/>
    <n v="0.28000000000000003"/>
    <n v="0.56000000000000005"/>
    <n v="1.9"/>
    <n v="7.4999999999999997E-2"/>
    <n v="17"/>
    <n v="60"/>
    <n v="0.998"/>
    <x v="3"/>
    <n v="0.57999999999999996"/>
    <x v="1"/>
    <x v="1"/>
    <x v="0"/>
    <n v="12.04"/>
    <n v="1.657142857142857E-2"/>
  </r>
  <r>
    <n v="7.4"/>
    <n v="0.7"/>
    <n v="0"/>
    <n v="1.9"/>
    <n v="7.5999999999999998E-2"/>
    <n v="11"/>
    <n v="34"/>
    <n v="0.99780000000000002"/>
    <x v="0"/>
    <n v="0.56000000000000005"/>
    <x v="0"/>
    <x v="0"/>
    <x v="0"/>
    <n v="8.1"/>
    <n v="4.170212765957447E-2"/>
  </r>
  <r>
    <n v="7.4"/>
    <n v="0.66"/>
    <n v="0"/>
    <n v="1.8"/>
    <n v="7.4999999999999997E-2"/>
    <n v="13"/>
    <n v="40"/>
    <n v="0.99780000000000002"/>
    <x v="0"/>
    <n v="0.56000000000000005"/>
    <x v="0"/>
    <x v="0"/>
    <x v="0"/>
    <n v="8.06"/>
    <n v="3.9319148936170216E-2"/>
  </r>
  <r>
    <n v="7.9"/>
    <n v="0.6"/>
    <n v="0.06"/>
    <n v="1.6"/>
    <n v="6.9000000000000006E-2"/>
    <n v="15"/>
    <n v="59"/>
    <n v="0.99639999999999995"/>
    <x v="4"/>
    <n v="0.46"/>
    <x v="0"/>
    <x v="0"/>
    <x v="0"/>
    <n v="8.56"/>
    <n v="2.9361702127659577E-2"/>
  </r>
  <r>
    <n v="7.3"/>
    <n v="0.65"/>
    <n v="0"/>
    <n v="1.2"/>
    <n v="6.5000000000000002E-2"/>
    <n v="15"/>
    <n v="21"/>
    <n v="0.99460000000000004"/>
    <x v="5"/>
    <n v="0.47"/>
    <x v="2"/>
    <x v="2"/>
    <x v="1"/>
    <n v="7.95"/>
    <n v="3.0550000000000001E-2"/>
  </r>
  <r>
    <n v="7.8"/>
    <n v="0.57999999999999996"/>
    <n v="0.02"/>
    <n v="2"/>
    <n v="7.2999999999999995E-2"/>
    <n v="9"/>
    <n v="18"/>
    <n v="0.99680000000000002"/>
    <x v="6"/>
    <n v="0.56999999999999995"/>
    <x v="3"/>
    <x v="2"/>
    <x v="1"/>
    <n v="8.3999999999999986"/>
    <n v="3.4799999999999998E-2"/>
  </r>
  <r>
    <n v="7.5"/>
    <n v="0.5"/>
    <n v="0.36"/>
    <n v="6.1"/>
    <n v="7.0999999999999994E-2"/>
    <n v="17"/>
    <n v="102"/>
    <n v="0.99780000000000002"/>
    <x v="7"/>
    <n v="0.8"/>
    <x v="4"/>
    <x v="0"/>
    <x v="0"/>
    <n v="8.36"/>
    <n v="3.8095238095238099E-2"/>
  </r>
  <r>
    <n v="6.7"/>
    <n v="0.57999999999999996"/>
    <n v="0.08"/>
    <n v="1.8"/>
    <n v="9.6999999999999989E-2"/>
    <n v="15"/>
    <n v="65"/>
    <n v="0.99590000000000001"/>
    <x v="8"/>
    <n v="0.54"/>
    <x v="5"/>
    <x v="0"/>
    <x v="0"/>
    <n v="7.36"/>
    <n v="3.4043478260869564E-2"/>
  </r>
  <r>
    <n v="7.5"/>
    <n v="0.5"/>
    <n v="0.36"/>
    <n v="6.1"/>
    <n v="7.0999999999999994E-2"/>
    <n v="17"/>
    <n v="102"/>
    <n v="0.99780000000000002"/>
    <x v="7"/>
    <n v="0.8"/>
    <x v="4"/>
    <x v="0"/>
    <x v="0"/>
    <n v="8.36"/>
    <n v="3.8095238095238099E-2"/>
  </r>
  <r>
    <n v="5.6"/>
    <n v="0.61499999999999999"/>
    <n v="0"/>
    <n v="1.6"/>
    <n v="8.900000000000001E-2"/>
    <n v="16"/>
    <n v="59"/>
    <n v="0.99429999999999996"/>
    <x v="9"/>
    <n v="0.52"/>
    <x v="6"/>
    <x v="0"/>
    <x v="0"/>
    <n v="6.2149999999999999"/>
    <n v="3.2303030303030306E-2"/>
  </r>
  <r>
    <n v="7.8"/>
    <n v="0.61"/>
    <n v="0.28999999999999998"/>
    <n v="1.6"/>
    <n v="0.114"/>
    <n v="9"/>
    <n v="29"/>
    <n v="0.99739999999999995"/>
    <x v="2"/>
    <n v="1.56"/>
    <x v="7"/>
    <x v="0"/>
    <x v="0"/>
    <n v="8.6999999999999993"/>
    <n v="0.10457142857142858"/>
  </r>
  <r>
    <n v="8.9"/>
    <n v="0.62"/>
    <n v="0.18"/>
    <n v="3.8"/>
    <n v="0.17600000000000002"/>
    <n v="52"/>
    <n v="145"/>
    <n v="0.99860000000000004"/>
    <x v="3"/>
    <n v="0.88"/>
    <x v="5"/>
    <x v="0"/>
    <x v="0"/>
    <n v="9.6999999999999993"/>
    <n v="5.9304347826086956E-2"/>
  </r>
  <r>
    <n v="8.9"/>
    <n v="0.62"/>
    <n v="0.19"/>
    <n v="3.9"/>
    <n v="0.17"/>
    <n v="51"/>
    <n v="148"/>
    <n v="0.99860000000000004"/>
    <x v="10"/>
    <n v="0.93"/>
    <x v="5"/>
    <x v="0"/>
    <x v="0"/>
    <n v="9.7099999999999991"/>
    <n v="6.267391304347826E-2"/>
  </r>
  <r>
    <n v="8.5"/>
    <n v="0.28000000000000003"/>
    <n v="0.56000000000000005"/>
    <n v="1.8"/>
    <n v="9.1999999999999998E-2"/>
    <n v="35"/>
    <n v="103"/>
    <n v="0.99690000000000001"/>
    <x v="4"/>
    <n v="0.75"/>
    <x v="4"/>
    <x v="2"/>
    <x v="1"/>
    <n v="9.34"/>
    <n v="0.02"/>
  </r>
  <r>
    <n v="8.1"/>
    <n v="0.56000000000000005"/>
    <n v="0.28000000000000003"/>
    <n v="1.7"/>
    <n v="0.36799999999999999"/>
    <n v="16"/>
    <n v="56"/>
    <n v="0.99680000000000002"/>
    <x v="11"/>
    <n v="1.28"/>
    <x v="8"/>
    <x v="0"/>
    <x v="0"/>
    <n v="8.94"/>
    <n v="7.7075268817204307E-2"/>
  </r>
  <r>
    <n v="7.4"/>
    <n v="0.59"/>
    <n v="0.08"/>
    <n v="4.4000000000000004"/>
    <n v="8.5999999999999993E-2"/>
    <n v="6"/>
    <n v="29"/>
    <n v="0.99739999999999995"/>
    <x v="12"/>
    <n v="0.5"/>
    <x v="9"/>
    <x v="3"/>
    <x v="2"/>
    <n v="8.07"/>
    <n v="3.2777777777777774E-2"/>
  </r>
  <r>
    <n v="7.9"/>
    <n v="0.32"/>
    <n v="0.51"/>
    <n v="1.8"/>
    <n v="0.34100000000000003"/>
    <n v="17"/>
    <n v="56"/>
    <n v="0.99690000000000001"/>
    <x v="13"/>
    <n v="1.08"/>
    <x v="5"/>
    <x v="1"/>
    <x v="0"/>
    <n v="8.73"/>
    <n v="3.7565217391304355E-2"/>
  </r>
  <r>
    <n v="8.9"/>
    <n v="0.22"/>
    <n v="0.48"/>
    <n v="1.8"/>
    <n v="7.6999999999999999E-2"/>
    <n v="29"/>
    <n v="60"/>
    <n v="0.99680000000000002"/>
    <x v="5"/>
    <n v="0.53"/>
    <x v="0"/>
    <x v="1"/>
    <x v="0"/>
    <n v="9.6000000000000014"/>
    <n v="1.2404255319148936E-2"/>
  </r>
  <r>
    <n v="7.6"/>
    <n v="0.39"/>
    <n v="0.31"/>
    <n v="2.2999999999999998"/>
    <n v="8.199999999999999E-2"/>
    <n v="23"/>
    <n v="71"/>
    <n v="0.99819999999999998"/>
    <x v="14"/>
    <n v="0.65"/>
    <x v="10"/>
    <x v="0"/>
    <x v="0"/>
    <n v="8.2999999999999989"/>
    <n v="2.6134020618556703E-2"/>
  </r>
  <r>
    <n v="7.9"/>
    <n v="0.43"/>
    <n v="0.21"/>
    <n v="1.6"/>
    <n v="0.106"/>
    <n v="10"/>
    <n v="37"/>
    <n v="0.99660000000000004"/>
    <x v="10"/>
    <n v="0.91"/>
    <x v="3"/>
    <x v="0"/>
    <x v="0"/>
    <n v="8.5400000000000009"/>
    <n v="4.1189473684210526E-2"/>
  </r>
  <r>
    <n v="8.5"/>
    <n v="0.49"/>
    <n v="0.11"/>
    <n v="2.2999999999999998"/>
    <n v="8.4000000000000005E-2"/>
    <n v="9"/>
    <n v="67"/>
    <n v="0.99680000000000002"/>
    <x v="10"/>
    <n v="0.53"/>
    <x v="0"/>
    <x v="0"/>
    <x v="0"/>
    <n v="9.1"/>
    <n v="2.7627659574468083E-2"/>
  </r>
  <r>
    <n v="6.9"/>
    <n v="0.4"/>
    <n v="0.14000000000000001"/>
    <n v="2.4"/>
    <n v="8.5000000000000006E-2"/>
    <n v="21"/>
    <n v="40"/>
    <n v="0.99680000000000002"/>
    <x v="15"/>
    <n v="0.63"/>
    <x v="10"/>
    <x v="1"/>
    <x v="0"/>
    <n v="7.44"/>
    <n v="2.597938144329897E-2"/>
  </r>
  <r>
    <n v="6.3"/>
    <n v="0.39"/>
    <n v="0.16"/>
    <n v="1.4"/>
    <n v="0.08"/>
    <n v="11"/>
    <n v="23"/>
    <n v="0.99550000000000005"/>
    <x v="16"/>
    <n v="0.56000000000000005"/>
    <x v="8"/>
    <x v="0"/>
    <x v="0"/>
    <n v="6.85"/>
    <n v="2.3483870967741939E-2"/>
  </r>
  <r>
    <n v="7.6"/>
    <n v="0.41"/>
    <n v="0.24"/>
    <n v="1.8"/>
    <n v="0.08"/>
    <n v="4"/>
    <n v="11"/>
    <n v="0.99619999999999997"/>
    <x v="8"/>
    <n v="0.59"/>
    <x v="3"/>
    <x v="0"/>
    <x v="0"/>
    <n v="8.25"/>
    <n v="2.546315789473684E-2"/>
  </r>
  <r>
    <n v="7.9"/>
    <n v="0.43"/>
    <n v="0.21"/>
    <n v="1.6"/>
    <n v="0.106"/>
    <n v="10"/>
    <n v="37"/>
    <n v="0.99660000000000004"/>
    <x v="10"/>
    <n v="0.91"/>
    <x v="3"/>
    <x v="0"/>
    <x v="0"/>
    <n v="8.5400000000000009"/>
    <n v="4.1189473684210526E-2"/>
  </r>
  <r>
    <n v="7.1"/>
    <n v="0.71"/>
    <n v="0"/>
    <n v="1.9"/>
    <n v="0.08"/>
    <n v="14"/>
    <n v="35"/>
    <n v="0.99719999999999998"/>
    <x v="17"/>
    <n v="0.55000000000000004"/>
    <x v="0"/>
    <x v="0"/>
    <x v="0"/>
    <n v="7.81"/>
    <n v="4.1542553191489362E-2"/>
  </r>
  <r>
    <n v="7.8"/>
    <n v="0.64500000000000002"/>
    <n v="0"/>
    <n v="2"/>
    <n v="8.199999999999999E-2"/>
    <n v="8"/>
    <n v="16"/>
    <n v="0.99639999999999995"/>
    <x v="12"/>
    <n v="0.59"/>
    <x v="1"/>
    <x v="1"/>
    <x v="0"/>
    <n v="8.4450000000000003"/>
    <n v="3.8831632653061221E-2"/>
  </r>
  <r>
    <n v="6.7"/>
    <n v="0.67500000000000004"/>
    <n v="7.0000000000000007E-2"/>
    <n v="2.4"/>
    <n v="8.900000000000001E-2"/>
    <n v="17"/>
    <n v="82"/>
    <n v="0.99580000000000002"/>
    <x v="7"/>
    <n v="0.54"/>
    <x v="11"/>
    <x v="0"/>
    <x v="0"/>
    <n v="7.4450000000000003"/>
    <n v="3.6089108910891093E-2"/>
  </r>
  <r>
    <n v="6.9"/>
    <n v="0.68500000000000005"/>
    <n v="0"/>
    <n v="2.5"/>
    <n v="0.105"/>
    <n v="22"/>
    <n v="37"/>
    <n v="0.99660000000000004"/>
    <x v="18"/>
    <n v="0.56999999999999995"/>
    <x v="12"/>
    <x v="1"/>
    <x v="0"/>
    <n v="7.5850000000000009"/>
    <n v="3.6834905660377358E-2"/>
  </r>
  <r>
    <n v="8.3000000000000007"/>
    <n v="0.65500000000000003"/>
    <n v="0.12"/>
    <n v="2.2999999999999998"/>
    <n v="8.3000000000000004E-2"/>
    <n v="15"/>
    <n v="113"/>
    <n v="0.99660000000000004"/>
    <x v="10"/>
    <n v="0.66"/>
    <x v="1"/>
    <x v="0"/>
    <x v="0"/>
    <n v="9.0749999999999993"/>
    <n v="4.4112244897959181E-2"/>
  </r>
  <r>
    <n v="6.9"/>
    <n v="0.60499999999999998"/>
    <n v="0.12"/>
    <n v="10.7"/>
    <n v="7.2999999999999995E-2"/>
    <n v="40"/>
    <n v="83"/>
    <n v="0.99929999999999997"/>
    <x v="19"/>
    <n v="0.52"/>
    <x v="0"/>
    <x v="1"/>
    <x v="0"/>
    <n v="7.6250000000000009"/>
    <n v="3.3468085106382973E-2"/>
  </r>
  <r>
    <n v="5.2"/>
    <n v="0.32"/>
    <n v="0.25"/>
    <n v="1.8"/>
    <n v="0.10300000000000001"/>
    <n v="13"/>
    <n v="50"/>
    <n v="0.99570000000000003"/>
    <x v="12"/>
    <n v="0.55000000000000004"/>
    <x v="5"/>
    <x v="0"/>
    <x v="0"/>
    <n v="5.7700000000000005"/>
    <n v="1.9130434782608698E-2"/>
  </r>
  <r>
    <n v="7.8"/>
    <n v="0.64500000000000002"/>
    <n v="0"/>
    <n v="5.5"/>
    <n v="8.5999999999999993E-2"/>
    <n v="5"/>
    <n v="18"/>
    <n v="0.99860000000000004"/>
    <x v="20"/>
    <n v="0.55000000000000004"/>
    <x v="13"/>
    <x v="1"/>
    <x v="0"/>
    <n v="8.4450000000000003"/>
    <n v="3.695312500000001E-2"/>
  </r>
  <r>
    <n v="7.8"/>
    <n v="0.6"/>
    <n v="0.14000000000000001"/>
    <n v="2.4"/>
    <n v="8.5999999999999993E-2"/>
    <n v="3"/>
    <n v="15"/>
    <n v="0.99750000000000005"/>
    <x v="21"/>
    <n v="0.6"/>
    <x v="14"/>
    <x v="1"/>
    <x v="0"/>
    <n v="8.5400000000000009"/>
    <n v="3.3333333333333333E-2"/>
  </r>
  <r>
    <n v="8.1"/>
    <n v="0.38"/>
    <n v="0.28000000000000003"/>
    <n v="2.1"/>
    <n v="6.6000000000000003E-2"/>
    <n v="13"/>
    <n v="30"/>
    <n v="0.99680000000000002"/>
    <x v="22"/>
    <n v="0.73"/>
    <x v="10"/>
    <x v="2"/>
    <x v="1"/>
    <n v="8.76"/>
    <n v="2.8597938144329899E-2"/>
  </r>
  <r>
    <n v="5.7"/>
    <n v="1.1299999999999999"/>
    <n v="0.09"/>
    <n v="1.5"/>
    <n v="0.17199999999999999"/>
    <n v="7"/>
    <n v="19"/>
    <n v="0.99400000000000011"/>
    <x v="23"/>
    <n v="0.48"/>
    <x v="1"/>
    <x v="3"/>
    <x v="2"/>
    <n v="6.92"/>
    <n v="5.5346938775510189E-2"/>
  </r>
  <r>
    <n v="7.3"/>
    <n v="0.45"/>
    <n v="0.36"/>
    <n v="5.9"/>
    <n v="7.400000000000001E-2"/>
    <n v="12"/>
    <n v="87"/>
    <n v="0.99780000000000002"/>
    <x v="24"/>
    <n v="0.83"/>
    <x v="4"/>
    <x v="0"/>
    <x v="0"/>
    <n v="8.11"/>
    <n v="3.5571428571428573E-2"/>
  </r>
  <r>
    <n v="7.3"/>
    <n v="0.45"/>
    <n v="0.36"/>
    <n v="5.9"/>
    <n v="7.400000000000001E-2"/>
    <n v="12"/>
    <n v="87"/>
    <n v="0.99780000000000002"/>
    <x v="24"/>
    <n v="0.83"/>
    <x v="4"/>
    <x v="0"/>
    <x v="0"/>
    <n v="8.11"/>
    <n v="3.5571428571428573E-2"/>
  </r>
  <r>
    <n v="8.8000000000000007"/>
    <n v="0.61"/>
    <n v="0.3"/>
    <n v="2.8"/>
    <n v="8.8000000000000009E-2"/>
    <n v="17"/>
    <n v="46"/>
    <n v="0.99760000000000004"/>
    <x v="2"/>
    <n v="0.51"/>
    <x v="8"/>
    <x v="3"/>
    <x v="2"/>
    <n v="9.7100000000000009"/>
    <n v="3.3451612903225805E-2"/>
  </r>
  <r>
    <n v="7.5"/>
    <n v="0.49"/>
    <n v="0.2"/>
    <n v="2.6"/>
    <n v="0.33200000000000002"/>
    <n v="8"/>
    <n v="14"/>
    <n v="0.99680000000000002"/>
    <x v="25"/>
    <n v="0.9"/>
    <x v="4"/>
    <x v="1"/>
    <x v="0"/>
    <n v="8.19"/>
    <n v="4.2000000000000003E-2"/>
  </r>
  <r>
    <n v="8.1"/>
    <n v="0.66"/>
    <n v="0.22"/>
    <n v="2.2000000000000002"/>
    <n v="6.9000000000000006E-2"/>
    <n v="9"/>
    <n v="23"/>
    <n v="0.99680000000000002"/>
    <x v="4"/>
    <n v="1.2"/>
    <x v="15"/>
    <x v="0"/>
    <x v="0"/>
    <n v="8.98"/>
    <n v="7.6893203883495145E-2"/>
  </r>
  <r>
    <n v="6.8"/>
    <n v="0.67"/>
    <n v="0.02"/>
    <n v="1.8"/>
    <n v="0.05"/>
    <n v="5"/>
    <n v="11"/>
    <n v="0.99619999999999997"/>
    <x v="26"/>
    <n v="0.52"/>
    <x v="3"/>
    <x v="0"/>
    <x v="0"/>
    <n v="7.4899999999999993"/>
    <n v="3.6673684210526324E-2"/>
  </r>
  <r>
    <n v="4.5999999999999996"/>
    <n v="0.52"/>
    <n v="0.15"/>
    <n v="2.1"/>
    <n v="5.4000000000000006E-2"/>
    <n v="8"/>
    <n v="65"/>
    <n v="0.99339999999999995"/>
    <x v="27"/>
    <n v="0.56000000000000005"/>
    <x v="16"/>
    <x v="3"/>
    <x v="2"/>
    <n v="5.27"/>
    <n v="2.2229007633587788E-2"/>
  </r>
  <r>
    <n v="7.7"/>
    <n v="0.93500000000000005"/>
    <n v="0.43"/>
    <n v="2.2000000000000002"/>
    <n v="0.114"/>
    <n v="22"/>
    <n v="114"/>
    <n v="0.997"/>
    <x v="28"/>
    <n v="0.73"/>
    <x v="5"/>
    <x v="0"/>
    <x v="0"/>
    <n v="9.0649999999999995"/>
    <n v="7.4190217391304353E-2"/>
  </r>
  <r>
    <n v="8.6999999999999993"/>
    <n v="0.28999999999999998"/>
    <n v="0.52"/>
    <n v="1.6"/>
    <n v="0.113"/>
    <n v="12"/>
    <n v="37"/>
    <n v="0.99690000000000001"/>
    <x v="28"/>
    <n v="0.57999999999999996"/>
    <x v="3"/>
    <x v="0"/>
    <x v="0"/>
    <n v="9.509999999999998"/>
    <n v="1.7705263157894734E-2"/>
  </r>
  <r>
    <n v="6.4"/>
    <n v="0.4"/>
    <n v="0.23"/>
    <n v="1.6"/>
    <n v="6.6000000000000003E-2"/>
    <n v="5"/>
    <n v="12"/>
    <n v="0.99580000000000002"/>
    <x v="16"/>
    <n v="0.56000000000000005"/>
    <x v="5"/>
    <x v="0"/>
    <x v="0"/>
    <n v="7.0300000000000011"/>
    <n v="2.4347826086956528E-2"/>
  </r>
  <r>
    <n v="5.6"/>
    <n v="0.31"/>
    <n v="0.37"/>
    <n v="1.4"/>
    <n v="7.400000000000001E-2"/>
    <n v="12"/>
    <n v="96"/>
    <n v="0.99539999999999995"/>
    <x v="29"/>
    <n v="0.57999999999999996"/>
    <x v="5"/>
    <x v="0"/>
    <x v="0"/>
    <n v="6.2799999999999994"/>
    <n v="1.9543478260869565E-2"/>
  </r>
  <r>
    <n v="8.8000000000000007"/>
    <n v="0.66"/>
    <n v="0.26"/>
    <n v="1.7"/>
    <n v="7.400000000000001E-2"/>
    <n v="4"/>
    <n v="23"/>
    <n v="0.99709999999999999"/>
    <x v="30"/>
    <n v="0.74"/>
    <x v="5"/>
    <x v="0"/>
    <x v="0"/>
    <n v="9.7200000000000006"/>
    <n v="5.3086956521739136E-2"/>
  </r>
  <r>
    <n v="6.6"/>
    <n v="0.52"/>
    <n v="0.04"/>
    <n v="2.2000000000000002"/>
    <n v="6.9000000000000006E-2"/>
    <n v="8"/>
    <n v="15"/>
    <n v="0.99560000000000004"/>
    <x v="20"/>
    <n v="0.63"/>
    <x v="0"/>
    <x v="1"/>
    <x v="0"/>
    <n v="7.1599999999999993"/>
    <n v="3.4851063829787234E-2"/>
  </r>
  <r>
    <n v="6.6"/>
    <n v="0.5"/>
    <n v="0.04"/>
    <n v="2.1"/>
    <n v="6.8000000000000005E-2"/>
    <n v="6"/>
    <n v="14"/>
    <n v="0.99550000000000005"/>
    <x v="5"/>
    <n v="0.64"/>
    <x v="0"/>
    <x v="1"/>
    <x v="0"/>
    <n v="7.14"/>
    <n v="3.4042553191489362E-2"/>
  </r>
  <r>
    <n v="8.6"/>
    <n v="0.38"/>
    <n v="0.36"/>
    <n v="3"/>
    <n v="8.1000000000000003E-2"/>
    <n v="30"/>
    <n v="119"/>
    <n v="0.997"/>
    <x v="1"/>
    <n v="0.56000000000000005"/>
    <x v="0"/>
    <x v="0"/>
    <x v="0"/>
    <n v="9.34"/>
    <n v="2.2638297872340427E-2"/>
  </r>
  <r>
    <n v="7.6"/>
    <n v="0.51"/>
    <n v="0.15"/>
    <n v="2.8"/>
    <n v="0.11"/>
    <n v="33"/>
    <n v="73"/>
    <n v="0.99550000000000005"/>
    <x v="10"/>
    <n v="0.63"/>
    <x v="17"/>
    <x v="1"/>
    <x v="0"/>
    <n v="8.26"/>
    <n v="3.1500000000000007E-2"/>
  </r>
  <r>
    <n v="7.7"/>
    <n v="0.62"/>
    <n v="0.04"/>
    <n v="3.8"/>
    <n v="8.4000000000000005E-2"/>
    <n v="25"/>
    <n v="45"/>
    <n v="0.99780000000000002"/>
    <x v="16"/>
    <n v="0.53"/>
    <x v="3"/>
    <x v="0"/>
    <x v="0"/>
    <n v="8.36"/>
    <n v="3.4589473684210524E-2"/>
  </r>
  <r>
    <n v="10.199999999999999"/>
    <n v="0.42"/>
    <n v="0.56999999999999995"/>
    <n v="3.4"/>
    <n v="7.0000000000000007E-2"/>
    <n v="4"/>
    <n v="10"/>
    <n v="0.99709999999999999"/>
    <x v="13"/>
    <n v="0.63"/>
    <x v="13"/>
    <x v="0"/>
    <x v="0"/>
    <n v="11.19"/>
    <n v="2.75625E-2"/>
  </r>
  <r>
    <n v="7.5"/>
    <n v="0.63"/>
    <n v="0.12"/>
    <n v="5.0999999999999996"/>
    <n v="0.111"/>
    <n v="50"/>
    <n v="110"/>
    <n v="0.99829999999999997"/>
    <x v="2"/>
    <n v="0.77"/>
    <x v="0"/>
    <x v="0"/>
    <x v="0"/>
    <n v="8.25"/>
    <n v="5.1606382978723407E-2"/>
  </r>
  <r>
    <n v="7.8"/>
    <n v="0.59"/>
    <n v="0.18"/>
    <n v="2.2999999999999998"/>
    <n v="7.5999999999999998E-2"/>
    <n v="17"/>
    <n v="54"/>
    <n v="0.99750000000000005"/>
    <x v="15"/>
    <n v="0.59"/>
    <x v="2"/>
    <x v="0"/>
    <x v="0"/>
    <n v="8.57"/>
    <n v="3.4809999999999994E-2"/>
  </r>
  <r>
    <n v="7.3"/>
    <n v="0.39"/>
    <n v="0.31"/>
    <n v="2.4"/>
    <n v="7.400000000000001E-2"/>
    <n v="9"/>
    <n v="46"/>
    <n v="0.99619999999999997"/>
    <x v="31"/>
    <n v="0.54"/>
    <x v="0"/>
    <x v="1"/>
    <x v="0"/>
    <n v="7.9999999999999991"/>
    <n v="2.2404255319148938E-2"/>
  </r>
  <r>
    <n v="8.8000000000000007"/>
    <n v="0.4"/>
    <n v="0.4"/>
    <n v="2.2000000000000002"/>
    <n v="7.9000000000000001E-2"/>
    <n v="19"/>
    <n v="52"/>
    <n v="0.998"/>
    <x v="32"/>
    <n v="0.64"/>
    <x v="5"/>
    <x v="0"/>
    <x v="0"/>
    <n v="9.6000000000000014"/>
    <n v="2.782608695652174E-2"/>
  </r>
  <r>
    <n v="7.7"/>
    <n v="0.69"/>
    <n v="0.49"/>
    <n v="1.8"/>
    <n v="0.115"/>
    <n v="20"/>
    <n v="112"/>
    <n v="0.99680000000000002"/>
    <x v="25"/>
    <n v="0.71"/>
    <x v="8"/>
    <x v="0"/>
    <x v="0"/>
    <n v="8.8800000000000008"/>
    <n v="5.2677419354838703E-2"/>
  </r>
  <r>
    <n v="7.5"/>
    <n v="0.52"/>
    <n v="0.16"/>
    <n v="1.9"/>
    <n v="8.5000000000000006E-2"/>
    <n v="12"/>
    <n v="35"/>
    <n v="0.99680000000000002"/>
    <x v="12"/>
    <n v="0.62"/>
    <x v="3"/>
    <x v="2"/>
    <x v="1"/>
    <n v="8.18"/>
    <n v="3.3936842105263161E-2"/>
  </r>
  <r>
    <n v="7"/>
    <n v="0.73499999999999999"/>
    <n v="0.05"/>
    <n v="2"/>
    <n v="8.1000000000000003E-2"/>
    <n v="13"/>
    <n v="54"/>
    <n v="0.99660000000000004"/>
    <x v="5"/>
    <n v="0.56999999999999995"/>
    <x v="1"/>
    <x v="0"/>
    <x v="0"/>
    <n v="7.7850000000000001"/>
    <n v="4.2749999999999989E-2"/>
  </r>
  <r>
    <n v="7.2"/>
    <n v="0.72499999999999998"/>
    <n v="0.05"/>
    <n v="4.6500000000000004"/>
    <n v="8.5999999999999993E-2"/>
    <n v="4"/>
    <n v="11"/>
    <n v="0.99619999999999997"/>
    <x v="31"/>
    <n v="0.39"/>
    <x v="18"/>
    <x v="0"/>
    <x v="0"/>
    <n v="7.9749999999999996"/>
    <n v="2.5940366972477064E-2"/>
  </r>
  <r>
    <n v="7.2"/>
    <n v="0.72499999999999998"/>
    <n v="0.05"/>
    <n v="4.6500000000000004"/>
    <n v="8.5999999999999993E-2"/>
    <n v="4"/>
    <n v="11"/>
    <n v="0.99619999999999997"/>
    <x v="31"/>
    <n v="0.39"/>
    <x v="18"/>
    <x v="0"/>
    <x v="0"/>
    <n v="7.9749999999999996"/>
    <n v="2.5940366972477064E-2"/>
  </r>
  <r>
    <n v="7.5"/>
    <n v="0.52"/>
    <n v="0.11"/>
    <n v="1.5"/>
    <n v="7.9000000000000001E-2"/>
    <n v="11"/>
    <n v="39"/>
    <n v="0.99680000000000002"/>
    <x v="21"/>
    <n v="0.57999999999999996"/>
    <x v="13"/>
    <x v="0"/>
    <x v="0"/>
    <n v="8.129999999999999"/>
    <n v="3.1416666666666669E-2"/>
  </r>
  <r>
    <n v="6.6"/>
    <n v="0.70499999999999996"/>
    <n v="7.0000000000000007E-2"/>
    <n v="1.6"/>
    <n v="7.5999999999999998E-2"/>
    <n v="6"/>
    <n v="15"/>
    <n v="0.99619999999999997"/>
    <x v="32"/>
    <n v="0.57999999999999996"/>
    <x v="19"/>
    <x v="0"/>
    <x v="0"/>
    <n v="7.375"/>
    <n v="3.8214953271028036E-2"/>
  </r>
  <r>
    <n v="9.3000000000000007"/>
    <n v="0.32"/>
    <n v="0.56999999999999995"/>
    <n v="2"/>
    <n v="7.400000000000001E-2"/>
    <n v="27"/>
    <n v="65"/>
    <n v="0.99690000000000001"/>
    <x v="8"/>
    <n v="0.79"/>
    <x v="19"/>
    <x v="0"/>
    <x v="0"/>
    <n v="10.190000000000001"/>
    <n v="2.3626168224299068E-2"/>
  </r>
  <r>
    <n v="8"/>
    <n v="0.70499999999999996"/>
    <n v="0.05"/>
    <n v="1.9"/>
    <n v="7.400000000000001E-2"/>
    <n v="8"/>
    <n v="19"/>
    <n v="0.99619999999999997"/>
    <x v="16"/>
    <n v="0.95"/>
    <x v="4"/>
    <x v="1"/>
    <x v="0"/>
    <n v="8.7550000000000008"/>
    <n v="6.3785714285714279E-2"/>
  </r>
  <r>
    <n v="7.7"/>
    <n v="0.63"/>
    <n v="0.08"/>
    <n v="1.9"/>
    <n v="7.5999999999999998E-2"/>
    <n v="15"/>
    <n v="27"/>
    <n v="0.99670000000000003"/>
    <x v="29"/>
    <n v="0.54"/>
    <x v="3"/>
    <x v="1"/>
    <x v="0"/>
    <n v="8.41"/>
    <n v="3.5810526315789473E-2"/>
  </r>
  <r>
    <n v="7.7"/>
    <n v="0.67"/>
    <n v="0.23"/>
    <n v="2.1"/>
    <n v="8.8000000000000009E-2"/>
    <n v="17"/>
    <n v="96"/>
    <n v="0.99619999999999997"/>
    <x v="29"/>
    <n v="0.48"/>
    <x v="3"/>
    <x v="0"/>
    <x v="0"/>
    <n v="8.6000000000000014"/>
    <n v="3.385263157894737E-2"/>
  </r>
  <r>
    <n v="7.7"/>
    <n v="0.69"/>
    <n v="0.22"/>
    <n v="1.9"/>
    <n v="8.4000000000000005E-2"/>
    <n v="18"/>
    <n v="94"/>
    <n v="0.99609999999999999"/>
    <x v="33"/>
    <n v="0.48"/>
    <x v="3"/>
    <x v="0"/>
    <x v="0"/>
    <n v="8.6100000000000012"/>
    <n v="3.4863157894736839E-2"/>
  </r>
  <r>
    <n v="8.3000000000000007"/>
    <n v="0.67500000000000004"/>
    <n v="0.26"/>
    <n v="2.1"/>
    <n v="8.4000000000000005E-2"/>
    <n v="11"/>
    <n v="43"/>
    <n v="0.99760000000000004"/>
    <x v="33"/>
    <n v="0.53"/>
    <x v="5"/>
    <x v="3"/>
    <x v="2"/>
    <n v="9.2350000000000012"/>
    <n v="3.8885869565217404E-2"/>
  </r>
  <r>
    <n v="9.6999999999999993"/>
    <n v="0.32"/>
    <n v="0.54"/>
    <n v="2.5"/>
    <n v="9.4E-2"/>
    <n v="28"/>
    <n v="83"/>
    <n v="0.99839999999999995"/>
    <x v="8"/>
    <n v="0.82"/>
    <x v="13"/>
    <x v="0"/>
    <x v="0"/>
    <n v="10.559999999999999"/>
    <n v="2.7333333333333331E-2"/>
  </r>
  <r>
    <n v="8.8000000000000007"/>
    <n v="0.41"/>
    <n v="0.64"/>
    <n v="2.2000000000000002"/>
    <n v="9.3000000000000013E-2"/>
    <n v="9"/>
    <n v="42"/>
    <n v="0.99860000000000004"/>
    <x v="34"/>
    <n v="0.66"/>
    <x v="4"/>
    <x v="0"/>
    <x v="0"/>
    <n v="9.8500000000000014"/>
    <n v="2.5771428571428574E-2"/>
  </r>
  <r>
    <n v="8.8000000000000007"/>
    <n v="0.41"/>
    <n v="0.64"/>
    <n v="2.2000000000000002"/>
    <n v="9.3000000000000013E-2"/>
    <n v="9"/>
    <n v="42"/>
    <n v="0.99860000000000004"/>
    <x v="34"/>
    <n v="0.66"/>
    <x v="4"/>
    <x v="0"/>
    <x v="0"/>
    <n v="9.8500000000000014"/>
    <n v="2.5771428571428574E-2"/>
  </r>
  <r>
    <n v="6.8"/>
    <n v="0.78500000000000003"/>
    <n v="0"/>
    <n v="2.4"/>
    <n v="0.10400000000000001"/>
    <n v="14"/>
    <n v="30"/>
    <n v="0.99660000000000004"/>
    <x v="14"/>
    <n v="0.55000000000000004"/>
    <x v="19"/>
    <x v="1"/>
    <x v="0"/>
    <n v="7.585"/>
    <n v="4.0350467289719638E-2"/>
  </r>
  <r>
    <n v="6.7"/>
    <n v="0.75"/>
    <n v="0.12"/>
    <n v="2"/>
    <n v="8.5999999999999993E-2"/>
    <n v="12"/>
    <n v="80"/>
    <n v="0.99580000000000002"/>
    <x v="12"/>
    <n v="0.52"/>
    <x v="11"/>
    <x v="0"/>
    <x v="0"/>
    <n v="7.57"/>
    <n v="3.8613861386138613E-2"/>
  </r>
  <r>
    <n v="8.3000000000000007"/>
    <n v="0.625"/>
    <n v="0.2"/>
    <n v="1.5"/>
    <n v="0.08"/>
    <n v="27"/>
    <n v="119"/>
    <n v="0.99719999999999998"/>
    <x v="3"/>
    <n v="1.1200000000000001"/>
    <x v="7"/>
    <x v="3"/>
    <x v="2"/>
    <n v="9.125"/>
    <n v="7.6923076923076927E-2"/>
  </r>
  <r>
    <n v="6.2"/>
    <n v="0.45"/>
    <n v="0.2"/>
    <n v="1.6"/>
    <n v="6.9000000000000006E-2"/>
    <n v="3"/>
    <n v="15"/>
    <n v="0.99580000000000002"/>
    <x v="31"/>
    <n v="0.56000000000000005"/>
    <x v="5"/>
    <x v="0"/>
    <x v="0"/>
    <n v="6.8500000000000005"/>
    <n v="2.7391304347826096E-2"/>
  </r>
  <r>
    <n v="7.8"/>
    <n v="0.43"/>
    <n v="0.7"/>
    <n v="1.9"/>
    <n v="0.46399999999999997"/>
    <n v="22"/>
    <n v="67"/>
    <n v="0.99739999999999995"/>
    <x v="35"/>
    <n v="1.28"/>
    <x v="0"/>
    <x v="0"/>
    <x v="0"/>
    <n v="8.93"/>
    <n v="5.8553191489361701E-2"/>
  </r>
  <r>
    <n v="7.4"/>
    <n v="0.5"/>
    <n v="0.47"/>
    <n v="2"/>
    <n v="8.5999999999999993E-2"/>
    <n v="21"/>
    <n v="73"/>
    <n v="0.997"/>
    <x v="6"/>
    <n v="0.56999999999999995"/>
    <x v="7"/>
    <x v="0"/>
    <x v="0"/>
    <n v="8.370000000000001"/>
    <n v="3.1318681318681318E-2"/>
  </r>
  <r>
    <n v="7.3"/>
    <n v="0.67"/>
    <n v="0.26"/>
    <n v="1.8"/>
    <n v="0.40100000000000002"/>
    <n v="16"/>
    <n v="51"/>
    <n v="0.99690000000000001"/>
    <x v="3"/>
    <n v="1.1399999999999999"/>
    <x v="0"/>
    <x v="0"/>
    <x v="0"/>
    <n v="8.23"/>
    <n v="8.1255319148936175E-2"/>
  </r>
  <r>
    <n v="6.3"/>
    <n v="0.3"/>
    <n v="0.48"/>
    <n v="1.8"/>
    <n v="6.9000000000000006E-2"/>
    <n v="18"/>
    <n v="61"/>
    <n v="0.99590000000000001"/>
    <x v="32"/>
    <n v="0.78"/>
    <x v="15"/>
    <x v="1"/>
    <x v="0"/>
    <n v="7.08"/>
    <n v="2.2718446601941746E-2"/>
  </r>
  <r>
    <n v="6.9"/>
    <n v="0.55000000000000004"/>
    <n v="0.15"/>
    <n v="2.2000000000000002"/>
    <n v="7.5999999999999998E-2"/>
    <n v="19"/>
    <n v="40"/>
    <n v="0.99609999999999999"/>
    <x v="31"/>
    <n v="0.59"/>
    <x v="11"/>
    <x v="0"/>
    <x v="0"/>
    <n v="7.6000000000000005"/>
    <n v="3.2128712871287129E-2"/>
  </r>
  <r>
    <n v="8.6"/>
    <n v="0.49"/>
    <n v="0.28000000000000003"/>
    <n v="1.9"/>
    <n v="0.11"/>
    <n v="20"/>
    <n v="136"/>
    <n v="0.99719999999999998"/>
    <x v="36"/>
    <n v="1.95"/>
    <x v="6"/>
    <x v="1"/>
    <x v="0"/>
    <n v="9.3699999999999992"/>
    <n v="9.6515151515151512E-2"/>
  </r>
  <r>
    <n v="7.7"/>
    <n v="0.49"/>
    <n v="0.26"/>
    <n v="1.9"/>
    <n v="6.2E-2"/>
    <n v="9"/>
    <n v="31"/>
    <n v="0.99660000000000004"/>
    <x v="5"/>
    <n v="0.64"/>
    <x v="13"/>
    <x v="0"/>
    <x v="0"/>
    <n v="8.4499999999999993"/>
    <n v="3.266666666666667E-2"/>
  </r>
  <r>
    <n v="9.3000000000000007"/>
    <n v="0.39"/>
    <n v="0.44"/>
    <n v="2.1"/>
    <n v="0.107"/>
    <n v="34"/>
    <n v="125"/>
    <n v="0.99780000000000002"/>
    <x v="37"/>
    <n v="1.22"/>
    <x v="3"/>
    <x v="0"/>
    <x v="0"/>
    <n v="10.130000000000001"/>
    <n v="5.0084210526315787E-2"/>
  </r>
  <r>
    <n v="7"/>
    <n v="0.62"/>
    <n v="0.08"/>
    <n v="1.8"/>
    <n v="7.5999999999999998E-2"/>
    <n v="8"/>
    <n v="24"/>
    <n v="0.99780000000000002"/>
    <x v="26"/>
    <n v="0.53"/>
    <x v="9"/>
    <x v="0"/>
    <x v="0"/>
    <n v="7.7"/>
    <n v="3.6511111111111112E-2"/>
  </r>
  <r>
    <n v="7.9"/>
    <n v="0.52"/>
    <n v="0.26"/>
    <n v="1.9"/>
    <n v="7.9000000000000001E-2"/>
    <n v="42"/>
    <n v="140"/>
    <n v="0.99639999999999995"/>
    <x v="22"/>
    <n v="0.54"/>
    <x v="3"/>
    <x v="0"/>
    <x v="0"/>
    <n v="8.68"/>
    <n v="2.9557894736842109E-2"/>
  </r>
  <r>
    <n v="8.6"/>
    <n v="0.49"/>
    <n v="0.28000000000000003"/>
    <n v="1.9"/>
    <n v="0.11"/>
    <n v="20"/>
    <n v="136"/>
    <n v="0.99719999999999998"/>
    <x v="36"/>
    <n v="1.95"/>
    <x v="6"/>
    <x v="1"/>
    <x v="0"/>
    <n v="9.3699999999999992"/>
    <n v="9.6515151515151512E-2"/>
  </r>
  <r>
    <n v="8.6"/>
    <n v="0.49"/>
    <n v="0.28999999999999998"/>
    <n v="2"/>
    <n v="0.11"/>
    <n v="19"/>
    <n v="133"/>
    <n v="0.99719999999999998"/>
    <x v="36"/>
    <n v="1.98"/>
    <x v="1"/>
    <x v="0"/>
    <x v="0"/>
    <n v="9.379999999999999"/>
    <n v="9.8999999999999991E-2"/>
  </r>
  <r>
    <n v="7.7"/>
    <n v="0.49"/>
    <n v="0.26"/>
    <n v="1.9"/>
    <n v="6.2E-2"/>
    <n v="9"/>
    <n v="31"/>
    <n v="0.99660000000000004"/>
    <x v="5"/>
    <n v="0.64"/>
    <x v="13"/>
    <x v="0"/>
    <x v="0"/>
    <n v="8.4499999999999993"/>
    <n v="3.266666666666667E-2"/>
  </r>
  <r>
    <n v="5"/>
    <n v="1.02"/>
    <n v="0.04"/>
    <n v="1.4"/>
    <n v="4.4999999999999998E-2"/>
    <n v="41"/>
    <n v="85"/>
    <n v="0.99380000000000002"/>
    <x v="38"/>
    <n v="0.48"/>
    <x v="4"/>
    <x v="3"/>
    <x v="2"/>
    <n v="6.06"/>
    <n v="4.6628571428571429E-2"/>
  </r>
  <r>
    <n v="4.7"/>
    <n v="0.6"/>
    <n v="0.17"/>
    <n v="2.2999999999999998"/>
    <n v="5.7999999999999996E-2"/>
    <n v="17"/>
    <n v="106"/>
    <n v="0.99319999999999997"/>
    <x v="39"/>
    <n v="0.6"/>
    <x v="20"/>
    <x v="1"/>
    <x v="0"/>
    <n v="5.47"/>
    <n v="2.7906976744186046E-2"/>
  </r>
  <r>
    <n v="6.8"/>
    <n v="0.77500000000000002"/>
    <n v="0"/>
    <n v="3"/>
    <n v="0.10199999999999999"/>
    <n v="8"/>
    <n v="23"/>
    <n v="0.99650000000000005"/>
    <x v="19"/>
    <n v="0.56000000000000005"/>
    <x v="19"/>
    <x v="0"/>
    <x v="0"/>
    <n v="7.5750000000000002"/>
    <n v="4.0560747663551409E-2"/>
  </r>
  <r>
    <n v="7"/>
    <n v="0.5"/>
    <n v="0.25"/>
    <n v="2"/>
    <n v="7.0000000000000007E-2"/>
    <n v="3"/>
    <n v="22"/>
    <n v="0.99629999999999996"/>
    <x v="28"/>
    <n v="0.63"/>
    <x v="5"/>
    <x v="0"/>
    <x v="0"/>
    <n v="7.75"/>
    <n v="3.4239130434782612E-2"/>
  </r>
  <r>
    <n v="7.6"/>
    <n v="0.9"/>
    <n v="0.06"/>
    <n v="2.5"/>
    <n v="7.9000000000000001E-2"/>
    <n v="5"/>
    <n v="10"/>
    <n v="0.99670000000000003"/>
    <x v="5"/>
    <n v="0.56000000000000005"/>
    <x v="1"/>
    <x v="0"/>
    <x v="0"/>
    <n v="8.56"/>
    <n v="5.1428571428571435E-2"/>
  </r>
  <r>
    <n v="8.1"/>
    <n v="0.54500000000000004"/>
    <n v="0.18"/>
    <n v="1.9"/>
    <n v="0.08"/>
    <n v="13"/>
    <n v="35"/>
    <n v="0.99719999999999998"/>
    <x v="4"/>
    <n v="0.59"/>
    <x v="9"/>
    <x v="1"/>
    <x v="0"/>
    <n v="8.8249999999999993"/>
    <n v="3.5727777777777775E-2"/>
  </r>
  <r>
    <n v="8.3000000000000007"/>
    <n v="0.61"/>
    <n v="0.3"/>
    <n v="2.1"/>
    <n v="8.4000000000000005E-2"/>
    <n v="11"/>
    <n v="50"/>
    <n v="0.99719999999999998"/>
    <x v="20"/>
    <n v="0.61"/>
    <x v="17"/>
    <x v="1"/>
    <x v="0"/>
    <n v="9.2100000000000009"/>
    <n v="3.6480392156862745E-2"/>
  </r>
  <r>
    <n v="7.8"/>
    <n v="0.5"/>
    <n v="0.3"/>
    <n v="1.9"/>
    <n v="7.4999999999999997E-2"/>
    <n v="8"/>
    <n v="22"/>
    <n v="0.99590000000000001"/>
    <x v="33"/>
    <n v="0.56000000000000005"/>
    <x v="21"/>
    <x v="1"/>
    <x v="0"/>
    <n v="8.6000000000000014"/>
    <n v="2.6923076923076925E-2"/>
  </r>
  <r>
    <n v="8.1"/>
    <n v="0.54500000000000004"/>
    <n v="0.18"/>
    <n v="1.9"/>
    <n v="0.08"/>
    <n v="13"/>
    <n v="35"/>
    <n v="0.99719999999999998"/>
    <x v="4"/>
    <n v="0.59"/>
    <x v="9"/>
    <x v="1"/>
    <x v="0"/>
    <n v="8.8249999999999993"/>
    <n v="3.5727777777777775E-2"/>
  </r>
  <r>
    <n v="8.1"/>
    <n v="0.57499999999999996"/>
    <n v="0.22"/>
    <n v="2.1"/>
    <n v="7.6999999999999999E-2"/>
    <n v="12"/>
    <n v="65"/>
    <n v="0.99670000000000003"/>
    <x v="40"/>
    <n v="0.51"/>
    <x v="5"/>
    <x v="0"/>
    <x v="0"/>
    <n v="8.8949999999999996"/>
    <n v="3.1875000000000001E-2"/>
  </r>
  <r>
    <n v="7.2"/>
    <n v="0.49"/>
    <n v="0.24"/>
    <n v="2.2000000000000002"/>
    <n v="7.0000000000000007E-2"/>
    <n v="5"/>
    <n v="36"/>
    <n v="0.996"/>
    <x v="24"/>
    <n v="0.48"/>
    <x v="0"/>
    <x v="0"/>
    <x v="0"/>
    <n v="7.9300000000000006"/>
    <n v="2.5021276595744678E-2"/>
  </r>
  <r>
    <n v="8.1"/>
    <n v="0.57499999999999996"/>
    <n v="0.22"/>
    <n v="2.1"/>
    <n v="7.6999999999999999E-2"/>
    <n v="12"/>
    <n v="65"/>
    <n v="0.99670000000000003"/>
    <x v="40"/>
    <n v="0.51"/>
    <x v="5"/>
    <x v="0"/>
    <x v="0"/>
    <n v="8.8949999999999996"/>
    <n v="3.1875000000000001E-2"/>
  </r>
  <r>
    <n v="7.8"/>
    <n v="0.41"/>
    <n v="0.68"/>
    <n v="1.7"/>
    <n v="0.46700000000000003"/>
    <n v="18"/>
    <n v="69"/>
    <n v="0.99729999999999996"/>
    <x v="41"/>
    <n v="1.31"/>
    <x v="8"/>
    <x v="0"/>
    <x v="0"/>
    <n v="8.8899999999999988"/>
    <n v="5.7752688172043008E-2"/>
  </r>
  <r>
    <n v="6.2"/>
    <n v="0.63"/>
    <n v="0.31"/>
    <n v="1.7"/>
    <n v="8.8000000000000009E-2"/>
    <n v="15"/>
    <n v="64"/>
    <n v="0.99690000000000001"/>
    <x v="18"/>
    <n v="0.79"/>
    <x v="8"/>
    <x v="0"/>
    <x v="0"/>
    <n v="7.14"/>
    <n v="5.3516129032258067E-2"/>
  </r>
  <r>
    <n v="8"/>
    <n v="0.33"/>
    <n v="0.53"/>
    <n v="2.5"/>
    <n v="9.0999999999999998E-2"/>
    <n v="18"/>
    <n v="80"/>
    <n v="0.99760000000000004"/>
    <x v="42"/>
    <n v="0.8"/>
    <x v="13"/>
    <x v="1"/>
    <x v="0"/>
    <n v="8.86"/>
    <n v="2.7500000000000004E-2"/>
  </r>
  <r>
    <n v="8.1"/>
    <n v="0.78500000000000003"/>
    <n v="0.52"/>
    <n v="2"/>
    <n v="0.122"/>
    <n v="37"/>
    <n v="153"/>
    <n v="0.99690000000000001"/>
    <x v="25"/>
    <n v="0.69"/>
    <x v="8"/>
    <x v="0"/>
    <x v="0"/>
    <n v="9.4049999999999994"/>
    <n v="5.8241935483870959E-2"/>
  </r>
  <r>
    <n v="7.8"/>
    <n v="0.56000000000000005"/>
    <n v="0.19"/>
    <n v="1.8"/>
    <n v="0.10400000000000001"/>
    <n v="12"/>
    <n v="47"/>
    <n v="0.99639999999999995"/>
    <x v="43"/>
    <n v="0.93"/>
    <x v="3"/>
    <x v="0"/>
    <x v="0"/>
    <n v="8.5499999999999989"/>
    <n v="5.4821052631578951E-2"/>
  </r>
  <r>
    <n v="8.4"/>
    <n v="0.62"/>
    <n v="0.09"/>
    <n v="2.2000000000000002"/>
    <n v="8.4000000000000005E-2"/>
    <n v="11"/>
    <n v="108"/>
    <n v="0.99639999999999995"/>
    <x v="30"/>
    <n v="0.66"/>
    <x v="1"/>
    <x v="0"/>
    <x v="0"/>
    <n v="9.11"/>
    <n v="4.1755102040816325E-2"/>
  </r>
  <r>
    <n v="8.4"/>
    <n v="0.6"/>
    <n v="0.1"/>
    <n v="2.2000000000000002"/>
    <n v="8.5000000000000006E-2"/>
    <n v="14"/>
    <n v="111"/>
    <n v="0.99639999999999995"/>
    <x v="30"/>
    <n v="0.66"/>
    <x v="1"/>
    <x v="0"/>
    <x v="0"/>
    <n v="9.1"/>
    <n v="4.0408163265306121E-2"/>
  </r>
  <r>
    <n v="10.1"/>
    <n v="0.31"/>
    <n v="0.44"/>
    <n v="2.2999999999999998"/>
    <n v="0.08"/>
    <n v="22"/>
    <n v="46"/>
    <n v="0.99880000000000002"/>
    <x v="29"/>
    <n v="0.67"/>
    <x v="10"/>
    <x v="1"/>
    <x v="0"/>
    <n v="10.85"/>
    <n v="2.1412371134020624E-2"/>
  </r>
  <r>
    <n v="7.8"/>
    <n v="0.56000000000000005"/>
    <n v="0.19"/>
    <n v="1.8"/>
    <n v="0.10400000000000001"/>
    <n v="12"/>
    <n v="47"/>
    <n v="0.99639999999999995"/>
    <x v="43"/>
    <n v="0.93"/>
    <x v="3"/>
    <x v="0"/>
    <x v="0"/>
    <n v="8.5499999999999989"/>
    <n v="5.4821052631578951E-2"/>
  </r>
  <r>
    <n v="9.4"/>
    <n v="0.4"/>
    <n v="0.31"/>
    <n v="2.2000000000000002"/>
    <n v="0.09"/>
    <n v="13"/>
    <n v="62"/>
    <n v="0.99660000000000004"/>
    <x v="44"/>
    <n v="0.63"/>
    <x v="4"/>
    <x v="1"/>
    <x v="0"/>
    <n v="10.110000000000001"/>
    <n v="2.4E-2"/>
  </r>
  <r>
    <n v="8.3000000000000007"/>
    <n v="0.54"/>
    <n v="0.28000000000000003"/>
    <n v="1.9"/>
    <n v="7.6999999999999999E-2"/>
    <n v="11"/>
    <n v="40"/>
    <n v="0.99780000000000002"/>
    <x v="5"/>
    <n v="0.61"/>
    <x v="2"/>
    <x v="1"/>
    <x v="0"/>
    <n v="9.1199999999999992"/>
    <n v="3.2940000000000004E-2"/>
  </r>
  <r>
    <n v="7.8"/>
    <n v="0.56000000000000005"/>
    <n v="0.12"/>
    <n v="2"/>
    <n v="8.199999999999999E-2"/>
    <n v="7"/>
    <n v="28"/>
    <n v="0.997"/>
    <x v="42"/>
    <n v="0.5"/>
    <x v="0"/>
    <x v="1"/>
    <x v="0"/>
    <n v="8.4799999999999986"/>
    <n v="2.9787234042553193E-2"/>
  </r>
  <r>
    <n v="8.8000000000000007"/>
    <n v="0.55000000000000004"/>
    <n v="0.04"/>
    <n v="2.2000000000000002"/>
    <n v="0.11900000000000001"/>
    <n v="14"/>
    <n v="56"/>
    <n v="0.99619999999999997"/>
    <x v="25"/>
    <n v="0.6"/>
    <x v="18"/>
    <x v="1"/>
    <x v="0"/>
    <n v="9.39"/>
    <n v="3.0275229357798167E-2"/>
  </r>
  <r>
    <n v="7"/>
    <n v="0.69"/>
    <n v="0.08"/>
    <n v="1.8"/>
    <n v="9.6999999999999989E-2"/>
    <n v="22"/>
    <n v="89"/>
    <n v="0.99590000000000001"/>
    <x v="16"/>
    <n v="0.54"/>
    <x v="5"/>
    <x v="1"/>
    <x v="0"/>
    <n v="7.77"/>
    <n v="4.0500000000000001E-2"/>
  </r>
  <r>
    <n v="7.3"/>
    <n v="1.07"/>
    <n v="0.09"/>
    <n v="1.7"/>
    <n v="0.17800000000000002"/>
    <n v="10"/>
    <n v="89"/>
    <n v="0.99619999999999997"/>
    <x v="4"/>
    <n v="0.56999999999999995"/>
    <x v="9"/>
    <x v="0"/>
    <x v="0"/>
    <n v="8.4599999999999991"/>
    <n v="6.7766666666666669E-2"/>
  </r>
  <r>
    <n v="8.8000000000000007"/>
    <n v="0.55000000000000004"/>
    <n v="0.04"/>
    <n v="2.2000000000000002"/>
    <n v="0.11900000000000001"/>
    <n v="14"/>
    <n v="56"/>
    <n v="0.99619999999999997"/>
    <x v="25"/>
    <n v="0.6"/>
    <x v="18"/>
    <x v="1"/>
    <x v="0"/>
    <n v="9.39"/>
    <n v="3.0275229357798167E-2"/>
  </r>
  <r>
    <n v="7.3"/>
    <n v="0.69499999999999995"/>
    <n v="0"/>
    <n v="2.5"/>
    <n v="7.4999999999999997E-2"/>
    <n v="3"/>
    <n v="13"/>
    <n v="0.998"/>
    <x v="45"/>
    <n v="0.52"/>
    <x v="5"/>
    <x v="0"/>
    <x v="0"/>
    <n v="7.9950000000000001"/>
    <n v="3.9282608695652178E-2"/>
  </r>
  <r>
    <n v="8"/>
    <n v="0.71"/>
    <n v="0"/>
    <n v="2.6"/>
    <n v="0.08"/>
    <n v="11"/>
    <n v="34"/>
    <n v="0.99760000000000004"/>
    <x v="32"/>
    <n v="0.53"/>
    <x v="3"/>
    <x v="0"/>
    <x v="0"/>
    <n v="8.7100000000000009"/>
    <n v="3.9610526315789478E-2"/>
  </r>
  <r>
    <n v="7.8"/>
    <n v="0.5"/>
    <n v="0.17"/>
    <n v="1.6"/>
    <n v="8.199999999999999E-2"/>
    <n v="21"/>
    <n v="102"/>
    <n v="0.996"/>
    <x v="5"/>
    <n v="0.48"/>
    <x v="3"/>
    <x v="0"/>
    <x v="0"/>
    <n v="8.4700000000000006"/>
    <n v="2.5263157894736842E-2"/>
  </r>
  <r>
    <n v="9"/>
    <n v="0.62"/>
    <n v="0.04"/>
    <n v="1.9"/>
    <n v="0.14599999999999999"/>
    <n v="27"/>
    <n v="90"/>
    <n v="0.99839999999999995"/>
    <x v="3"/>
    <n v="0.7"/>
    <x v="0"/>
    <x v="0"/>
    <x v="0"/>
    <n v="9.6599999999999984"/>
    <n v="4.6170212765957445E-2"/>
  </r>
  <r>
    <n v="8.1999999999999993"/>
    <n v="1.33"/>
    <n v="0"/>
    <n v="1.7"/>
    <n v="8.1000000000000003E-2"/>
    <n v="3"/>
    <n v="12"/>
    <n v="0.99639999999999995"/>
    <x v="46"/>
    <n v="0.49"/>
    <x v="18"/>
    <x v="0"/>
    <x v="0"/>
    <n v="9.5299999999999994"/>
    <n v="5.9788990825688074E-2"/>
  </r>
  <r>
    <n v="8.1"/>
    <n v="1.33"/>
    <n v="0"/>
    <n v="1.8"/>
    <n v="8.199999999999999E-2"/>
    <n v="3"/>
    <n v="12"/>
    <n v="0.99639999999999995"/>
    <x v="34"/>
    <n v="0.48"/>
    <x v="18"/>
    <x v="0"/>
    <x v="0"/>
    <n v="9.43"/>
    <n v="5.8568807339449538E-2"/>
  </r>
  <r>
    <n v="8"/>
    <n v="0.59"/>
    <n v="0.16"/>
    <n v="1.8"/>
    <n v="6.5000000000000002E-2"/>
    <n v="3"/>
    <n v="16"/>
    <n v="0.99619999999999997"/>
    <x v="21"/>
    <n v="0.92"/>
    <x v="4"/>
    <x v="2"/>
    <x v="1"/>
    <n v="8.75"/>
    <n v="5.1695238095238093E-2"/>
  </r>
  <r>
    <n v="6.1"/>
    <n v="0.38"/>
    <n v="0.15"/>
    <n v="1.8"/>
    <n v="7.2000000000000008E-2"/>
    <n v="6"/>
    <n v="19"/>
    <n v="0.99550000000000005"/>
    <x v="21"/>
    <n v="0.56999999999999995"/>
    <x v="0"/>
    <x v="0"/>
    <x v="0"/>
    <n v="6.63"/>
    <n v="2.3042553191489359E-2"/>
  </r>
  <r>
    <n v="8"/>
    <n v="0.745"/>
    <n v="0.56000000000000005"/>
    <n v="2"/>
    <n v="0.11800000000000001"/>
    <n v="30"/>
    <n v="134"/>
    <n v="0.99680000000000002"/>
    <x v="47"/>
    <n v="0.66"/>
    <x v="0"/>
    <x v="0"/>
    <x v="0"/>
    <n v="9.3049999999999997"/>
    <n v="5.2308510638297875E-2"/>
  </r>
  <r>
    <n v="5.6"/>
    <n v="0.5"/>
    <n v="0.09"/>
    <n v="2.2999999999999998"/>
    <n v="4.9000000000000002E-2"/>
    <n v="17"/>
    <n v="99"/>
    <n v="0.99370000000000003"/>
    <x v="48"/>
    <n v="0.63"/>
    <x v="22"/>
    <x v="0"/>
    <x v="0"/>
    <n v="6.1899999999999995"/>
    <n v="2.4230769230769229E-2"/>
  </r>
  <r>
    <n v="5.6"/>
    <n v="0.5"/>
    <n v="0.09"/>
    <n v="2.2999999999999998"/>
    <n v="4.9000000000000002E-2"/>
    <n v="17"/>
    <n v="99"/>
    <n v="0.99370000000000003"/>
    <x v="48"/>
    <n v="0.63"/>
    <x v="22"/>
    <x v="0"/>
    <x v="0"/>
    <n v="6.1899999999999995"/>
    <n v="2.4230769230769229E-2"/>
  </r>
  <r>
    <n v="6.6"/>
    <n v="0.5"/>
    <n v="0.01"/>
    <n v="1.5"/>
    <n v="0.06"/>
    <n v="17"/>
    <n v="26"/>
    <n v="0.99519999999999997"/>
    <x v="20"/>
    <n v="0.57999999999999996"/>
    <x v="1"/>
    <x v="1"/>
    <x v="0"/>
    <n v="7.1099999999999994"/>
    <n v="2.9591836734693875E-2"/>
  </r>
  <r>
    <n v="7.9"/>
    <n v="1.04"/>
    <n v="0.05"/>
    <n v="2.2000000000000002"/>
    <n v="8.4000000000000005E-2"/>
    <n v="13"/>
    <n v="29"/>
    <n v="0.99590000000000001"/>
    <x v="49"/>
    <n v="0.55000000000000004"/>
    <x v="6"/>
    <x v="1"/>
    <x v="0"/>
    <n v="8.990000000000002"/>
    <n v="5.7777777777777782E-2"/>
  </r>
  <r>
    <n v="8.4"/>
    <n v="0.745"/>
    <n v="0.11"/>
    <n v="1.9"/>
    <n v="0.09"/>
    <n v="16"/>
    <n v="63"/>
    <n v="0.99650000000000005"/>
    <x v="43"/>
    <n v="0.82"/>
    <x v="13"/>
    <x v="0"/>
    <x v="0"/>
    <n v="9.254999999999999"/>
    <n v="6.3635416666666667E-2"/>
  </r>
  <r>
    <n v="8.3000000000000007"/>
    <n v="0.71499999999999997"/>
    <n v="0.15"/>
    <n v="1.8"/>
    <n v="8.900000000000001E-2"/>
    <n v="10"/>
    <n v="52"/>
    <n v="0.99680000000000002"/>
    <x v="22"/>
    <n v="0.77"/>
    <x v="3"/>
    <x v="0"/>
    <x v="0"/>
    <n v="9.1650000000000009"/>
    <n v="5.7952631578947367E-2"/>
  </r>
  <r>
    <n v="7.2"/>
    <n v="0.41499999999999998"/>
    <n v="0.36"/>
    <n v="2"/>
    <n v="8.1000000000000003E-2"/>
    <n v="13"/>
    <n v="45"/>
    <n v="0.99719999999999998"/>
    <x v="26"/>
    <n v="0.64"/>
    <x v="5"/>
    <x v="0"/>
    <x v="0"/>
    <n v="7.9750000000000005"/>
    <n v="2.8869565217391306E-2"/>
  </r>
  <r>
    <n v="7.8"/>
    <n v="0.56000000000000005"/>
    <n v="0.19"/>
    <n v="2.1"/>
    <n v="8.1000000000000003E-2"/>
    <n v="15"/>
    <n v="105"/>
    <n v="0.99619999999999997"/>
    <x v="24"/>
    <n v="0.54"/>
    <x v="3"/>
    <x v="0"/>
    <x v="0"/>
    <n v="8.5499999999999989"/>
    <n v="3.1831578947368426E-2"/>
  </r>
  <r>
    <n v="7.8"/>
    <n v="0.56000000000000005"/>
    <n v="0.19"/>
    <n v="2"/>
    <n v="8.1000000000000003E-2"/>
    <n v="17"/>
    <n v="108"/>
    <n v="0.99619999999999997"/>
    <x v="29"/>
    <n v="0.54"/>
    <x v="3"/>
    <x v="0"/>
    <x v="0"/>
    <n v="8.5499999999999989"/>
    <n v="3.1831578947368426E-2"/>
  </r>
  <r>
    <n v="8.4"/>
    <n v="0.745"/>
    <n v="0.11"/>
    <n v="1.9"/>
    <n v="0.09"/>
    <n v="16"/>
    <n v="63"/>
    <n v="0.99650000000000005"/>
    <x v="43"/>
    <n v="0.82"/>
    <x v="13"/>
    <x v="0"/>
    <x v="0"/>
    <n v="9.254999999999999"/>
    <n v="6.3635416666666667E-2"/>
  </r>
  <r>
    <n v="8.3000000000000007"/>
    <n v="0.71499999999999997"/>
    <n v="0.15"/>
    <n v="1.8"/>
    <n v="8.900000000000001E-2"/>
    <n v="10"/>
    <n v="52"/>
    <n v="0.99680000000000002"/>
    <x v="22"/>
    <n v="0.77"/>
    <x v="3"/>
    <x v="0"/>
    <x v="0"/>
    <n v="9.1650000000000009"/>
    <n v="5.7952631578947367E-2"/>
  </r>
  <r>
    <n v="5.2"/>
    <n v="0.34"/>
    <n v="0"/>
    <n v="1.8"/>
    <n v="0.05"/>
    <n v="27"/>
    <n v="63"/>
    <n v="0.99160000000000004"/>
    <x v="50"/>
    <n v="0.79"/>
    <x v="23"/>
    <x v="1"/>
    <x v="0"/>
    <n v="5.54"/>
    <n v="1.9185714285714285E-2"/>
  </r>
  <r>
    <n v="6.3"/>
    <n v="0.39"/>
    <n v="0.08"/>
    <n v="1.7"/>
    <n v="6.6000000000000003E-2"/>
    <n v="3"/>
    <n v="20"/>
    <n v="0.99539999999999995"/>
    <x v="16"/>
    <n v="0.57999999999999996"/>
    <x v="0"/>
    <x v="0"/>
    <x v="0"/>
    <n v="6.77"/>
    <n v="2.406382978723404E-2"/>
  </r>
  <r>
    <n v="5.2"/>
    <n v="0.34"/>
    <n v="0"/>
    <n v="1.8"/>
    <n v="0.05"/>
    <n v="27"/>
    <n v="63"/>
    <n v="0.99160000000000004"/>
    <x v="50"/>
    <n v="0.79"/>
    <x v="23"/>
    <x v="1"/>
    <x v="0"/>
    <n v="5.54"/>
    <n v="1.9185714285714285E-2"/>
  </r>
  <r>
    <n v="8.1"/>
    <n v="0.67"/>
    <n v="0.55000000000000004"/>
    <n v="1.8"/>
    <n v="0.11699999999999999"/>
    <n v="32"/>
    <n v="141"/>
    <n v="0.99680000000000002"/>
    <x v="10"/>
    <n v="0.62"/>
    <x v="0"/>
    <x v="0"/>
    <x v="0"/>
    <n v="9.32"/>
    <n v="4.4191489361702134E-2"/>
  </r>
  <r>
    <n v="5.8"/>
    <n v="0.68"/>
    <n v="0.02"/>
    <n v="1.8"/>
    <n v="8.6999999999999994E-2"/>
    <n v="21"/>
    <n v="94"/>
    <n v="0.99439999999999995"/>
    <x v="34"/>
    <n v="0.52"/>
    <x v="2"/>
    <x v="0"/>
    <x v="0"/>
    <n v="6.4999999999999991"/>
    <n v="3.5360000000000003E-2"/>
  </r>
  <r>
    <n v="7.6"/>
    <n v="0.49"/>
    <n v="0.26"/>
    <n v="1.6"/>
    <n v="0.23600000000000002"/>
    <n v="10"/>
    <n v="88"/>
    <n v="0.99680000000000002"/>
    <x v="11"/>
    <n v="0.8"/>
    <x v="8"/>
    <x v="0"/>
    <x v="0"/>
    <n v="8.35"/>
    <n v="4.2150537634408604E-2"/>
  </r>
  <r>
    <n v="6.9"/>
    <n v="0.49"/>
    <n v="0.1"/>
    <n v="2.2999999999999998"/>
    <n v="7.400000000000001E-2"/>
    <n v="12"/>
    <n v="30"/>
    <n v="0.99590000000000001"/>
    <x v="21"/>
    <n v="0.57999999999999996"/>
    <x v="17"/>
    <x v="1"/>
    <x v="0"/>
    <n v="7.49"/>
    <n v="2.7862745098039213E-2"/>
  </r>
  <r>
    <n v="8.1999999999999993"/>
    <n v="0.4"/>
    <n v="0.44"/>
    <n v="2.8"/>
    <n v="8.900000000000001E-2"/>
    <n v="11"/>
    <n v="43"/>
    <n v="0.99750000000000005"/>
    <x v="46"/>
    <n v="0.61"/>
    <x v="4"/>
    <x v="1"/>
    <x v="0"/>
    <n v="9.0399999999999991"/>
    <n v="2.3238095238095238E-2"/>
  </r>
  <r>
    <n v="7.3"/>
    <n v="0.33"/>
    <n v="0.47"/>
    <n v="2.1"/>
    <n v="7.6999999999999999E-2"/>
    <n v="5"/>
    <n v="11"/>
    <n v="0.99580000000000002"/>
    <x v="24"/>
    <n v="0.53"/>
    <x v="15"/>
    <x v="1"/>
    <x v="0"/>
    <n v="8.1"/>
    <n v="1.6980582524271846E-2"/>
  </r>
  <r>
    <n v="9.1999999999999993"/>
    <n v="0.52"/>
    <n v="1"/>
    <n v="3.4"/>
    <n v="0.61"/>
    <n v="32"/>
    <n v="69"/>
    <n v="0.99960000000000004"/>
    <x v="51"/>
    <n v="2"/>
    <x v="0"/>
    <x v="3"/>
    <x v="2"/>
    <n v="10.719999999999999"/>
    <n v="0.11063829787234042"/>
  </r>
  <r>
    <n v="7.5"/>
    <n v="0.6"/>
    <n v="0.03"/>
    <n v="1.8"/>
    <n v="9.5000000000000001E-2"/>
    <n v="25"/>
    <n v="99"/>
    <n v="0.995"/>
    <x v="7"/>
    <n v="0.54"/>
    <x v="11"/>
    <x v="0"/>
    <x v="0"/>
    <n v="8.129999999999999"/>
    <n v="3.207920792079208E-2"/>
  </r>
  <r>
    <n v="7.5"/>
    <n v="0.6"/>
    <n v="0.03"/>
    <n v="1.8"/>
    <n v="9.5000000000000001E-2"/>
    <n v="25"/>
    <n v="99"/>
    <n v="0.995"/>
    <x v="7"/>
    <n v="0.54"/>
    <x v="11"/>
    <x v="0"/>
    <x v="0"/>
    <n v="8.129999999999999"/>
    <n v="3.207920792079208E-2"/>
  </r>
  <r>
    <n v="7.1"/>
    <n v="0.43"/>
    <n v="0.42"/>
    <n v="5.5"/>
    <n v="7.0000000000000007E-2"/>
    <n v="29"/>
    <n v="129"/>
    <n v="0.99729999999999996"/>
    <x v="21"/>
    <n v="0.72"/>
    <x v="4"/>
    <x v="0"/>
    <x v="0"/>
    <n v="7.9499999999999993"/>
    <n v="2.9485714285714285E-2"/>
  </r>
  <r>
    <n v="7.1"/>
    <n v="0.43"/>
    <n v="0.42"/>
    <n v="5.5"/>
    <n v="7.0999999999999994E-2"/>
    <n v="28"/>
    <n v="128"/>
    <n v="0.99729999999999996"/>
    <x v="21"/>
    <n v="0.71"/>
    <x v="4"/>
    <x v="0"/>
    <x v="0"/>
    <n v="7.9499999999999993"/>
    <n v="2.9076190476190471E-2"/>
  </r>
  <r>
    <n v="7.1"/>
    <n v="0.43"/>
    <n v="0.42"/>
    <n v="5.5"/>
    <n v="7.0000000000000007E-2"/>
    <n v="29"/>
    <n v="129"/>
    <n v="0.99729999999999996"/>
    <x v="21"/>
    <n v="0.72"/>
    <x v="4"/>
    <x v="0"/>
    <x v="0"/>
    <n v="7.9499999999999993"/>
    <n v="2.9485714285714285E-2"/>
  </r>
  <r>
    <n v="7.1"/>
    <n v="0.43"/>
    <n v="0.42"/>
    <n v="5.5"/>
    <n v="7.0999999999999994E-2"/>
    <n v="28"/>
    <n v="128"/>
    <n v="0.99729999999999996"/>
    <x v="21"/>
    <n v="0.71"/>
    <x v="4"/>
    <x v="0"/>
    <x v="0"/>
    <n v="7.9499999999999993"/>
    <n v="2.9076190476190471E-2"/>
  </r>
  <r>
    <n v="7.1"/>
    <n v="0.68"/>
    <n v="0"/>
    <n v="2.2000000000000002"/>
    <n v="7.2999999999999995E-2"/>
    <n v="12"/>
    <n v="22"/>
    <n v="0.99690000000000001"/>
    <x v="26"/>
    <n v="0.5"/>
    <x v="8"/>
    <x v="0"/>
    <x v="0"/>
    <n v="7.7799999999999994"/>
    <n v="3.6559139784946237E-2"/>
  </r>
  <r>
    <n v="6.8"/>
    <n v="0.6"/>
    <n v="0.18"/>
    <n v="1.9"/>
    <n v="7.9000000000000001E-2"/>
    <n v="18"/>
    <n v="86"/>
    <n v="0.99680000000000002"/>
    <x v="52"/>
    <n v="0.56999999999999995"/>
    <x v="8"/>
    <x v="1"/>
    <x v="0"/>
    <n v="7.5799999999999992"/>
    <n v="3.6774193548387089E-2"/>
  </r>
  <r>
    <n v="7.6"/>
    <n v="0.95"/>
    <n v="0.03"/>
    <n v="2"/>
    <n v="0.09"/>
    <n v="7"/>
    <n v="20"/>
    <n v="0.99590000000000001"/>
    <x v="1"/>
    <n v="0.56000000000000005"/>
    <x v="13"/>
    <x v="0"/>
    <x v="0"/>
    <n v="8.5799999999999983"/>
    <n v="5.541666666666667E-2"/>
  </r>
  <r>
    <n v="7.6"/>
    <n v="0.68"/>
    <n v="0.02"/>
    <n v="1.3"/>
    <n v="7.2000000000000008E-2"/>
    <n v="9"/>
    <n v="20"/>
    <n v="0.99650000000000005"/>
    <x v="10"/>
    <n v="1.08"/>
    <x v="5"/>
    <x v="3"/>
    <x v="2"/>
    <n v="8.2999999999999989"/>
    <n v="7.9826086956521755E-2"/>
  </r>
  <r>
    <n v="7.8"/>
    <n v="0.53"/>
    <n v="0.04"/>
    <n v="1.7"/>
    <n v="7.5999999999999998E-2"/>
    <n v="17"/>
    <n v="31"/>
    <n v="0.99639999999999995"/>
    <x v="24"/>
    <n v="0.56000000000000005"/>
    <x v="2"/>
    <x v="1"/>
    <x v="0"/>
    <n v="8.3699999999999992"/>
    <n v="2.9680000000000005E-2"/>
  </r>
  <r>
    <n v="7.4"/>
    <n v="0.6"/>
    <n v="0.26"/>
    <n v="7.3"/>
    <n v="7.0000000000000007E-2"/>
    <n v="36"/>
    <n v="121"/>
    <n v="0.99819999999999998"/>
    <x v="42"/>
    <n v="0.49"/>
    <x v="0"/>
    <x v="0"/>
    <x v="0"/>
    <n v="8.26"/>
    <n v="3.1276595744680849E-2"/>
  </r>
  <r>
    <n v="7.3"/>
    <n v="0.59"/>
    <n v="0.26"/>
    <n v="7.2"/>
    <n v="7.0000000000000007E-2"/>
    <n v="35"/>
    <n v="121"/>
    <n v="0.99809999999999999"/>
    <x v="42"/>
    <n v="0.49"/>
    <x v="0"/>
    <x v="0"/>
    <x v="0"/>
    <n v="8.15"/>
    <n v="3.0755319148936165E-2"/>
  </r>
  <r>
    <n v="7.8"/>
    <n v="0.63"/>
    <n v="0.48"/>
    <n v="1.7"/>
    <n v="0.1"/>
    <n v="14"/>
    <n v="96"/>
    <n v="0.99609999999999999"/>
    <x v="43"/>
    <n v="0.62"/>
    <x v="3"/>
    <x v="0"/>
    <x v="0"/>
    <n v="8.91"/>
    <n v="4.111578947368421E-2"/>
  </r>
  <r>
    <n v="6.8"/>
    <n v="0.64"/>
    <n v="0.1"/>
    <n v="2.1"/>
    <n v="8.5000000000000006E-2"/>
    <n v="18"/>
    <n v="101"/>
    <n v="0.99560000000000004"/>
    <x v="16"/>
    <n v="0.52"/>
    <x v="17"/>
    <x v="0"/>
    <x v="0"/>
    <n v="7.5399999999999991"/>
    <n v="3.2627450980392166E-2"/>
  </r>
  <r>
    <n v="7.3"/>
    <n v="0.55000000000000004"/>
    <n v="0.03"/>
    <n v="1.6"/>
    <n v="7.2000000000000008E-2"/>
    <n v="17"/>
    <n v="42"/>
    <n v="0.99560000000000004"/>
    <x v="42"/>
    <n v="0.48"/>
    <x v="9"/>
    <x v="3"/>
    <x v="2"/>
    <n v="7.88"/>
    <n v="2.9333333333333336E-2"/>
  </r>
  <r>
    <n v="6.8"/>
    <n v="0.63"/>
    <n v="7.0000000000000007E-2"/>
    <n v="2.1"/>
    <n v="8.900000000000001E-2"/>
    <n v="11"/>
    <n v="44"/>
    <n v="0.99529999999999996"/>
    <x v="17"/>
    <n v="0.55000000000000004"/>
    <x v="21"/>
    <x v="1"/>
    <x v="0"/>
    <n v="7.5"/>
    <n v="3.3317307692307695E-2"/>
  </r>
  <r>
    <n v="7.5"/>
    <n v="0.70499999999999996"/>
    <n v="0.24"/>
    <n v="1.8"/>
    <n v="0.36"/>
    <n v="15"/>
    <n v="63"/>
    <n v="0.99639999999999995"/>
    <x v="53"/>
    <n v="1.59"/>
    <x v="3"/>
    <x v="0"/>
    <x v="0"/>
    <n v="8.4450000000000003"/>
    <n v="0.11799473684210525"/>
  </r>
  <r>
    <n v="7.9"/>
    <n v="0.88500000000000001"/>
    <n v="0.03"/>
    <n v="1.8"/>
    <n v="5.7999999999999996E-2"/>
    <n v="4"/>
    <n v="8"/>
    <n v="0.99719999999999998"/>
    <x v="6"/>
    <n v="0.33"/>
    <x v="7"/>
    <x v="3"/>
    <x v="2"/>
    <n v="8.8149999999999995"/>
    <n v="3.20934065934066E-2"/>
  </r>
  <r>
    <n v="8"/>
    <n v="0.42"/>
    <n v="0.17"/>
    <n v="2"/>
    <n v="7.2999999999999995E-2"/>
    <n v="6"/>
    <n v="18"/>
    <n v="0.99719999999999998"/>
    <x v="40"/>
    <n v="0.61"/>
    <x v="5"/>
    <x v="1"/>
    <x v="0"/>
    <n v="8.59"/>
    <n v="2.7847826086956521E-2"/>
  </r>
  <r>
    <n v="8"/>
    <n v="0.42"/>
    <n v="0.17"/>
    <n v="2"/>
    <n v="7.2999999999999995E-2"/>
    <n v="6"/>
    <n v="18"/>
    <n v="0.99719999999999998"/>
    <x v="40"/>
    <n v="0.61"/>
    <x v="5"/>
    <x v="1"/>
    <x v="0"/>
    <n v="8.59"/>
    <n v="2.7847826086956521E-2"/>
  </r>
  <r>
    <n v="7.4"/>
    <n v="0.62"/>
    <n v="0.05"/>
    <n v="1.9"/>
    <n v="6.8000000000000005E-2"/>
    <n v="24"/>
    <n v="42"/>
    <n v="0.99609999999999999"/>
    <x v="21"/>
    <n v="0.56999999999999995"/>
    <x v="24"/>
    <x v="1"/>
    <x v="0"/>
    <n v="8.07"/>
    <n v="3.0730434782608694E-2"/>
  </r>
  <r>
    <n v="7.3"/>
    <n v="0.38"/>
    <n v="0.21"/>
    <n v="2"/>
    <n v="0.08"/>
    <n v="7"/>
    <n v="35"/>
    <n v="0.99609999999999999"/>
    <x v="24"/>
    <n v="0.47"/>
    <x v="3"/>
    <x v="0"/>
    <x v="0"/>
    <n v="7.89"/>
    <n v="1.8799999999999997E-2"/>
  </r>
  <r>
    <n v="6.9"/>
    <n v="0.5"/>
    <n v="0.04"/>
    <n v="1.5"/>
    <n v="8.5000000000000006E-2"/>
    <n v="19"/>
    <n v="49"/>
    <n v="0.99580000000000002"/>
    <x v="7"/>
    <n v="0.78"/>
    <x v="3"/>
    <x v="0"/>
    <x v="0"/>
    <n v="7.44"/>
    <n v="4.1052631578947368E-2"/>
  </r>
  <r>
    <n v="7.3"/>
    <n v="0.38"/>
    <n v="0.21"/>
    <n v="2"/>
    <n v="0.08"/>
    <n v="7"/>
    <n v="35"/>
    <n v="0.99609999999999999"/>
    <x v="24"/>
    <n v="0.47"/>
    <x v="3"/>
    <x v="0"/>
    <x v="0"/>
    <n v="7.89"/>
    <n v="1.8799999999999997E-2"/>
  </r>
  <r>
    <n v="7.5"/>
    <n v="0.52"/>
    <n v="0.42"/>
    <n v="2.2999999999999998"/>
    <n v="8.6999999999999994E-2"/>
    <n v="8"/>
    <n v="38"/>
    <n v="0.99719999999999998"/>
    <x v="9"/>
    <n v="0.61"/>
    <x v="4"/>
    <x v="1"/>
    <x v="0"/>
    <n v="8.44"/>
    <n v="3.0209523809523808E-2"/>
  </r>
  <r>
    <n v="7"/>
    <n v="0.80500000000000005"/>
    <n v="0"/>
    <n v="2.5"/>
    <n v="6.8000000000000005E-2"/>
    <n v="7"/>
    <n v="20"/>
    <n v="0.99690000000000001"/>
    <x v="26"/>
    <n v="0.56000000000000005"/>
    <x v="13"/>
    <x v="0"/>
    <x v="0"/>
    <n v="7.8049999999999997"/>
    <n v="4.6958333333333345E-2"/>
  </r>
  <r>
    <n v="8.8000000000000007"/>
    <n v="0.61"/>
    <n v="0.14000000000000001"/>
    <n v="2.4"/>
    <n v="6.7000000000000004E-2"/>
    <n v="10"/>
    <n v="42"/>
    <n v="0.99690000000000001"/>
    <x v="43"/>
    <n v="0.59"/>
    <x v="3"/>
    <x v="0"/>
    <x v="0"/>
    <n v="9.5500000000000007"/>
    <n v="3.7884210526315791E-2"/>
  </r>
  <r>
    <n v="8.8000000000000007"/>
    <n v="0.61"/>
    <n v="0.14000000000000001"/>
    <n v="2.4"/>
    <n v="6.7000000000000004E-2"/>
    <n v="10"/>
    <n v="42"/>
    <n v="0.99690000000000001"/>
    <x v="43"/>
    <n v="0.59"/>
    <x v="3"/>
    <x v="0"/>
    <x v="0"/>
    <n v="9.5500000000000007"/>
    <n v="3.7884210526315791E-2"/>
  </r>
  <r>
    <n v="8.9"/>
    <n v="0.61"/>
    <n v="0.49"/>
    <n v="2"/>
    <n v="0.27"/>
    <n v="23"/>
    <n v="110"/>
    <n v="0.99719999999999998"/>
    <x v="54"/>
    <n v="1.02"/>
    <x v="8"/>
    <x v="0"/>
    <x v="0"/>
    <n v="10"/>
    <n v="6.6903225806451611E-2"/>
  </r>
  <r>
    <n v="7.2"/>
    <n v="0.73"/>
    <n v="0.02"/>
    <n v="2.5"/>
    <n v="7.5999999999999998E-2"/>
    <n v="16"/>
    <n v="42"/>
    <n v="0.99719999999999998"/>
    <x v="32"/>
    <n v="0.52"/>
    <x v="8"/>
    <x v="0"/>
    <x v="0"/>
    <n v="7.9499999999999993"/>
    <n v="4.0817204301075265E-2"/>
  </r>
  <r>
    <n v="6.8"/>
    <n v="0.61"/>
    <n v="0.2"/>
    <n v="1.8"/>
    <n v="7.6999999999999999E-2"/>
    <n v="11"/>
    <n v="65"/>
    <n v="0.99709999999999999"/>
    <x v="34"/>
    <n v="0.57999999999999996"/>
    <x v="8"/>
    <x v="0"/>
    <x v="0"/>
    <n v="7.61"/>
    <n v="3.8043010752688164E-2"/>
  </r>
  <r>
    <n v="6.7"/>
    <n v="0.62"/>
    <n v="0.21"/>
    <n v="1.9"/>
    <n v="7.9000000000000001E-2"/>
    <n v="8"/>
    <n v="62"/>
    <n v="0.997"/>
    <x v="14"/>
    <n v="0.57999999999999996"/>
    <x v="8"/>
    <x v="1"/>
    <x v="0"/>
    <n v="7.53"/>
    <n v="3.8666666666666662E-2"/>
  </r>
  <r>
    <n v="8.9"/>
    <n v="0.31"/>
    <n v="0.56999999999999995"/>
    <n v="2"/>
    <n v="0.111"/>
    <n v="26"/>
    <n v="85"/>
    <n v="0.99709999999999999"/>
    <x v="2"/>
    <n v="0.53"/>
    <x v="10"/>
    <x v="0"/>
    <x v="0"/>
    <n v="9.7800000000000011"/>
    <n v="1.6938144329896907E-2"/>
  </r>
  <r>
    <n v="7.4"/>
    <n v="0.39"/>
    <n v="0.48"/>
    <n v="2"/>
    <n v="8.199999999999999E-2"/>
    <n v="14"/>
    <n v="67"/>
    <n v="0.99719999999999998"/>
    <x v="16"/>
    <n v="0.55000000000000004"/>
    <x v="5"/>
    <x v="0"/>
    <x v="0"/>
    <n v="8.27"/>
    <n v="2.3315217391304353E-2"/>
  </r>
  <r>
    <n v="7.7"/>
    <n v="0.70499999999999996"/>
    <n v="0.1"/>
    <n v="2.6"/>
    <n v="8.4000000000000005E-2"/>
    <n v="9"/>
    <n v="26"/>
    <n v="0.99760000000000004"/>
    <x v="5"/>
    <n v="0.49"/>
    <x v="10"/>
    <x v="0"/>
    <x v="0"/>
    <n v="8.504999999999999"/>
    <n v="3.5613402061855669E-2"/>
  </r>
  <r>
    <n v="7.9"/>
    <n v="0.5"/>
    <n v="0.33"/>
    <n v="2"/>
    <n v="8.4000000000000005E-2"/>
    <n v="15"/>
    <n v="143"/>
    <n v="0.99680000000000002"/>
    <x v="1"/>
    <n v="0.55000000000000004"/>
    <x v="3"/>
    <x v="0"/>
    <x v="0"/>
    <n v="8.73"/>
    <n v="2.8947368421052635E-2"/>
  </r>
  <r>
    <n v="7.9"/>
    <n v="0.49"/>
    <n v="0.32"/>
    <n v="1.9"/>
    <n v="8.199999999999999E-2"/>
    <n v="17"/>
    <n v="144"/>
    <n v="0.99680000000000002"/>
    <x v="1"/>
    <n v="0.55000000000000004"/>
    <x v="3"/>
    <x v="0"/>
    <x v="0"/>
    <n v="8.7100000000000009"/>
    <n v="2.8368421052631581E-2"/>
  </r>
  <r>
    <n v="8.1999999999999993"/>
    <n v="0.5"/>
    <n v="0.35"/>
    <n v="2.9"/>
    <n v="7.6999999999999999E-2"/>
    <n v="21"/>
    <n v="127"/>
    <n v="0.99760000000000004"/>
    <x v="22"/>
    <n v="0.62"/>
    <x v="0"/>
    <x v="0"/>
    <x v="0"/>
    <n v="9.0499999999999989"/>
    <n v="3.2978723404255318E-2"/>
  </r>
  <r>
    <n v="6.4"/>
    <n v="0.37"/>
    <n v="0.25"/>
    <n v="1.9"/>
    <n v="7.400000000000001E-2"/>
    <n v="21"/>
    <n v="49"/>
    <n v="0.99739999999999995"/>
    <x v="55"/>
    <n v="0.62"/>
    <x v="1"/>
    <x v="1"/>
    <x v="0"/>
    <n v="7.0200000000000005"/>
    <n v="2.340816326530612E-2"/>
  </r>
  <r>
    <n v="6.8"/>
    <n v="0.63"/>
    <n v="0.12"/>
    <n v="3.8"/>
    <n v="9.9000000000000005E-2"/>
    <n v="16"/>
    <n v="126"/>
    <n v="0.99690000000000001"/>
    <x v="8"/>
    <n v="0.61"/>
    <x v="3"/>
    <x v="0"/>
    <x v="0"/>
    <n v="7.55"/>
    <n v="4.0452631578947365E-2"/>
  </r>
  <r>
    <n v="7.6"/>
    <n v="0.55000000000000004"/>
    <n v="0.21"/>
    <n v="2.2000000000000002"/>
    <n v="7.0999999999999994E-2"/>
    <n v="7"/>
    <n v="28"/>
    <n v="0.99639999999999995"/>
    <x v="8"/>
    <n v="0.55000000000000004"/>
    <x v="10"/>
    <x v="0"/>
    <x v="0"/>
    <n v="8.3600000000000012"/>
    <n v="3.1185567010309286E-2"/>
  </r>
  <r>
    <n v="7.6"/>
    <n v="0.55000000000000004"/>
    <n v="0.21"/>
    <n v="2.2000000000000002"/>
    <n v="7.0999999999999994E-2"/>
    <n v="7"/>
    <n v="28"/>
    <n v="0.99639999999999995"/>
    <x v="8"/>
    <n v="0.55000000000000004"/>
    <x v="10"/>
    <x v="0"/>
    <x v="0"/>
    <n v="8.3600000000000012"/>
    <n v="3.1185567010309286E-2"/>
  </r>
  <r>
    <n v="7.8"/>
    <n v="0.59"/>
    <n v="0.33"/>
    <n v="2"/>
    <n v="7.400000000000001E-2"/>
    <n v="24"/>
    <n v="120"/>
    <n v="0.99680000000000002"/>
    <x v="28"/>
    <n v="0.54"/>
    <x v="0"/>
    <x v="0"/>
    <x v="0"/>
    <n v="8.7200000000000006"/>
    <n v="3.3893617021276592E-2"/>
  </r>
  <r>
    <n v="7.3"/>
    <n v="0.57999999999999996"/>
    <n v="0.3"/>
    <n v="2.4"/>
    <n v="7.400000000000001E-2"/>
    <n v="15"/>
    <n v="55"/>
    <n v="0.99680000000000002"/>
    <x v="18"/>
    <n v="0.59"/>
    <x v="17"/>
    <x v="0"/>
    <x v="0"/>
    <n v="8.18"/>
    <n v="3.3549019607843136E-2"/>
  </r>
  <r>
    <n v="11.5"/>
    <n v="0.3"/>
    <n v="0.6"/>
    <n v="2"/>
    <n v="6.7000000000000004E-2"/>
    <n v="12"/>
    <n v="27"/>
    <n v="0.99809999999999999"/>
    <x v="11"/>
    <n v="0.97"/>
    <x v="11"/>
    <x v="1"/>
    <x v="0"/>
    <n v="12.4"/>
    <n v="2.881188118811881E-2"/>
  </r>
  <r>
    <n v="5.4"/>
    <n v="0.83499999999999996"/>
    <n v="0.08"/>
    <n v="1.2"/>
    <n v="4.5999999999999999E-2"/>
    <n v="13"/>
    <n v="93"/>
    <n v="0.99239999999999995"/>
    <x v="55"/>
    <n v="0.85"/>
    <x v="22"/>
    <x v="2"/>
    <x v="1"/>
    <n v="6.3150000000000004"/>
    <n v="5.4596153846153843E-2"/>
  </r>
  <r>
    <n v="6.9"/>
    <n v="1.0900000000000001"/>
    <n v="0.06"/>
    <n v="2.1"/>
    <n v="6.0999999999999999E-2"/>
    <n v="12"/>
    <n v="31"/>
    <n v="0.99480000000000002"/>
    <x v="0"/>
    <n v="0.43"/>
    <x v="25"/>
    <x v="3"/>
    <x v="2"/>
    <n v="8.0500000000000007"/>
    <n v="4.1114035087719297E-2"/>
  </r>
  <r>
    <n v="9.6"/>
    <n v="0.32"/>
    <n v="0.47"/>
    <n v="1.4"/>
    <n v="5.5999999999999994E-2"/>
    <n v="9"/>
    <n v="24"/>
    <n v="0.99695"/>
    <x v="49"/>
    <n v="0.82"/>
    <x v="15"/>
    <x v="2"/>
    <x v="1"/>
    <n v="10.39"/>
    <n v="2.54757281553398E-2"/>
  </r>
  <r>
    <n v="8.8000000000000007"/>
    <n v="0.37"/>
    <n v="0.48"/>
    <n v="2.1"/>
    <n v="9.6999999999999989E-2"/>
    <n v="39"/>
    <n v="145"/>
    <n v="0.99750000000000005"/>
    <x v="13"/>
    <n v="1.03"/>
    <x v="8"/>
    <x v="0"/>
    <x v="0"/>
    <n v="9.65"/>
    <n v="4.0978494623655909E-2"/>
  </r>
  <r>
    <n v="6.8"/>
    <n v="0.5"/>
    <n v="0.11"/>
    <n v="1.5"/>
    <n v="7.4999999999999997E-2"/>
    <n v="16"/>
    <n v="49"/>
    <n v="0.99544999999999995"/>
    <x v="6"/>
    <n v="0.79"/>
    <x v="3"/>
    <x v="0"/>
    <x v="0"/>
    <n v="7.41"/>
    <n v="4.1578947368421056E-2"/>
  </r>
  <r>
    <n v="7"/>
    <n v="0.42"/>
    <n v="0.35"/>
    <n v="1.6"/>
    <n v="8.8000000000000009E-2"/>
    <n v="16"/>
    <n v="39"/>
    <n v="0.99609999999999999"/>
    <x v="16"/>
    <n v="0.55000000000000004"/>
    <x v="5"/>
    <x v="0"/>
    <x v="0"/>
    <n v="7.77"/>
    <n v="2.5108695652173916E-2"/>
  </r>
  <r>
    <n v="7"/>
    <n v="0.43"/>
    <n v="0.36"/>
    <n v="1.6"/>
    <n v="8.900000000000001E-2"/>
    <n v="14"/>
    <n v="37"/>
    <n v="0.99614999999999998"/>
    <x v="16"/>
    <n v="0.56000000000000005"/>
    <x v="5"/>
    <x v="1"/>
    <x v="0"/>
    <n v="7.79"/>
    <n v="2.6173913043478263E-2"/>
  </r>
  <r>
    <n v="12.8"/>
    <n v="0.3"/>
    <n v="0.74"/>
    <n v="2.6"/>
    <n v="9.5000000000000001E-2"/>
    <n v="9"/>
    <n v="28"/>
    <n v="0.99939999999999996"/>
    <x v="1"/>
    <n v="0.77"/>
    <x v="14"/>
    <x v="2"/>
    <x v="1"/>
    <n v="13.840000000000002"/>
    <n v="2.1388888888888884E-2"/>
  </r>
  <r>
    <n v="12.8"/>
    <n v="0.3"/>
    <n v="0.74"/>
    <n v="2.6"/>
    <n v="9.5000000000000001E-2"/>
    <n v="9"/>
    <n v="28"/>
    <n v="0.99939999999999996"/>
    <x v="1"/>
    <n v="0.77"/>
    <x v="14"/>
    <x v="2"/>
    <x v="1"/>
    <n v="13.840000000000002"/>
    <n v="2.1388888888888884E-2"/>
  </r>
  <r>
    <n v="7.8"/>
    <n v="0.56999999999999995"/>
    <n v="0.31"/>
    <n v="1.8"/>
    <n v="6.9000000000000006E-2"/>
    <n v="26"/>
    <n v="120"/>
    <n v="0.99624999999999997"/>
    <x v="40"/>
    <n v="0.53"/>
    <x v="8"/>
    <x v="0"/>
    <x v="0"/>
    <n v="8.68"/>
    <n v="3.2483870967741933E-2"/>
  </r>
  <r>
    <n v="7.8"/>
    <n v="0.44"/>
    <n v="0.28000000000000003"/>
    <n v="2.7"/>
    <n v="0.1"/>
    <n v="18"/>
    <n v="95"/>
    <n v="0.99660000000000004"/>
    <x v="49"/>
    <n v="0.67"/>
    <x v="0"/>
    <x v="0"/>
    <x v="0"/>
    <n v="8.52"/>
    <n v="3.1361702127659576E-2"/>
  </r>
  <r>
    <n v="11"/>
    <n v="0.3"/>
    <n v="0.57999999999999996"/>
    <n v="2.1"/>
    <n v="5.4000000000000006E-2"/>
    <n v="7"/>
    <n v="19"/>
    <n v="0.998"/>
    <x v="33"/>
    <n v="0.88"/>
    <x v="4"/>
    <x v="2"/>
    <x v="1"/>
    <n v="11.88"/>
    <n v="2.5142857142857144E-2"/>
  </r>
  <r>
    <n v="9.6999999999999993"/>
    <n v="0.53"/>
    <n v="0.6"/>
    <n v="2"/>
    <n v="3.9E-2"/>
    <n v="5"/>
    <n v="19"/>
    <n v="0.99585000000000001"/>
    <x v="4"/>
    <n v="0.86"/>
    <x v="26"/>
    <x v="1"/>
    <x v="0"/>
    <n v="10.829999999999998"/>
    <n v="3.6758064516129035E-2"/>
  </r>
  <r>
    <n v="8"/>
    <n v="0.72499999999999998"/>
    <n v="0.24"/>
    <n v="2.8"/>
    <n v="8.3000000000000004E-2"/>
    <n v="10"/>
    <n v="62"/>
    <n v="0.99685000000000001"/>
    <x v="7"/>
    <n v="0.56000000000000005"/>
    <x v="2"/>
    <x v="1"/>
    <x v="0"/>
    <n v="8.9649999999999999"/>
    <n v="4.0600000000000004E-2"/>
  </r>
  <r>
    <n v="11.6"/>
    <n v="0.44"/>
    <n v="0.64"/>
    <n v="2.1"/>
    <n v="5.9000000000000004E-2"/>
    <n v="5"/>
    <n v="15"/>
    <n v="0.998"/>
    <x v="25"/>
    <n v="0.67"/>
    <x v="17"/>
    <x v="1"/>
    <x v="0"/>
    <n v="12.68"/>
    <n v="2.8901960784313729E-2"/>
  </r>
  <r>
    <n v="8.1999999999999993"/>
    <n v="0.56999999999999995"/>
    <n v="0.26"/>
    <n v="2.2000000000000002"/>
    <n v="0.06"/>
    <n v="28"/>
    <n v="65"/>
    <n v="0.99590000000000001"/>
    <x v="4"/>
    <n v="0.43"/>
    <x v="11"/>
    <x v="0"/>
    <x v="0"/>
    <n v="9.0299999999999994"/>
    <n v="2.4267326732673268E-2"/>
  </r>
  <r>
    <n v="7.8"/>
    <n v="0.73499999999999999"/>
    <n v="0.08"/>
    <n v="2.4"/>
    <n v="9.1999999999999998E-2"/>
    <n v="10"/>
    <n v="41"/>
    <n v="0.99739999999999995"/>
    <x v="47"/>
    <n v="0.71"/>
    <x v="1"/>
    <x v="1"/>
    <x v="0"/>
    <n v="8.6150000000000002"/>
    <n v="5.3249999999999992E-2"/>
  </r>
  <r>
    <n v="7"/>
    <n v="0.49"/>
    <n v="0.49"/>
    <n v="5.6"/>
    <n v="0.06"/>
    <n v="26"/>
    <n v="121"/>
    <n v="0.99739999999999995"/>
    <x v="16"/>
    <n v="0.76"/>
    <x v="4"/>
    <x v="0"/>
    <x v="0"/>
    <n v="7.98"/>
    <n v="3.5466666666666667E-2"/>
  </r>
  <r>
    <n v="8.6999999999999993"/>
    <n v="0.625"/>
    <n v="0.16"/>
    <n v="2"/>
    <n v="0.10099999999999999"/>
    <n v="13"/>
    <n v="49"/>
    <n v="0.99619999999999997"/>
    <x v="37"/>
    <n v="0.56999999999999995"/>
    <x v="27"/>
    <x v="0"/>
    <x v="0"/>
    <n v="9.4849999999999994"/>
    <n v="3.238636363636363E-2"/>
  </r>
  <r>
    <n v="8.1"/>
    <n v="0.72499999999999998"/>
    <n v="0.22"/>
    <n v="2.2000000000000002"/>
    <n v="7.2000000000000008E-2"/>
    <n v="11"/>
    <n v="41"/>
    <n v="0.99670000000000003"/>
    <x v="6"/>
    <n v="0.55000000000000004"/>
    <x v="7"/>
    <x v="0"/>
    <x v="0"/>
    <n v="9.0449999999999999"/>
    <n v="4.3818681318681323E-2"/>
  </r>
  <r>
    <n v="7.5"/>
    <n v="0.49"/>
    <n v="0.19"/>
    <n v="1.9"/>
    <n v="7.5999999999999998E-2"/>
    <n v="10"/>
    <n v="44"/>
    <n v="0.99570000000000003"/>
    <x v="5"/>
    <n v="0.54"/>
    <x v="10"/>
    <x v="0"/>
    <x v="0"/>
    <n v="8.18"/>
    <n v="2.7278350515463921E-2"/>
  </r>
  <r>
    <n v="7.8"/>
    <n v="0.53"/>
    <n v="0.33"/>
    <n v="2.4"/>
    <n v="0.08"/>
    <n v="24"/>
    <n v="144"/>
    <n v="0.99655000000000005"/>
    <x v="4"/>
    <n v="0.6"/>
    <x v="3"/>
    <x v="0"/>
    <x v="0"/>
    <n v="8.66"/>
    <n v="3.3473684210526315E-2"/>
  </r>
  <r>
    <n v="7.8"/>
    <n v="0.34"/>
    <n v="0.37"/>
    <n v="2"/>
    <n v="8.199999999999999E-2"/>
    <n v="24"/>
    <n v="58"/>
    <n v="0.99639999999999995"/>
    <x v="16"/>
    <n v="0.59"/>
    <x v="0"/>
    <x v="1"/>
    <x v="0"/>
    <n v="8.51"/>
    <n v="2.1340425531914894E-2"/>
  </r>
  <r>
    <n v="7.4"/>
    <n v="0.53"/>
    <n v="0.26"/>
    <n v="2"/>
    <n v="0.10099999999999999"/>
    <n v="16"/>
    <n v="72"/>
    <n v="0.99570000000000003"/>
    <x v="30"/>
    <n v="0.56999999999999995"/>
    <x v="0"/>
    <x v="0"/>
    <x v="0"/>
    <n v="8.1900000000000013"/>
    <n v="3.2138297872340425E-2"/>
  </r>
  <r>
    <n v="6.8"/>
    <n v="0.61"/>
    <n v="0.04"/>
    <n v="1.5"/>
    <n v="5.7000000000000002E-2"/>
    <n v="5"/>
    <n v="10"/>
    <n v="0.99524999999999997"/>
    <x v="21"/>
    <n v="0.6"/>
    <x v="3"/>
    <x v="0"/>
    <x v="0"/>
    <n v="7.45"/>
    <n v="3.8526315789473686E-2"/>
  </r>
  <r>
    <n v="8.6"/>
    <n v="0.64500000000000002"/>
    <n v="0.25"/>
    <n v="2"/>
    <n v="8.3000000000000004E-2"/>
    <n v="8"/>
    <n v="28"/>
    <n v="0.99814999999999998"/>
    <x v="8"/>
    <n v="0.6"/>
    <x v="2"/>
    <x v="1"/>
    <x v="0"/>
    <n v="9.4949999999999992"/>
    <n v="3.8699999999999998E-2"/>
  </r>
  <r>
    <n v="8.4"/>
    <n v="0.63500000000000001"/>
    <n v="0.36"/>
    <n v="2"/>
    <n v="8.900000000000001E-2"/>
    <n v="15"/>
    <n v="55"/>
    <n v="0.99744999999999995"/>
    <x v="33"/>
    <n v="0.56999999999999995"/>
    <x v="21"/>
    <x v="3"/>
    <x v="2"/>
    <n v="9.3949999999999996"/>
    <n v="3.4802884615384611E-2"/>
  </r>
  <r>
    <n v="7.7"/>
    <n v="0.43"/>
    <n v="0.25"/>
    <n v="2.6"/>
    <n v="7.2999999999999995E-2"/>
    <n v="29"/>
    <n v="63"/>
    <n v="0.99614999999999998"/>
    <x v="42"/>
    <n v="0.57999999999999996"/>
    <x v="4"/>
    <x v="1"/>
    <x v="0"/>
    <n v="8.3800000000000008"/>
    <n v="2.3752380952380952E-2"/>
  </r>
  <r>
    <n v="8.9"/>
    <n v="0.59"/>
    <n v="0.5"/>
    <n v="2"/>
    <n v="0.33700000000000002"/>
    <n v="27"/>
    <n v="81"/>
    <n v="0.99639999999999995"/>
    <x v="13"/>
    <n v="1.61"/>
    <x v="3"/>
    <x v="1"/>
    <x v="0"/>
    <n v="9.99"/>
    <n v="9.9989473684210517E-2"/>
  </r>
  <r>
    <n v="9"/>
    <n v="0.82"/>
    <n v="0.14000000000000001"/>
    <n v="2.6"/>
    <n v="8.900000000000001E-2"/>
    <n v="9"/>
    <n v="23"/>
    <n v="0.99839999999999995"/>
    <x v="5"/>
    <n v="0.63"/>
    <x v="1"/>
    <x v="0"/>
    <x v="0"/>
    <n v="9.9600000000000009"/>
    <n v="5.2714285714285707E-2"/>
  </r>
  <r>
    <n v="7.7"/>
    <n v="0.43"/>
    <n v="0.25"/>
    <n v="2.6"/>
    <n v="7.2999999999999995E-2"/>
    <n v="29"/>
    <n v="63"/>
    <n v="0.99614999999999998"/>
    <x v="42"/>
    <n v="0.57999999999999996"/>
    <x v="4"/>
    <x v="1"/>
    <x v="0"/>
    <n v="8.3800000000000008"/>
    <n v="2.3752380952380952E-2"/>
  </r>
  <r>
    <n v="6.9"/>
    <n v="0.52"/>
    <n v="0.25"/>
    <n v="2.6"/>
    <n v="8.1000000000000003E-2"/>
    <n v="10"/>
    <n v="37"/>
    <n v="0.99685000000000001"/>
    <x v="18"/>
    <n v="0.5"/>
    <x v="27"/>
    <x v="0"/>
    <x v="0"/>
    <n v="7.67"/>
    <n v="2.3636363636363636E-2"/>
  </r>
  <r>
    <n v="5.2"/>
    <n v="0.48"/>
    <n v="0.04"/>
    <n v="1.6"/>
    <n v="5.4000000000000006E-2"/>
    <n v="19"/>
    <n v="106"/>
    <n v="0.99270000000000003"/>
    <x v="34"/>
    <n v="0.62"/>
    <x v="28"/>
    <x v="2"/>
    <x v="1"/>
    <n v="5.72"/>
    <n v="2.4393442622950821E-2"/>
  </r>
  <r>
    <n v="8"/>
    <n v="0.38"/>
    <n v="0.06"/>
    <n v="1.8"/>
    <n v="7.8E-2"/>
    <n v="12"/>
    <n v="49"/>
    <n v="0.99624999999999997"/>
    <x v="42"/>
    <n v="0.52"/>
    <x v="6"/>
    <x v="1"/>
    <x v="0"/>
    <n v="8.4400000000000013"/>
    <n v="1.9959595959595958E-2"/>
  </r>
  <r>
    <n v="8.5"/>
    <n v="0.37"/>
    <n v="0.2"/>
    <n v="2.8"/>
    <n v="0.09"/>
    <n v="18"/>
    <n v="58"/>
    <n v="0.998"/>
    <x v="16"/>
    <n v="0.7"/>
    <x v="13"/>
    <x v="1"/>
    <x v="0"/>
    <n v="9.0699999999999985"/>
    <n v="2.6979166666666669E-2"/>
  </r>
  <r>
    <n v="6.9"/>
    <n v="0.52"/>
    <n v="0.25"/>
    <n v="2.6"/>
    <n v="8.1000000000000003E-2"/>
    <n v="10"/>
    <n v="37"/>
    <n v="0.99685000000000001"/>
    <x v="18"/>
    <n v="0.5"/>
    <x v="27"/>
    <x v="0"/>
    <x v="0"/>
    <n v="7.67"/>
    <n v="2.3636363636363636E-2"/>
  </r>
  <r>
    <n v="8.1999999999999993"/>
    <n v="1"/>
    <n v="0.09"/>
    <n v="2.2999999999999998"/>
    <n v="6.5000000000000002E-2"/>
    <n v="7"/>
    <n v="37"/>
    <n v="0.99685000000000001"/>
    <x v="29"/>
    <n v="0.55000000000000004"/>
    <x v="9"/>
    <x v="1"/>
    <x v="0"/>
    <n v="9.2899999999999991"/>
    <n v="6.1111111111111116E-2"/>
  </r>
  <r>
    <n v="7.2"/>
    <n v="0.63"/>
    <n v="0"/>
    <n v="1.9"/>
    <n v="9.6999999999999989E-2"/>
    <n v="14"/>
    <n v="38"/>
    <n v="0.99675000000000002"/>
    <x v="42"/>
    <n v="0.57999999999999996"/>
    <x v="9"/>
    <x v="1"/>
    <x v="0"/>
    <n v="7.83"/>
    <n v="4.0599999999999997E-2"/>
  </r>
  <r>
    <n v="7.2"/>
    <n v="0.63"/>
    <n v="0"/>
    <n v="1.9"/>
    <n v="9.6999999999999989E-2"/>
    <n v="14"/>
    <n v="38"/>
    <n v="0.99675000000000002"/>
    <x v="42"/>
    <n v="0.57999999999999996"/>
    <x v="9"/>
    <x v="1"/>
    <x v="0"/>
    <n v="7.83"/>
    <n v="4.0599999999999997E-2"/>
  </r>
  <r>
    <n v="7.2"/>
    <n v="0.64500000000000002"/>
    <n v="0"/>
    <n v="1.9"/>
    <n v="9.6999999999999989E-2"/>
    <n v="15"/>
    <n v="39"/>
    <n v="0.99675000000000002"/>
    <x v="42"/>
    <n v="0.57999999999999996"/>
    <x v="5"/>
    <x v="1"/>
    <x v="0"/>
    <n v="7.8450000000000006"/>
    <n v="4.0663043478260871E-2"/>
  </r>
  <r>
    <n v="7.2"/>
    <n v="0.63"/>
    <n v="0"/>
    <n v="1.9"/>
    <n v="9.6999999999999989E-2"/>
    <n v="14"/>
    <n v="38"/>
    <n v="0.99675000000000002"/>
    <x v="42"/>
    <n v="0.57999999999999996"/>
    <x v="9"/>
    <x v="1"/>
    <x v="0"/>
    <n v="7.83"/>
    <n v="4.0599999999999997E-2"/>
  </r>
  <r>
    <n v="8.1999999999999993"/>
    <n v="1"/>
    <n v="0.09"/>
    <n v="2.2999999999999998"/>
    <n v="6.5000000000000002E-2"/>
    <n v="7"/>
    <n v="37"/>
    <n v="0.99685000000000001"/>
    <x v="29"/>
    <n v="0.55000000000000004"/>
    <x v="9"/>
    <x v="1"/>
    <x v="0"/>
    <n v="9.2899999999999991"/>
    <n v="6.1111111111111116E-2"/>
  </r>
  <r>
    <n v="8.9"/>
    <n v="0.63500000000000001"/>
    <n v="0.37"/>
    <n v="1.7"/>
    <n v="0.26300000000000001"/>
    <n v="5"/>
    <n v="62"/>
    <n v="0.99709999999999999"/>
    <x v="53"/>
    <n v="1.0900000000000001"/>
    <x v="8"/>
    <x v="0"/>
    <x v="0"/>
    <n v="9.9049999999999994"/>
    <n v="7.4424731182795703E-2"/>
  </r>
  <r>
    <n v="12"/>
    <n v="0.38"/>
    <n v="0.56000000000000005"/>
    <n v="2.1"/>
    <n v="9.3000000000000013E-2"/>
    <n v="6"/>
    <n v="24"/>
    <n v="0.99924999999999997"/>
    <x v="37"/>
    <n v="0.71"/>
    <x v="18"/>
    <x v="1"/>
    <x v="0"/>
    <n v="12.940000000000001"/>
    <n v="2.475229357798165E-2"/>
  </r>
  <r>
    <n v="7.7"/>
    <n v="0.57999999999999996"/>
    <n v="0.1"/>
    <n v="1.8"/>
    <n v="0.10199999999999999"/>
    <n v="28"/>
    <n v="109"/>
    <n v="0.99565000000000003"/>
    <x v="41"/>
    <n v="0.49"/>
    <x v="1"/>
    <x v="1"/>
    <x v="0"/>
    <n v="8.379999999999999"/>
    <n v="2.8999999999999995E-2"/>
  </r>
  <r>
    <n v="15"/>
    <n v="0.21"/>
    <n v="0.44"/>
    <n v="2.2000000000000002"/>
    <n v="7.4999999999999997E-2"/>
    <n v="10"/>
    <n v="24"/>
    <n v="1.0000500000000001"/>
    <x v="44"/>
    <n v="0.84"/>
    <x v="5"/>
    <x v="2"/>
    <x v="1"/>
    <n v="15.65"/>
    <n v="1.917391304347826E-2"/>
  </r>
  <r>
    <n v="15"/>
    <n v="0.21"/>
    <n v="0.44"/>
    <n v="2.2000000000000002"/>
    <n v="7.4999999999999997E-2"/>
    <n v="10"/>
    <n v="24"/>
    <n v="1.0000500000000001"/>
    <x v="44"/>
    <n v="0.84"/>
    <x v="5"/>
    <x v="2"/>
    <x v="1"/>
    <n v="15.65"/>
    <n v="1.917391304347826E-2"/>
  </r>
  <r>
    <n v="7.3"/>
    <n v="0.66"/>
    <n v="0"/>
    <n v="2"/>
    <n v="8.4000000000000005E-2"/>
    <n v="6"/>
    <n v="23"/>
    <n v="0.99829999999999997"/>
    <x v="56"/>
    <n v="0.96"/>
    <x v="6"/>
    <x v="1"/>
    <x v="0"/>
    <n v="7.96"/>
    <n v="6.4000000000000001E-2"/>
  </r>
  <r>
    <n v="7.1"/>
    <n v="0.68"/>
    <n v="7.0000000000000007E-2"/>
    <n v="1.9"/>
    <n v="7.4999999999999997E-2"/>
    <n v="16"/>
    <n v="51"/>
    <n v="0.99685000000000001"/>
    <x v="12"/>
    <n v="0.52"/>
    <x v="3"/>
    <x v="0"/>
    <x v="0"/>
    <n v="7.85"/>
    <n v="3.7221052631578953E-2"/>
  </r>
  <r>
    <n v="8.1999999999999993"/>
    <n v="0.6"/>
    <n v="0.17"/>
    <n v="2.2999999999999998"/>
    <n v="7.2000000000000008E-2"/>
    <n v="11"/>
    <n v="73"/>
    <n v="0.99629999999999996"/>
    <x v="1"/>
    <n v="0.45"/>
    <x v="8"/>
    <x v="0"/>
    <x v="0"/>
    <n v="8.9699999999999989"/>
    <n v="2.903225806451613E-2"/>
  </r>
  <r>
    <n v="7.7"/>
    <n v="0.53"/>
    <n v="0.06"/>
    <n v="1.7"/>
    <n v="7.400000000000001E-2"/>
    <n v="9"/>
    <n v="39"/>
    <n v="0.99614999999999998"/>
    <x v="7"/>
    <n v="0.48"/>
    <x v="1"/>
    <x v="1"/>
    <x v="0"/>
    <n v="8.2900000000000009"/>
    <n v="2.5959183673469388E-2"/>
  </r>
  <r>
    <n v="7.3"/>
    <n v="0.66"/>
    <n v="0"/>
    <n v="2"/>
    <n v="8.4000000000000005E-2"/>
    <n v="6"/>
    <n v="23"/>
    <n v="0.99829999999999997"/>
    <x v="56"/>
    <n v="0.96"/>
    <x v="6"/>
    <x v="1"/>
    <x v="0"/>
    <n v="7.96"/>
    <n v="6.4000000000000001E-2"/>
  </r>
  <r>
    <n v="10.8"/>
    <n v="0.32"/>
    <n v="0.44"/>
    <n v="1.6"/>
    <n v="6.3E-2"/>
    <n v="16"/>
    <n v="37"/>
    <n v="0.99850000000000005"/>
    <x v="49"/>
    <n v="0.78"/>
    <x v="2"/>
    <x v="1"/>
    <x v="0"/>
    <n v="11.56"/>
    <n v="2.4960000000000003E-2"/>
  </r>
  <r>
    <n v="7.1"/>
    <n v="0.6"/>
    <n v="0"/>
    <n v="1.8"/>
    <n v="7.400000000000001E-2"/>
    <n v="16"/>
    <n v="34"/>
    <n v="0.99719999999999998"/>
    <x v="17"/>
    <n v="0.7"/>
    <x v="6"/>
    <x v="1"/>
    <x v="0"/>
    <n v="7.6999999999999993"/>
    <n v="4.242424242424242E-2"/>
  </r>
  <r>
    <n v="11.1"/>
    <n v="0.35"/>
    <n v="0.48"/>
    <n v="3.1"/>
    <n v="0.09"/>
    <n v="5"/>
    <n v="21"/>
    <n v="0.99860000000000004"/>
    <x v="10"/>
    <n v="0.53"/>
    <x v="4"/>
    <x v="0"/>
    <x v="0"/>
    <n v="11.93"/>
    <n v="1.7666666666666667E-2"/>
  </r>
  <r>
    <n v="7.7"/>
    <n v="0.77500000000000002"/>
    <n v="0.42"/>
    <n v="1.9"/>
    <n v="9.1999999999999998E-2"/>
    <n v="8"/>
    <n v="86"/>
    <n v="0.99590000000000001"/>
    <x v="22"/>
    <n v="0.59"/>
    <x v="3"/>
    <x v="0"/>
    <x v="0"/>
    <n v="8.8949999999999996"/>
    <n v="4.8131578947368421E-2"/>
  </r>
  <r>
    <n v="7.1"/>
    <n v="0.6"/>
    <n v="0"/>
    <n v="1.8"/>
    <n v="7.400000000000001E-2"/>
    <n v="16"/>
    <n v="34"/>
    <n v="0.99719999999999998"/>
    <x v="17"/>
    <n v="0.7"/>
    <x v="6"/>
    <x v="1"/>
    <x v="0"/>
    <n v="7.6999999999999993"/>
    <n v="4.242424242424242E-2"/>
  </r>
  <r>
    <n v="8"/>
    <n v="0.56999999999999995"/>
    <n v="0.23"/>
    <n v="3.2"/>
    <n v="7.2999999999999995E-2"/>
    <n v="17"/>
    <n v="119"/>
    <n v="0.99675000000000002"/>
    <x v="2"/>
    <n v="0.56999999999999995"/>
    <x v="8"/>
    <x v="0"/>
    <x v="0"/>
    <n v="8.8000000000000007"/>
    <n v="3.4935483870967739E-2"/>
  </r>
  <r>
    <n v="9.4"/>
    <n v="0.34"/>
    <n v="0.37"/>
    <n v="2.2000000000000002"/>
    <n v="7.4999999999999997E-2"/>
    <n v="5"/>
    <n v="13"/>
    <n v="0.998"/>
    <x v="49"/>
    <n v="0.62"/>
    <x v="5"/>
    <x v="0"/>
    <x v="0"/>
    <n v="10.11"/>
    <n v="2.2913043478260873E-2"/>
  </r>
  <r>
    <n v="6.6"/>
    <n v="0.69499999999999995"/>
    <n v="0"/>
    <n v="2.1"/>
    <n v="7.4999999999999997E-2"/>
    <n v="12"/>
    <n v="56"/>
    <n v="0.99680000000000002"/>
    <x v="45"/>
    <n v="0.67"/>
    <x v="5"/>
    <x v="0"/>
    <x v="0"/>
    <n v="7.2949999999999999"/>
    <n v="5.0614130434782613E-2"/>
  </r>
  <r>
    <n v="7.7"/>
    <n v="0.41"/>
    <n v="0.76"/>
    <n v="1.8"/>
    <n v="0.61099999999999999"/>
    <n v="8"/>
    <n v="45"/>
    <n v="0.99680000000000002"/>
    <x v="57"/>
    <n v="1.26"/>
    <x v="0"/>
    <x v="0"/>
    <x v="0"/>
    <n v="8.8699999999999992"/>
    <n v="5.4957446808510634E-2"/>
  </r>
  <r>
    <n v="10"/>
    <n v="0.31"/>
    <n v="0.47"/>
    <n v="2.6"/>
    <n v="8.5000000000000006E-2"/>
    <n v="14"/>
    <n v="33"/>
    <n v="0.99965000000000004"/>
    <x v="6"/>
    <n v="0.8"/>
    <x v="4"/>
    <x v="2"/>
    <x v="1"/>
    <n v="10.780000000000001"/>
    <n v="2.3619047619047619E-2"/>
  </r>
  <r>
    <n v="7.9"/>
    <n v="0.33"/>
    <n v="0.23"/>
    <n v="1.7"/>
    <n v="7.6999999999999999E-2"/>
    <n v="18"/>
    <n v="45"/>
    <n v="0.99624999999999997"/>
    <x v="40"/>
    <n v="0.65"/>
    <x v="8"/>
    <x v="0"/>
    <x v="0"/>
    <n v="8.4600000000000009"/>
    <n v="2.3064516129032257E-2"/>
  </r>
  <r>
    <n v="7"/>
    <n v="0.97499999999999998"/>
    <n v="0.04"/>
    <n v="2"/>
    <n v="8.6999999999999994E-2"/>
    <n v="12"/>
    <n v="67"/>
    <n v="0.99565000000000003"/>
    <x v="7"/>
    <n v="0.6"/>
    <x v="0"/>
    <x v="3"/>
    <x v="2"/>
    <n v="8.0149999999999988"/>
    <n v="6.2234042553191482E-2"/>
  </r>
  <r>
    <n v="8"/>
    <n v="0.52"/>
    <n v="0.03"/>
    <n v="1.7"/>
    <n v="7.0000000000000007E-2"/>
    <n v="10"/>
    <n v="35"/>
    <n v="0.99575000000000002"/>
    <x v="16"/>
    <n v="0.56999999999999995"/>
    <x v="2"/>
    <x v="0"/>
    <x v="0"/>
    <n v="8.5499999999999989"/>
    <n v="2.964E-2"/>
  </r>
  <r>
    <n v="7.9"/>
    <n v="0.37"/>
    <n v="0.23"/>
    <n v="1.8"/>
    <n v="7.6999999999999999E-2"/>
    <n v="23"/>
    <n v="49"/>
    <n v="0.99629999999999996"/>
    <x v="8"/>
    <n v="0.67"/>
    <x v="8"/>
    <x v="0"/>
    <x v="0"/>
    <n v="8.5"/>
    <n v="2.6655913978494622E-2"/>
  </r>
  <r>
    <n v="12.5"/>
    <n v="0.56000000000000005"/>
    <n v="0.49"/>
    <n v="2.4"/>
    <n v="6.4000000000000001E-2"/>
    <n v="5"/>
    <n v="27"/>
    <n v="0.99990000000000001"/>
    <x v="41"/>
    <n v="0.87"/>
    <x v="18"/>
    <x v="0"/>
    <x v="0"/>
    <n v="13.55"/>
    <n v="4.4697247706422021E-2"/>
  </r>
  <r>
    <n v="11.8"/>
    <n v="0.26"/>
    <n v="0.52"/>
    <n v="1.8"/>
    <n v="7.0999999999999994E-2"/>
    <n v="6"/>
    <n v="10"/>
    <n v="0.99680000000000002"/>
    <x v="1"/>
    <n v="0.72"/>
    <x v="17"/>
    <x v="2"/>
    <x v="1"/>
    <n v="12.58"/>
    <n v="1.8352941176470589E-2"/>
  </r>
  <r>
    <n v="8.1"/>
    <n v="0.87"/>
    <n v="0"/>
    <n v="3.3"/>
    <n v="9.6000000000000002E-2"/>
    <n v="26"/>
    <n v="61"/>
    <n v="1.0002500000000001"/>
    <x v="58"/>
    <n v="0.72"/>
    <x v="1"/>
    <x v="3"/>
    <x v="2"/>
    <n v="8.9699999999999989"/>
    <n v="6.3918367346938773E-2"/>
  </r>
  <r>
    <n v="7.9"/>
    <n v="0.35"/>
    <n v="0.46"/>
    <n v="3.6"/>
    <n v="7.8E-2"/>
    <n v="15"/>
    <n v="37"/>
    <n v="0.99729999999999996"/>
    <x v="7"/>
    <n v="0.86"/>
    <x v="29"/>
    <x v="4"/>
    <x v="1"/>
    <n v="8.7100000000000009"/>
    <n v="2.3515624999999998E-2"/>
  </r>
  <r>
    <n v="6.9"/>
    <n v="0.54"/>
    <n v="0.04"/>
    <n v="3"/>
    <n v="7.6999999999999999E-2"/>
    <n v="7"/>
    <n v="27"/>
    <n v="0.99870000000000003"/>
    <x v="59"/>
    <n v="0.91"/>
    <x v="0"/>
    <x v="1"/>
    <x v="0"/>
    <n v="7.48"/>
    <n v="5.2276595744680854E-2"/>
  </r>
  <r>
    <n v="11.5"/>
    <n v="0.18"/>
    <n v="0.51"/>
    <n v="4"/>
    <n v="0.10400000000000001"/>
    <n v="4"/>
    <n v="23"/>
    <n v="0.99960000000000004"/>
    <x v="8"/>
    <n v="0.97"/>
    <x v="11"/>
    <x v="1"/>
    <x v="0"/>
    <n v="12.19"/>
    <n v="1.7287128712871285E-2"/>
  </r>
  <r>
    <n v="7.9"/>
    <n v="0.54500000000000004"/>
    <n v="0.06"/>
    <n v="4"/>
    <n v="8.6999999999999994E-2"/>
    <n v="27"/>
    <n v="61"/>
    <n v="0.99650000000000005"/>
    <x v="6"/>
    <n v="0.67"/>
    <x v="19"/>
    <x v="1"/>
    <x v="0"/>
    <n v="8.5050000000000008"/>
    <n v="3.4126168224299071E-2"/>
  </r>
  <r>
    <n v="11.5"/>
    <n v="0.18"/>
    <n v="0.51"/>
    <n v="4"/>
    <n v="0.10400000000000001"/>
    <n v="4"/>
    <n v="23"/>
    <n v="0.99960000000000004"/>
    <x v="8"/>
    <n v="0.97"/>
    <x v="11"/>
    <x v="1"/>
    <x v="0"/>
    <n v="12.19"/>
    <n v="1.7287128712871285E-2"/>
  </r>
  <r>
    <n v="10.9"/>
    <n v="0.37"/>
    <n v="0.57999999999999996"/>
    <n v="4"/>
    <n v="7.0999999999999994E-2"/>
    <n v="17"/>
    <n v="65"/>
    <n v="0.99934999999999996"/>
    <x v="49"/>
    <n v="0.78"/>
    <x v="11"/>
    <x v="0"/>
    <x v="0"/>
    <n v="11.85"/>
    <n v="2.8574257425742579E-2"/>
  </r>
  <r>
    <n v="8.4"/>
    <n v="0.71499999999999997"/>
    <n v="0.2"/>
    <n v="2.4"/>
    <n v="7.5999999999999998E-2"/>
    <n v="10"/>
    <n v="38"/>
    <n v="0.99734999999999996"/>
    <x v="33"/>
    <n v="0.64"/>
    <x v="0"/>
    <x v="0"/>
    <x v="0"/>
    <n v="9.3149999999999995"/>
    <n v="4.8680851063829786E-2"/>
  </r>
  <r>
    <n v="7.5"/>
    <n v="0.65"/>
    <n v="0.18"/>
    <n v="7"/>
    <n v="8.8000000000000009E-2"/>
    <n v="27"/>
    <n v="94"/>
    <n v="0.99914999999999998"/>
    <x v="12"/>
    <n v="0.77"/>
    <x v="0"/>
    <x v="0"/>
    <x v="0"/>
    <n v="8.33"/>
    <n v="5.3244680851063833E-2"/>
  </r>
  <r>
    <n v="7.9"/>
    <n v="0.54500000000000004"/>
    <n v="0.06"/>
    <n v="4"/>
    <n v="8.6999999999999994E-2"/>
    <n v="27"/>
    <n v="61"/>
    <n v="0.99650000000000005"/>
    <x v="6"/>
    <n v="0.67"/>
    <x v="19"/>
    <x v="1"/>
    <x v="0"/>
    <n v="8.5050000000000008"/>
    <n v="3.4126168224299071E-2"/>
  </r>
  <r>
    <n v="6.9"/>
    <n v="0.54"/>
    <n v="0.04"/>
    <n v="3"/>
    <n v="7.6999999999999999E-2"/>
    <n v="7"/>
    <n v="27"/>
    <n v="0.99870000000000003"/>
    <x v="59"/>
    <n v="0.91"/>
    <x v="0"/>
    <x v="1"/>
    <x v="0"/>
    <n v="7.48"/>
    <n v="5.2276595744680854E-2"/>
  </r>
  <r>
    <n v="11.5"/>
    <n v="0.18"/>
    <n v="0.51"/>
    <n v="4"/>
    <n v="0.10400000000000001"/>
    <n v="4"/>
    <n v="23"/>
    <n v="0.99960000000000004"/>
    <x v="8"/>
    <n v="0.97"/>
    <x v="11"/>
    <x v="1"/>
    <x v="0"/>
    <n v="12.19"/>
    <n v="1.7287128712871285E-2"/>
  </r>
  <r>
    <n v="10.3"/>
    <n v="0.32"/>
    <n v="0.45"/>
    <n v="6.4"/>
    <n v="7.2999999999999995E-2"/>
    <n v="5"/>
    <n v="13"/>
    <n v="0.99760000000000004"/>
    <x v="22"/>
    <n v="0.82"/>
    <x v="30"/>
    <x v="4"/>
    <x v="1"/>
    <n v="11.07"/>
    <n v="2.0825396825396823E-2"/>
  </r>
  <r>
    <n v="8.9"/>
    <n v="0.4"/>
    <n v="0.32"/>
    <n v="5.6"/>
    <n v="8.6999999999999994E-2"/>
    <n v="10"/>
    <n v="47"/>
    <n v="0.99909999999999999"/>
    <x v="12"/>
    <n v="0.77"/>
    <x v="4"/>
    <x v="2"/>
    <x v="1"/>
    <n v="9.620000000000001"/>
    <n v="2.933333333333334E-2"/>
  </r>
  <r>
    <n v="11.4"/>
    <n v="0.26"/>
    <n v="0.44"/>
    <n v="3.6"/>
    <n v="7.0999999999999994E-2"/>
    <n v="6"/>
    <n v="19"/>
    <n v="0.99860000000000004"/>
    <x v="54"/>
    <n v="0.82"/>
    <x v="8"/>
    <x v="1"/>
    <x v="0"/>
    <n v="12.1"/>
    <n v="2.2924731182795696E-2"/>
  </r>
  <r>
    <n v="7.7"/>
    <n v="0.27"/>
    <n v="0.68"/>
    <n v="3.5"/>
    <n v="0.35799999999999998"/>
    <n v="5"/>
    <n v="10"/>
    <n v="0.99719999999999998"/>
    <x v="28"/>
    <n v="1.08"/>
    <x v="6"/>
    <x v="2"/>
    <x v="1"/>
    <n v="8.65"/>
    <n v="2.9454545454545455E-2"/>
  </r>
  <r>
    <n v="7.6"/>
    <n v="0.52"/>
    <n v="0.12"/>
    <n v="3"/>
    <n v="6.7000000000000004E-2"/>
    <n v="12"/>
    <n v="53"/>
    <n v="0.99709999999999999"/>
    <x v="6"/>
    <n v="0.56999999999999995"/>
    <x v="7"/>
    <x v="0"/>
    <x v="0"/>
    <n v="8.2399999999999984"/>
    <n v="3.2571428571428571E-2"/>
  </r>
  <r>
    <n v="8.9"/>
    <n v="0.4"/>
    <n v="0.32"/>
    <n v="5.6"/>
    <n v="8.6999999999999994E-2"/>
    <n v="10"/>
    <n v="47"/>
    <n v="0.99909999999999999"/>
    <x v="12"/>
    <n v="0.77"/>
    <x v="4"/>
    <x v="2"/>
    <x v="1"/>
    <n v="9.620000000000001"/>
    <n v="2.933333333333334E-2"/>
  </r>
  <r>
    <n v="9.9"/>
    <n v="0.59"/>
    <n v="7.0000000000000007E-2"/>
    <n v="3.4"/>
    <n v="0.10199999999999999"/>
    <n v="32"/>
    <n v="71"/>
    <n v="1.0001500000000001"/>
    <x v="33"/>
    <n v="0.71"/>
    <x v="1"/>
    <x v="0"/>
    <x v="0"/>
    <n v="10.56"/>
    <n v="4.2744897959183667E-2"/>
  </r>
  <r>
    <n v="9.9"/>
    <n v="0.59"/>
    <n v="7.0000000000000007E-2"/>
    <n v="3.4"/>
    <n v="0.10199999999999999"/>
    <n v="32"/>
    <n v="71"/>
    <n v="1.0001500000000001"/>
    <x v="33"/>
    <n v="0.71"/>
    <x v="1"/>
    <x v="0"/>
    <x v="0"/>
    <n v="10.56"/>
    <n v="4.2744897959183667E-2"/>
  </r>
  <r>
    <n v="12"/>
    <n v="0.45"/>
    <n v="0.55000000000000004"/>
    <n v="2"/>
    <n v="7.2999999999999995E-2"/>
    <n v="25"/>
    <n v="49"/>
    <n v="0.99970000000000003"/>
    <x v="60"/>
    <n v="0.76"/>
    <x v="15"/>
    <x v="1"/>
    <x v="0"/>
    <n v="13"/>
    <n v="3.3203883495145629E-2"/>
  </r>
  <r>
    <n v="7.5"/>
    <n v="0.4"/>
    <n v="0.12"/>
    <n v="3"/>
    <n v="9.1999999999999998E-2"/>
    <n v="29"/>
    <n v="53"/>
    <n v="0.99670000000000003"/>
    <x v="42"/>
    <n v="0.7"/>
    <x v="15"/>
    <x v="1"/>
    <x v="0"/>
    <n v="8.02"/>
    <n v="2.7184466019417472E-2"/>
  </r>
  <r>
    <n v="8.6999999999999993"/>
    <n v="0.52"/>
    <n v="0.09"/>
    <n v="2.5"/>
    <n v="9.0999999999999998E-2"/>
    <n v="20"/>
    <n v="49"/>
    <n v="0.99760000000000004"/>
    <x v="16"/>
    <n v="0.86"/>
    <x v="12"/>
    <x v="2"/>
    <x v="1"/>
    <n v="9.3099999999999987"/>
    <n v="4.2188679245283016E-2"/>
  </r>
  <r>
    <n v="11.6"/>
    <n v="0.42"/>
    <n v="0.53"/>
    <n v="3.3"/>
    <n v="0.105"/>
    <n v="33"/>
    <n v="98"/>
    <n v="1.0009999999999999"/>
    <x v="1"/>
    <n v="0.95"/>
    <x v="5"/>
    <x v="0"/>
    <x v="0"/>
    <n v="12.549999999999999"/>
    <n v="4.3369565217391305E-2"/>
  </r>
  <r>
    <n v="8.6999999999999993"/>
    <n v="0.52"/>
    <n v="0.09"/>
    <n v="2.5"/>
    <n v="9.0999999999999998E-2"/>
    <n v="20"/>
    <n v="49"/>
    <n v="0.99760000000000004"/>
    <x v="16"/>
    <n v="0.86"/>
    <x v="12"/>
    <x v="2"/>
    <x v="1"/>
    <n v="9.3099999999999987"/>
    <n v="4.2188679245283016E-2"/>
  </r>
  <r>
    <n v="11"/>
    <n v="0.2"/>
    <n v="0.48"/>
    <n v="2"/>
    <n v="0.34299999999999997"/>
    <n v="6"/>
    <n v="18"/>
    <n v="0.99790000000000001"/>
    <x v="4"/>
    <n v="0.71"/>
    <x v="4"/>
    <x v="0"/>
    <x v="0"/>
    <n v="11.68"/>
    <n v="1.3523809523809523E-2"/>
  </r>
  <r>
    <n v="10.4"/>
    <n v="0.55000000000000004"/>
    <n v="0.23"/>
    <n v="2.7"/>
    <n v="9.0999999999999998E-2"/>
    <n v="18"/>
    <n v="48"/>
    <n v="0.99939999999999996"/>
    <x v="49"/>
    <n v="0.64"/>
    <x v="15"/>
    <x v="1"/>
    <x v="0"/>
    <n v="11.180000000000001"/>
    <n v="3.4174757281553399E-2"/>
  </r>
  <r>
    <n v="6.9"/>
    <n v="0.36"/>
    <n v="0.25"/>
    <n v="2.4"/>
    <n v="9.8000000000000004E-2"/>
    <n v="5"/>
    <n v="16"/>
    <n v="0.99639999999999995"/>
    <x v="31"/>
    <n v="0.6"/>
    <x v="11"/>
    <x v="1"/>
    <x v="0"/>
    <n v="7.5100000000000007"/>
    <n v="2.1386138613861388E-2"/>
  </r>
  <r>
    <n v="13.3"/>
    <n v="0.34"/>
    <n v="0.52"/>
    <n v="3.2"/>
    <n v="9.4E-2"/>
    <n v="17"/>
    <n v="53"/>
    <n v="1.0014000000000001"/>
    <x v="61"/>
    <n v="0.81"/>
    <x v="3"/>
    <x v="1"/>
    <x v="0"/>
    <n v="14.16"/>
    <n v="2.898947368421053E-2"/>
  </r>
  <r>
    <n v="10.8"/>
    <n v="0.5"/>
    <n v="0.46"/>
    <n v="2.5"/>
    <n v="7.2999999999999995E-2"/>
    <n v="5"/>
    <n v="27"/>
    <n v="1.0001"/>
    <x v="61"/>
    <n v="0.64"/>
    <x v="3"/>
    <x v="0"/>
    <x v="0"/>
    <n v="11.760000000000002"/>
    <n v="3.3684210526315789E-2"/>
  </r>
  <r>
    <n v="10.6"/>
    <n v="0.83"/>
    <n v="0.37"/>
    <n v="2.6"/>
    <n v="8.5999999999999993E-2"/>
    <n v="26"/>
    <n v="70"/>
    <n v="0.99809999999999999"/>
    <x v="3"/>
    <n v="0.52"/>
    <x v="6"/>
    <x v="0"/>
    <x v="0"/>
    <n v="11.799999999999999"/>
    <n v="4.3595959595959591E-2"/>
  </r>
  <r>
    <n v="7.1"/>
    <n v="0.63"/>
    <n v="0.06"/>
    <n v="2"/>
    <n v="8.3000000000000004E-2"/>
    <n v="8"/>
    <n v="29"/>
    <n v="0.99855000000000005"/>
    <x v="62"/>
    <n v="0.73"/>
    <x v="13"/>
    <x v="0"/>
    <x v="0"/>
    <n v="7.7899999999999991"/>
    <n v="4.7906249999999997E-2"/>
  </r>
  <r>
    <n v="7.2"/>
    <n v="0.65"/>
    <n v="0.02"/>
    <n v="2.2999999999999998"/>
    <n v="9.4E-2"/>
    <n v="5"/>
    <n v="31"/>
    <n v="0.99929999999999997"/>
    <x v="62"/>
    <n v="0.8"/>
    <x v="10"/>
    <x v="0"/>
    <x v="0"/>
    <n v="7.87"/>
    <n v="5.3608247422680416E-2"/>
  </r>
  <r>
    <n v="6.9"/>
    <n v="0.67"/>
    <n v="0.06"/>
    <n v="2.1"/>
    <n v="0.08"/>
    <n v="8"/>
    <n v="33"/>
    <n v="0.99844999999999995"/>
    <x v="50"/>
    <n v="0.71"/>
    <x v="13"/>
    <x v="0"/>
    <x v="0"/>
    <n v="7.63"/>
    <n v="4.9552083333333337E-2"/>
  </r>
  <r>
    <n v="7.5"/>
    <n v="0.53"/>
    <n v="0.06"/>
    <n v="2.6"/>
    <n v="8.5999999999999993E-2"/>
    <n v="20"/>
    <n v="44"/>
    <n v="0.99650000000000005"/>
    <x v="12"/>
    <n v="0.59"/>
    <x v="19"/>
    <x v="1"/>
    <x v="0"/>
    <n v="8.09"/>
    <n v="2.922429906542056E-2"/>
  </r>
  <r>
    <n v="11.1"/>
    <n v="0.18"/>
    <n v="0.48"/>
    <n v="1.5"/>
    <n v="6.8000000000000005E-2"/>
    <n v="7"/>
    <n v="15"/>
    <n v="0.99729999999999996"/>
    <x v="49"/>
    <n v="0.64"/>
    <x v="11"/>
    <x v="1"/>
    <x v="0"/>
    <n v="11.76"/>
    <n v="1.1405940594059406E-2"/>
  </r>
  <r>
    <n v="8.3000000000000007"/>
    <n v="0.70499999999999996"/>
    <n v="0.12"/>
    <n v="2.6"/>
    <n v="9.1999999999999998E-2"/>
    <n v="12"/>
    <n v="28"/>
    <n v="0.99939999999999996"/>
    <x v="0"/>
    <n v="0.72"/>
    <x v="2"/>
    <x v="0"/>
    <x v="0"/>
    <n v="9.125"/>
    <n v="5.0759999999999993E-2"/>
  </r>
  <r>
    <n v="7.4"/>
    <n v="0.67"/>
    <n v="0.12"/>
    <n v="1.6"/>
    <n v="0.18600000000000003"/>
    <n v="5"/>
    <n v="21"/>
    <n v="0.996"/>
    <x v="5"/>
    <n v="0.54"/>
    <x v="3"/>
    <x v="0"/>
    <x v="0"/>
    <n v="8.19"/>
    <n v="3.8084210526315797E-2"/>
  </r>
  <r>
    <n v="8.4"/>
    <n v="0.65"/>
    <n v="0.6"/>
    <n v="2.1"/>
    <n v="0.11199999999999999"/>
    <n v="12"/>
    <n v="90"/>
    <n v="0.99729999999999996"/>
    <x v="1"/>
    <n v="0.52"/>
    <x v="5"/>
    <x v="0"/>
    <x v="0"/>
    <n v="9.65"/>
    <n v="3.6739130434782614E-2"/>
  </r>
  <r>
    <n v="10.3"/>
    <n v="0.53"/>
    <n v="0.48"/>
    <n v="2.5"/>
    <n v="6.3E-2"/>
    <n v="6"/>
    <n v="25"/>
    <n v="0.99980000000000002"/>
    <x v="54"/>
    <n v="0.59"/>
    <x v="8"/>
    <x v="1"/>
    <x v="0"/>
    <n v="11.31"/>
    <n v="3.3623655913978492E-2"/>
  </r>
  <r>
    <n v="7.6"/>
    <n v="0.62"/>
    <n v="0.32"/>
    <n v="2.2000000000000002"/>
    <n v="8.199999999999999E-2"/>
    <n v="7"/>
    <n v="54"/>
    <n v="0.99660000000000004"/>
    <x v="6"/>
    <n v="0.52"/>
    <x v="0"/>
    <x v="0"/>
    <x v="0"/>
    <n v="8.5399999999999991"/>
    <n v="3.4297872340425535E-2"/>
  </r>
  <r>
    <n v="10.3"/>
    <n v="0.41"/>
    <n v="0.42"/>
    <n v="2.4"/>
    <n v="0.21299999999999999"/>
    <n v="6"/>
    <n v="14"/>
    <n v="0.99939999999999996"/>
    <x v="43"/>
    <n v="0.62"/>
    <x v="3"/>
    <x v="1"/>
    <x v="0"/>
    <n v="11.13"/>
    <n v="2.6757894736842102E-2"/>
  </r>
  <r>
    <n v="10.3"/>
    <n v="0.43"/>
    <n v="0.44"/>
    <n v="2.4"/>
    <n v="0.214"/>
    <n v="5"/>
    <n v="12"/>
    <n v="0.99939999999999996"/>
    <x v="43"/>
    <n v="0.63"/>
    <x v="3"/>
    <x v="1"/>
    <x v="0"/>
    <n v="11.17"/>
    <n v="2.8515789473684206E-2"/>
  </r>
  <r>
    <n v="7.4"/>
    <n v="0.28999999999999998"/>
    <n v="0.38"/>
    <n v="1.7"/>
    <n v="6.2E-2"/>
    <n v="9"/>
    <n v="30"/>
    <n v="0.99680000000000002"/>
    <x v="31"/>
    <n v="0.53"/>
    <x v="3"/>
    <x v="1"/>
    <x v="0"/>
    <n v="8.07"/>
    <n v="1.6178947368421053E-2"/>
  </r>
  <r>
    <n v="10.3"/>
    <n v="0.53"/>
    <n v="0.48"/>
    <n v="2.5"/>
    <n v="6.3E-2"/>
    <n v="6"/>
    <n v="25"/>
    <n v="0.99980000000000002"/>
    <x v="54"/>
    <n v="0.59"/>
    <x v="8"/>
    <x v="1"/>
    <x v="0"/>
    <n v="11.31"/>
    <n v="3.3623655913978492E-2"/>
  </r>
  <r>
    <n v="7.9"/>
    <n v="0.53"/>
    <n v="0.24"/>
    <n v="2"/>
    <n v="7.2000000000000008E-2"/>
    <n v="15"/>
    <n v="105"/>
    <n v="0.996"/>
    <x v="63"/>
    <n v="0.54"/>
    <x v="0"/>
    <x v="1"/>
    <x v="0"/>
    <n v="8.67"/>
    <n v="3.0446808510638298E-2"/>
  </r>
  <r>
    <n v="9"/>
    <n v="0.46"/>
    <n v="0.31"/>
    <n v="2.8"/>
    <n v="9.3000000000000013E-2"/>
    <n v="19"/>
    <n v="98"/>
    <n v="0.99814999999999998"/>
    <x v="29"/>
    <n v="0.63"/>
    <x v="3"/>
    <x v="1"/>
    <x v="0"/>
    <n v="9.7700000000000014"/>
    <n v="3.0505263157894737E-2"/>
  </r>
  <r>
    <n v="8.6"/>
    <n v="0.47"/>
    <n v="0.3"/>
    <n v="3"/>
    <n v="7.5999999999999998E-2"/>
    <n v="30"/>
    <n v="135"/>
    <n v="0.99760000000000004"/>
    <x v="4"/>
    <n v="0.53"/>
    <x v="0"/>
    <x v="0"/>
    <x v="0"/>
    <n v="9.370000000000001"/>
    <n v="2.6499999999999999E-2"/>
  </r>
  <r>
    <n v="7.4"/>
    <n v="0.36"/>
    <n v="0.28999999999999998"/>
    <n v="2.6"/>
    <n v="8.6999999999999994E-2"/>
    <n v="26"/>
    <n v="72"/>
    <n v="0.99644999999999995"/>
    <x v="5"/>
    <n v="0.68"/>
    <x v="27"/>
    <x v="0"/>
    <x v="0"/>
    <n v="8.0500000000000007"/>
    <n v="2.2254545454545457E-2"/>
  </r>
  <r>
    <n v="7.1"/>
    <n v="0.35"/>
    <n v="0.28999999999999998"/>
    <n v="2.5"/>
    <n v="9.6000000000000002E-2"/>
    <n v="20"/>
    <n v="53"/>
    <n v="0.99619999999999997"/>
    <x v="21"/>
    <n v="0.65"/>
    <x v="27"/>
    <x v="1"/>
    <x v="0"/>
    <n v="7.7399999999999993"/>
    <n v="2.068181818181818E-2"/>
  </r>
  <r>
    <n v="9.6"/>
    <n v="0.56000000000000005"/>
    <n v="0.23"/>
    <n v="3.4"/>
    <n v="0.10199999999999999"/>
    <n v="37"/>
    <n v="92"/>
    <n v="0.99960000000000004"/>
    <x v="4"/>
    <n v="0.65"/>
    <x v="11"/>
    <x v="0"/>
    <x v="0"/>
    <n v="10.39"/>
    <n v="3.6039603960396044E-2"/>
  </r>
  <r>
    <n v="9.6"/>
    <n v="0.77"/>
    <n v="0.12"/>
    <n v="2.9"/>
    <n v="8.199999999999999E-2"/>
    <n v="30"/>
    <n v="74"/>
    <n v="0.99865000000000004"/>
    <x v="4"/>
    <n v="0.64"/>
    <x v="21"/>
    <x v="1"/>
    <x v="0"/>
    <n v="10.489999999999998"/>
    <n v="4.7384615384615386E-2"/>
  </r>
  <r>
    <n v="9.8000000000000007"/>
    <n v="0.66"/>
    <n v="0.39"/>
    <n v="3.2"/>
    <n v="8.3000000000000004E-2"/>
    <n v="21"/>
    <n v="59"/>
    <n v="0.99890000000000001"/>
    <x v="42"/>
    <n v="0.71"/>
    <x v="24"/>
    <x v="2"/>
    <x v="1"/>
    <n v="10.850000000000001"/>
    <n v="4.0747826086956526E-2"/>
  </r>
  <r>
    <n v="9.6"/>
    <n v="0.77"/>
    <n v="0.12"/>
    <n v="2.9"/>
    <n v="8.199999999999999E-2"/>
    <n v="30"/>
    <n v="74"/>
    <n v="0.99865000000000004"/>
    <x v="4"/>
    <n v="0.64"/>
    <x v="21"/>
    <x v="1"/>
    <x v="0"/>
    <n v="10.489999999999998"/>
    <n v="4.7384615384615386E-2"/>
  </r>
  <r>
    <n v="9.8000000000000007"/>
    <n v="0.66"/>
    <n v="0.39"/>
    <n v="3.2"/>
    <n v="8.3000000000000004E-2"/>
    <n v="21"/>
    <n v="59"/>
    <n v="0.99890000000000001"/>
    <x v="42"/>
    <n v="0.71"/>
    <x v="24"/>
    <x v="2"/>
    <x v="1"/>
    <n v="10.850000000000001"/>
    <n v="4.0747826086956526E-2"/>
  </r>
  <r>
    <n v="9.3000000000000007"/>
    <n v="0.61"/>
    <n v="0.26"/>
    <n v="3.4"/>
    <n v="0.09"/>
    <n v="25"/>
    <n v="87"/>
    <n v="0.99975000000000003"/>
    <x v="47"/>
    <n v="0.62"/>
    <x v="10"/>
    <x v="0"/>
    <x v="0"/>
    <n v="10.17"/>
    <n v="3.8989690721649484E-2"/>
  </r>
  <r>
    <n v="7.8"/>
    <n v="0.62"/>
    <n v="0.05"/>
    <n v="2.2999999999999998"/>
    <n v="7.9000000000000001E-2"/>
    <n v="6"/>
    <n v="18"/>
    <n v="0.99734999999999996"/>
    <x v="40"/>
    <n v="0.63"/>
    <x v="8"/>
    <x v="0"/>
    <x v="0"/>
    <n v="8.4700000000000006"/>
    <n v="4.1999999999999996E-2"/>
  </r>
  <r>
    <n v="10.3"/>
    <n v="0.59"/>
    <n v="0.42"/>
    <n v="2.8"/>
    <n v="0.09"/>
    <n v="35"/>
    <n v="73"/>
    <n v="0.99900000000000011"/>
    <x v="8"/>
    <n v="0.7"/>
    <x v="3"/>
    <x v="1"/>
    <x v="0"/>
    <n v="11.31"/>
    <n v="4.347368421052631E-2"/>
  </r>
  <r>
    <n v="10"/>
    <n v="0.49"/>
    <n v="0.2"/>
    <n v="11"/>
    <n v="7.0999999999999994E-2"/>
    <n v="13"/>
    <n v="50"/>
    <n v="1.0015000000000001"/>
    <x v="3"/>
    <n v="0.69"/>
    <x v="5"/>
    <x v="1"/>
    <x v="0"/>
    <n v="10.69"/>
    <n v="3.6749999999999998E-2"/>
  </r>
  <r>
    <n v="10"/>
    <n v="0.49"/>
    <n v="0.2"/>
    <n v="11"/>
    <n v="7.0999999999999994E-2"/>
    <n v="13"/>
    <n v="50"/>
    <n v="1.0015000000000001"/>
    <x v="3"/>
    <n v="0.69"/>
    <x v="5"/>
    <x v="1"/>
    <x v="0"/>
    <n v="10.69"/>
    <n v="3.6749999999999998E-2"/>
  </r>
  <r>
    <n v="11.6"/>
    <n v="0.53"/>
    <n v="0.66"/>
    <n v="3.65"/>
    <n v="0.121"/>
    <n v="6"/>
    <n v="14"/>
    <n v="0.99780000000000002"/>
    <x v="61"/>
    <n v="0.74"/>
    <x v="24"/>
    <x v="2"/>
    <x v="1"/>
    <n v="12.79"/>
    <n v="3.4104347826086956E-2"/>
  </r>
  <r>
    <n v="10.3"/>
    <n v="0.44"/>
    <n v="0.5"/>
    <n v="4.5"/>
    <n v="0.107"/>
    <n v="5"/>
    <n v="13"/>
    <n v="0.998"/>
    <x v="8"/>
    <n v="0.83"/>
    <x v="24"/>
    <x v="0"/>
    <x v="0"/>
    <n v="11.24"/>
    <n v="3.1756521739130433E-2"/>
  </r>
  <r>
    <n v="13.4"/>
    <n v="0.27"/>
    <n v="0.62"/>
    <n v="2.6"/>
    <n v="8.199999999999999E-2"/>
    <n v="6"/>
    <n v="21"/>
    <n v="1.0002"/>
    <x v="3"/>
    <n v="0.67"/>
    <x v="10"/>
    <x v="1"/>
    <x v="0"/>
    <n v="14.29"/>
    <n v="1.8649484536082478E-2"/>
  </r>
  <r>
    <n v="10.7"/>
    <n v="0.46"/>
    <n v="0.39"/>
    <n v="2"/>
    <n v="6.0999999999999999E-2"/>
    <n v="7"/>
    <n v="15"/>
    <n v="0.99809999999999999"/>
    <x v="64"/>
    <n v="0.62"/>
    <x v="3"/>
    <x v="0"/>
    <x v="0"/>
    <n v="11.55"/>
    <n v="3.0021052631578948E-2"/>
  </r>
  <r>
    <n v="10.199999999999999"/>
    <n v="0.36"/>
    <n v="0.64"/>
    <n v="2.9"/>
    <n v="0.122"/>
    <n v="10"/>
    <n v="41"/>
    <n v="0.998"/>
    <x v="22"/>
    <n v="0.66"/>
    <x v="31"/>
    <x v="1"/>
    <x v="0"/>
    <n v="11.2"/>
    <n v="1.9008000000000001E-2"/>
  </r>
  <r>
    <n v="10.199999999999999"/>
    <n v="0.36"/>
    <n v="0.64"/>
    <n v="2.9"/>
    <n v="0.122"/>
    <n v="10"/>
    <n v="41"/>
    <n v="0.998"/>
    <x v="22"/>
    <n v="0.66"/>
    <x v="31"/>
    <x v="1"/>
    <x v="0"/>
    <n v="11.2"/>
    <n v="1.9008000000000001E-2"/>
  </r>
  <r>
    <n v="8"/>
    <n v="0.57999999999999996"/>
    <n v="0.28000000000000003"/>
    <n v="3.2"/>
    <n v="6.6000000000000003E-2"/>
    <n v="21"/>
    <n v="114"/>
    <n v="0.99729999999999996"/>
    <x v="49"/>
    <n v="0.54"/>
    <x v="0"/>
    <x v="1"/>
    <x v="0"/>
    <n v="8.86"/>
    <n v="3.3319148936170211E-2"/>
  </r>
  <r>
    <n v="8.4"/>
    <n v="0.56000000000000005"/>
    <n v="0.08"/>
    <n v="2.1"/>
    <n v="0.105"/>
    <n v="16"/>
    <n v="44"/>
    <n v="0.99580000000000002"/>
    <x v="35"/>
    <n v="0.52"/>
    <x v="27"/>
    <x v="0"/>
    <x v="0"/>
    <n v="9.0400000000000009"/>
    <n v="2.6472727272727273E-2"/>
  </r>
  <r>
    <n v="7.9"/>
    <n v="0.65"/>
    <n v="0.01"/>
    <n v="2.5"/>
    <n v="7.8E-2"/>
    <n v="17"/>
    <n v="38"/>
    <n v="0.99629999999999996"/>
    <x v="16"/>
    <n v="0.74"/>
    <x v="32"/>
    <x v="2"/>
    <x v="1"/>
    <n v="8.56"/>
    <n v="4.1111111111111112E-2"/>
  </r>
  <r>
    <n v="11.9"/>
    <n v="0.69499999999999995"/>
    <n v="0.53"/>
    <n v="3.4"/>
    <n v="0.128"/>
    <n v="7"/>
    <n v="21"/>
    <n v="0.99919999999999998"/>
    <x v="10"/>
    <n v="0.84"/>
    <x v="28"/>
    <x v="2"/>
    <x v="1"/>
    <n v="13.125"/>
    <n v="4.7852459016393442E-2"/>
  </r>
  <r>
    <n v="8.9"/>
    <n v="0.43"/>
    <n v="0.45"/>
    <n v="1.9"/>
    <n v="5.2000000000000005E-2"/>
    <n v="6"/>
    <n v="16"/>
    <n v="0.99480000000000002"/>
    <x v="7"/>
    <n v="0.7"/>
    <x v="31"/>
    <x v="1"/>
    <x v="0"/>
    <n v="9.7799999999999994"/>
    <n v="2.4080000000000001E-2"/>
  </r>
  <r>
    <n v="7.8"/>
    <n v="0.43"/>
    <n v="0.32"/>
    <n v="2.8"/>
    <n v="0.08"/>
    <n v="29"/>
    <n v="58"/>
    <n v="0.99739999999999995"/>
    <x v="33"/>
    <n v="0.64"/>
    <x v="15"/>
    <x v="0"/>
    <x v="0"/>
    <n v="8.5500000000000007"/>
    <n v="2.6718446601941746E-2"/>
  </r>
  <r>
    <n v="12.4"/>
    <n v="0.49"/>
    <n v="0.57999999999999996"/>
    <n v="3"/>
    <n v="0.10300000000000001"/>
    <n v="28"/>
    <n v="99"/>
    <n v="1.0007999999999999"/>
    <x v="3"/>
    <n v="1"/>
    <x v="24"/>
    <x v="1"/>
    <x v="0"/>
    <n v="13.47"/>
    <n v="4.2608695652173914E-2"/>
  </r>
  <r>
    <n v="12.5"/>
    <n v="0.28000000000000003"/>
    <n v="0.54"/>
    <n v="2.2999999999999998"/>
    <n v="8.199999999999999E-2"/>
    <n v="12"/>
    <n v="29"/>
    <n v="0.99970000000000003"/>
    <x v="11"/>
    <n v="1.36"/>
    <x v="1"/>
    <x v="2"/>
    <x v="1"/>
    <n v="13.32"/>
    <n v="3.8857142857142861E-2"/>
  </r>
  <r>
    <n v="12.2"/>
    <n v="0.34"/>
    <n v="0.5"/>
    <n v="2.4"/>
    <n v="6.6000000000000003E-2"/>
    <n v="10"/>
    <n v="21"/>
    <n v="1"/>
    <x v="54"/>
    <n v="1.18"/>
    <x v="5"/>
    <x v="1"/>
    <x v="0"/>
    <n v="13.04"/>
    <n v="4.3608695652173915E-2"/>
  </r>
  <r>
    <n v="10.6"/>
    <n v="0.42"/>
    <n v="0.48"/>
    <n v="2.7"/>
    <n v="6.5000000000000002E-2"/>
    <n v="5"/>
    <n v="18"/>
    <n v="0.99719999999999998"/>
    <x v="25"/>
    <n v="0.87"/>
    <x v="33"/>
    <x v="1"/>
    <x v="0"/>
    <n v="11.5"/>
    <n v="3.2336283185840704E-2"/>
  </r>
  <r>
    <n v="10.9"/>
    <n v="0.39"/>
    <n v="0.47"/>
    <n v="1.8"/>
    <n v="0.11800000000000001"/>
    <n v="6"/>
    <n v="14"/>
    <n v="0.99819999999999998"/>
    <x v="4"/>
    <n v="0.75"/>
    <x v="1"/>
    <x v="1"/>
    <x v="0"/>
    <n v="11.760000000000002"/>
    <n v="2.9846938775510201E-2"/>
  </r>
  <r>
    <n v="10.9"/>
    <n v="0.39"/>
    <n v="0.47"/>
    <n v="1.8"/>
    <n v="0.11800000000000001"/>
    <n v="6"/>
    <n v="14"/>
    <n v="0.99819999999999998"/>
    <x v="4"/>
    <n v="0.75"/>
    <x v="1"/>
    <x v="1"/>
    <x v="0"/>
    <n v="11.760000000000002"/>
    <n v="2.9846938775510201E-2"/>
  </r>
  <r>
    <n v="11.9"/>
    <n v="0.56999999999999995"/>
    <n v="0.5"/>
    <n v="2.6"/>
    <n v="8.199999999999999E-2"/>
    <n v="6"/>
    <n v="32"/>
    <n v="1.0005999999999999"/>
    <x v="54"/>
    <n v="0.78"/>
    <x v="19"/>
    <x v="1"/>
    <x v="0"/>
    <n v="12.97"/>
    <n v="4.1551401869158879E-2"/>
  </r>
  <r>
    <n v="7"/>
    <n v="0.68500000000000005"/>
    <n v="0"/>
    <n v="1.9"/>
    <n v="6.7000000000000004E-2"/>
    <n v="40"/>
    <n v="63"/>
    <n v="0.99790000000000001"/>
    <x v="58"/>
    <n v="0.81"/>
    <x v="6"/>
    <x v="0"/>
    <x v="0"/>
    <n v="7.6850000000000005"/>
    <n v="5.6045454545454551E-2"/>
  </r>
  <r>
    <n v="6.6"/>
    <n v="0.81499999999999995"/>
    <n v="0.02"/>
    <n v="2.7"/>
    <n v="7.2000000000000008E-2"/>
    <n v="17"/>
    <n v="34"/>
    <n v="0.99550000000000005"/>
    <x v="9"/>
    <n v="0.89"/>
    <x v="34"/>
    <x v="2"/>
    <x v="1"/>
    <n v="7.4349999999999987"/>
    <n v="5.8971544715447147E-2"/>
  </r>
  <r>
    <n v="13.8"/>
    <n v="0.49"/>
    <n v="0.67"/>
    <n v="3"/>
    <n v="9.3000000000000013E-2"/>
    <n v="6"/>
    <n v="15"/>
    <n v="0.99860000000000004"/>
    <x v="65"/>
    <n v="0.93"/>
    <x v="35"/>
    <x v="1"/>
    <x v="0"/>
    <n v="14.96"/>
    <n v="3.7975000000000002E-2"/>
  </r>
  <r>
    <n v="9.6"/>
    <n v="0.56000000000000005"/>
    <n v="0.31"/>
    <n v="2.8"/>
    <n v="8.900000000000001E-2"/>
    <n v="15"/>
    <n v="46"/>
    <n v="0.99790000000000001"/>
    <x v="11"/>
    <n v="0.92"/>
    <x v="2"/>
    <x v="1"/>
    <x v="0"/>
    <n v="10.47"/>
    <n v="5.152000000000001E-2"/>
  </r>
  <r>
    <n v="9.1"/>
    <n v="0.78500000000000003"/>
    <n v="0"/>
    <n v="2.6"/>
    <n v="9.3000000000000013E-2"/>
    <n v="11"/>
    <n v="28"/>
    <n v="0.99939999999999996"/>
    <x v="6"/>
    <n v="0.86"/>
    <x v="0"/>
    <x v="1"/>
    <x v="0"/>
    <n v="9.8849999999999998"/>
    <n v="7.181914893617021E-2"/>
  </r>
  <r>
    <n v="10.7"/>
    <n v="0.67"/>
    <n v="0.22"/>
    <n v="2.7"/>
    <n v="0.107"/>
    <n v="17"/>
    <n v="34"/>
    <n v="1.0004"/>
    <x v="8"/>
    <n v="0.98"/>
    <x v="6"/>
    <x v="1"/>
    <x v="0"/>
    <n v="11.59"/>
    <n v="6.6323232323232326E-2"/>
  </r>
  <r>
    <n v="9.1"/>
    <n v="0.79500000000000004"/>
    <n v="0"/>
    <n v="2.6"/>
    <n v="9.6000000000000002E-2"/>
    <n v="11"/>
    <n v="26"/>
    <n v="0.99939999999999996"/>
    <x v="7"/>
    <n v="0.83"/>
    <x v="0"/>
    <x v="1"/>
    <x v="0"/>
    <n v="9.8949999999999996"/>
    <n v="7.0196808510638295E-2"/>
  </r>
  <r>
    <n v="7.7"/>
    <n v="0.66500000000000004"/>
    <n v="0"/>
    <n v="2.4"/>
    <n v="0.09"/>
    <n v="8"/>
    <n v="19"/>
    <n v="0.99739999999999995"/>
    <x v="63"/>
    <n v="0.73"/>
    <x v="8"/>
    <x v="0"/>
    <x v="0"/>
    <n v="8.3650000000000002"/>
    <n v="5.2198924731182789E-2"/>
  </r>
  <r>
    <n v="13.5"/>
    <n v="0.53"/>
    <n v="0.79"/>
    <n v="4.8"/>
    <n v="0.12"/>
    <n v="23"/>
    <n v="77"/>
    <n v="1.0018"/>
    <x v="64"/>
    <n v="0.77"/>
    <x v="22"/>
    <x v="0"/>
    <x v="0"/>
    <n v="14.82"/>
    <n v="3.1392307692307692E-2"/>
  </r>
  <r>
    <n v="6.1"/>
    <n v="0.21"/>
    <n v="0.4"/>
    <n v="1.4"/>
    <n v="6.6000000000000003E-2"/>
    <n v="40"/>
    <n v="165"/>
    <n v="0.99119999999999997"/>
    <x v="28"/>
    <n v="0.59"/>
    <x v="36"/>
    <x v="1"/>
    <x v="0"/>
    <n v="6.71"/>
    <n v="1.0411764705882351E-2"/>
  </r>
  <r>
    <n v="6.7"/>
    <n v="0.75"/>
    <n v="0.01"/>
    <n v="2.4"/>
    <n v="7.8E-2"/>
    <n v="17"/>
    <n v="32"/>
    <n v="0.99550000000000005"/>
    <x v="66"/>
    <n v="0.61"/>
    <x v="29"/>
    <x v="1"/>
    <x v="0"/>
    <n v="7.46"/>
    <n v="3.5742187500000001E-2"/>
  </r>
  <r>
    <n v="11.5"/>
    <n v="0.41"/>
    <n v="0.52"/>
    <n v="3"/>
    <n v="0.08"/>
    <n v="29"/>
    <n v="55"/>
    <n v="1.0001"/>
    <x v="2"/>
    <n v="0.88"/>
    <x v="27"/>
    <x v="0"/>
    <x v="0"/>
    <n v="12.43"/>
    <n v="3.2799999999999996E-2"/>
  </r>
  <r>
    <n v="10.5"/>
    <n v="0.42"/>
    <n v="0.66"/>
    <n v="2.95"/>
    <n v="0.11599999999999999"/>
    <n v="12"/>
    <n v="29"/>
    <n v="0.997"/>
    <x v="47"/>
    <n v="0.75"/>
    <x v="32"/>
    <x v="2"/>
    <x v="1"/>
    <n v="11.58"/>
    <n v="2.6923076923076925E-2"/>
  </r>
  <r>
    <n v="11.9"/>
    <n v="0.43"/>
    <n v="0.66"/>
    <n v="3.1"/>
    <n v="0.109"/>
    <n v="10"/>
    <n v="23"/>
    <n v="1"/>
    <x v="30"/>
    <n v="0.85"/>
    <x v="21"/>
    <x v="2"/>
    <x v="1"/>
    <n v="12.99"/>
    <n v="3.5144230769230768E-2"/>
  </r>
  <r>
    <n v="12.6"/>
    <n v="0.38"/>
    <n v="0.66"/>
    <n v="2.6"/>
    <n v="8.8000000000000009E-2"/>
    <n v="10"/>
    <n v="41"/>
    <n v="1.0009999999999999"/>
    <x v="10"/>
    <n v="0.68"/>
    <x v="1"/>
    <x v="1"/>
    <x v="0"/>
    <n v="13.64"/>
    <n v="2.6367346938775509E-2"/>
  </r>
  <r>
    <n v="8.1999999999999993"/>
    <n v="0.7"/>
    <n v="0.23"/>
    <n v="2"/>
    <n v="9.9000000000000005E-2"/>
    <n v="14"/>
    <n v="81"/>
    <n v="0.99729999999999996"/>
    <x v="43"/>
    <n v="0.7"/>
    <x v="0"/>
    <x v="0"/>
    <x v="0"/>
    <n v="9.129999999999999"/>
    <n v="5.2127659574468077E-2"/>
  </r>
  <r>
    <n v="8.6"/>
    <n v="0.45"/>
    <n v="0.31"/>
    <n v="2.6"/>
    <n v="8.5999999999999993E-2"/>
    <n v="21"/>
    <n v="50"/>
    <n v="0.99819999999999998"/>
    <x v="42"/>
    <n v="0.91"/>
    <x v="6"/>
    <x v="1"/>
    <x v="0"/>
    <n v="9.36"/>
    <n v="4.1363636363636366E-2"/>
  </r>
  <r>
    <n v="11.9"/>
    <n v="0.57999999999999996"/>
    <n v="0.66"/>
    <n v="2.5"/>
    <n v="7.2000000000000008E-2"/>
    <n v="6"/>
    <n v="37"/>
    <n v="0.99919999999999998"/>
    <x v="61"/>
    <n v="0.56000000000000005"/>
    <x v="2"/>
    <x v="0"/>
    <x v="0"/>
    <n v="13.14"/>
    <n v="3.2480000000000002E-2"/>
  </r>
  <r>
    <n v="12.5"/>
    <n v="0.46"/>
    <n v="0.63"/>
    <n v="2"/>
    <n v="7.0999999999999994E-2"/>
    <n v="6"/>
    <n v="15"/>
    <n v="0.99880000000000002"/>
    <x v="67"/>
    <n v="0.87"/>
    <x v="17"/>
    <x v="0"/>
    <x v="0"/>
    <n v="13.590000000000002"/>
    <n v="3.9235294117647063E-2"/>
  </r>
  <r>
    <n v="12.8"/>
    <n v="0.61499999999999999"/>
    <n v="0.66"/>
    <n v="5.8"/>
    <n v="8.3000000000000004E-2"/>
    <n v="7"/>
    <n v="42"/>
    <n v="1.0022"/>
    <x v="44"/>
    <n v="0.73"/>
    <x v="2"/>
    <x v="2"/>
    <x v="1"/>
    <n v="14.075000000000001"/>
    <n v="4.4894999999999997E-2"/>
  </r>
  <r>
    <n v="10"/>
    <n v="0.42"/>
    <n v="0.5"/>
    <n v="3.4"/>
    <n v="0.107"/>
    <n v="7"/>
    <n v="21"/>
    <n v="0.99790000000000001"/>
    <x v="2"/>
    <n v="0.93"/>
    <x v="37"/>
    <x v="1"/>
    <x v="0"/>
    <n v="10.92"/>
    <n v="3.3101694915254234E-2"/>
  </r>
  <r>
    <n v="12.8"/>
    <n v="0.61499999999999999"/>
    <n v="0.66"/>
    <n v="5.8"/>
    <n v="8.3000000000000004E-2"/>
    <n v="7"/>
    <n v="42"/>
    <n v="1.0022"/>
    <x v="44"/>
    <n v="0.73"/>
    <x v="2"/>
    <x v="2"/>
    <x v="1"/>
    <n v="14.075000000000001"/>
    <n v="4.4894999999999997E-2"/>
  </r>
  <r>
    <n v="10.4"/>
    <n v="0.57499999999999996"/>
    <n v="0.61"/>
    <n v="2.6"/>
    <n v="7.5999999999999998E-2"/>
    <n v="11"/>
    <n v="24"/>
    <n v="1"/>
    <x v="3"/>
    <n v="0.69"/>
    <x v="9"/>
    <x v="0"/>
    <x v="0"/>
    <n v="11.584999999999999"/>
    <n v="4.4083333333333329E-2"/>
  </r>
  <r>
    <n v="10.3"/>
    <n v="0.34"/>
    <n v="0.52"/>
    <n v="2.8"/>
    <n v="0.159"/>
    <n v="15"/>
    <n v="75"/>
    <n v="0.99980000000000002"/>
    <x v="64"/>
    <n v="0.64"/>
    <x v="0"/>
    <x v="0"/>
    <x v="0"/>
    <n v="11.16"/>
    <n v="2.3148936170212766E-2"/>
  </r>
  <r>
    <n v="9.4"/>
    <n v="0.27"/>
    <n v="0.53"/>
    <n v="2.4"/>
    <n v="7.400000000000001E-2"/>
    <n v="6"/>
    <n v="18"/>
    <n v="0.99619999999999997"/>
    <x v="1"/>
    <n v="1.1299999999999999"/>
    <x v="35"/>
    <x v="2"/>
    <x v="1"/>
    <n v="10.199999999999999"/>
    <n v="2.5425E-2"/>
  </r>
  <r>
    <n v="6.9"/>
    <n v="0.76500000000000001"/>
    <n v="0.02"/>
    <n v="2.2999999999999998"/>
    <n v="6.3E-2"/>
    <n v="35"/>
    <n v="63"/>
    <n v="0.99750000000000005"/>
    <x v="55"/>
    <n v="0.78"/>
    <x v="6"/>
    <x v="0"/>
    <x v="0"/>
    <n v="7.6849999999999996"/>
    <n v="6.0272727272727269E-2"/>
  </r>
  <r>
    <n v="7.9"/>
    <n v="0.24"/>
    <n v="0.4"/>
    <n v="1.6"/>
    <n v="5.5999999999999994E-2"/>
    <n v="11"/>
    <n v="25"/>
    <n v="0.99670000000000003"/>
    <x v="29"/>
    <n v="0.87"/>
    <x v="38"/>
    <x v="1"/>
    <x v="0"/>
    <n v="8.5400000000000009"/>
    <n v="2.4E-2"/>
  </r>
  <r>
    <n v="9.1"/>
    <n v="0.28000000000000003"/>
    <n v="0.48"/>
    <n v="1.8"/>
    <n v="6.7000000000000004E-2"/>
    <n v="26"/>
    <n v="46"/>
    <n v="0.99670000000000003"/>
    <x v="29"/>
    <n v="1.04"/>
    <x v="12"/>
    <x v="1"/>
    <x v="0"/>
    <n v="9.86"/>
    <n v="2.747169811320755E-2"/>
  </r>
  <r>
    <n v="7.4"/>
    <n v="0.55000000000000004"/>
    <n v="0.22"/>
    <n v="2.2000000000000002"/>
    <n v="0.106"/>
    <n v="12"/>
    <n v="72"/>
    <n v="0.99590000000000001"/>
    <x v="61"/>
    <n v="0.63"/>
    <x v="5"/>
    <x v="0"/>
    <x v="0"/>
    <n v="8.17"/>
    <n v="3.7663043478260876E-2"/>
  </r>
  <r>
    <n v="14"/>
    <n v="0.41"/>
    <n v="0.63"/>
    <n v="3.8"/>
    <n v="8.900000000000001E-2"/>
    <n v="6"/>
    <n v="47"/>
    <n v="1.0014000000000001"/>
    <x v="68"/>
    <n v="0.81"/>
    <x v="14"/>
    <x v="1"/>
    <x v="0"/>
    <n v="15.040000000000001"/>
    <n v="3.075E-2"/>
  </r>
  <r>
    <n v="11.5"/>
    <n v="0.54"/>
    <n v="0.71"/>
    <n v="4.4000000000000004"/>
    <n v="0.124"/>
    <n v="6"/>
    <n v="15"/>
    <n v="0.99839999999999995"/>
    <x v="68"/>
    <n v="0.83"/>
    <x v="37"/>
    <x v="2"/>
    <x v="1"/>
    <n v="12.75"/>
    <n v="3.7983050847457622E-2"/>
  </r>
  <r>
    <n v="11.5"/>
    <n v="0.45"/>
    <n v="0.5"/>
    <n v="3"/>
    <n v="7.8E-2"/>
    <n v="19"/>
    <n v="47"/>
    <n v="1.0003"/>
    <x v="2"/>
    <n v="1.1100000000000001"/>
    <x v="27"/>
    <x v="1"/>
    <x v="0"/>
    <n v="12.45"/>
    <n v="4.5409090909090913E-2"/>
  </r>
  <r>
    <n v="9.4"/>
    <n v="0.27"/>
    <n v="0.53"/>
    <n v="2.4"/>
    <n v="7.400000000000001E-2"/>
    <n v="6"/>
    <n v="18"/>
    <n v="0.99619999999999997"/>
    <x v="1"/>
    <n v="1.1299999999999999"/>
    <x v="35"/>
    <x v="2"/>
    <x v="1"/>
    <n v="10.199999999999999"/>
    <n v="2.5425E-2"/>
  </r>
  <r>
    <n v="11.4"/>
    <n v="0.625"/>
    <n v="0.66"/>
    <n v="6.2"/>
    <n v="8.8000000000000009E-2"/>
    <n v="6"/>
    <n v="24"/>
    <n v="0.99880000000000002"/>
    <x v="11"/>
    <n v="0.99"/>
    <x v="39"/>
    <x v="1"/>
    <x v="0"/>
    <n v="12.685"/>
    <n v="4.6522556390977444E-2"/>
  </r>
  <r>
    <n v="8.3000000000000007"/>
    <n v="0.42"/>
    <n v="0.38"/>
    <n v="2.5"/>
    <n v="9.4E-2"/>
    <n v="24"/>
    <n v="60"/>
    <n v="0.99790000000000001"/>
    <x v="33"/>
    <n v="0.7"/>
    <x v="14"/>
    <x v="1"/>
    <x v="0"/>
    <n v="9.1000000000000014"/>
    <n v="2.7222222222222221E-2"/>
  </r>
  <r>
    <n v="8.3000000000000007"/>
    <n v="0.26"/>
    <n v="0.42"/>
    <n v="2"/>
    <n v="0.08"/>
    <n v="11"/>
    <n v="27"/>
    <n v="0.99739999999999995"/>
    <x v="25"/>
    <n v="0.8"/>
    <x v="0"/>
    <x v="1"/>
    <x v="0"/>
    <n v="8.98"/>
    <n v="2.2127659574468085E-2"/>
  </r>
  <r>
    <n v="13.7"/>
    <n v="0.41499999999999998"/>
    <n v="0.68"/>
    <n v="2.9"/>
    <n v="8.5000000000000006E-2"/>
    <n v="17"/>
    <n v="43"/>
    <n v="1.0014000000000001"/>
    <x v="57"/>
    <n v="0.8"/>
    <x v="2"/>
    <x v="1"/>
    <x v="0"/>
    <n v="14.794999999999998"/>
    <n v="3.32E-2"/>
  </r>
  <r>
    <n v="8.3000000000000007"/>
    <n v="0.26"/>
    <n v="0.42"/>
    <n v="2"/>
    <n v="0.08"/>
    <n v="11"/>
    <n v="27"/>
    <n v="0.99739999999999995"/>
    <x v="25"/>
    <n v="0.8"/>
    <x v="0"/>
    <x v="1"/>
    <x v="0"/>
    <n v="8.98"/>
    <n v="2.2127659574468085E-2"/>
  </r>
  <r>
    <n v="8.3000000000000007"/>
    <n v="0.26"/>
    <n v="0.42"/>
    <n v="2"/>
    <n v="0.08"/>
    <n v="11"/>
    <n v="27"/>
    <n v="0.99739999999999995"/>
    <x v="25"/>
    <n v="0.8"/>
    <x v="0"/>
    <x v="1"/>
    <x v="0"/>
    <n v="8.98"/>
    <n v="2.2127659574468085E-2"/>
  </r>
  <r>
    <n v="7.7"/>
    <n v="0.51"/>
    <n v="0.28000000000000003"/>
    <n v="2.1"/>
    <n v="8.6999999999999994E-2"/>
    <n v="23"/>
    <n v="54"/>
    <n v="0.998"/>
    <x v="21"/>
    <n v="0.74"/>
    <x v="5"/>
    <x v="0"/>
    <x v="0"/>
    <n v="8.49"/>
    <n v="4.1021739130434789E-2"/>
  </r>
  <r>
    <n v="7.4"/>
    <n v="0.63"/>
    <n v="7.0000000000000007E-2"/>
    <n v="2.4"/>
    <n v="0.09"/>
    <n v="11"/>
    <n v="37"/>
    <n v="0.99790000000000001"/>
    <x v="15"/>
    <n v="0.76"/>
    <x v="10"/>
    <x v="1"/>
    <x v="0"/>
    <n v="8.1000000000000014"/>
    <n v="4.9360824742268043E-2"/>
  </r>
  <r>
    <n v="7.8"/>
    <n v="0.54"/>
    <n v="0.26"/>
    <n v="2"/>
    <n v="8.8000000000000009E-2"/>
    <n v="23"/>
    <n v="48"/>
    <n v="0.99809999999999999"/>
    <x v="31"/>
    <n v="0.74"/>
    <x v="5"/>
    <x v="1"/>
    <x v="0"/>
    <n v="8.6"/>
    <n v="4.3434782608695655E-2"/>
  </r>
  <r>
    <n v="8.3000000000000007"/>
    <n v="0.66"/>
    <n v="0.15"/>
    <n v="1.9"/>
    <n v="7.9000000000000001E-2"/>
    <n v="17"/>
    <n v="42"/>
    <n v="0.99719999999999998"/>
    <x v="33"/>
    <n v="0.54"/>
    <x v="13"/>
    <x v="1"/>
    <x v="0"/>
    <n v="9.1100000000000012"/>
    <n v="3.7125000000000005E-2"/>
  </r>
  <r>
    <n v="7.8"/>
    <n v="0.46"/>
    <n v="0.26"/>
    <n v="1.9"/>
    <n v="8.8000000000000009E-2"/>
    <n v="23"/>
    <n v="53"/>
    <n v="0.99809999999999999"/>
    <x v="15"/>
    <n v="0.74"/>
    <x v="5"/>
    <x v="1"/>
    <x v="0"/>
    <n v="8.52"/>
    <n v="3.7000000000000005E-2"/>
  </r>
  <r>
    <n v="9.6"/>
    <n v="0.38"/>
    <n v="0.31"/>
    <n v="2.5"/>
    <n v="9.6000000000000002E-2"/>
    <n v="16"/>
    <n v="49"/>
    <n v="0.99819999999999998"/>
    <x v="43"/>
    <n v="0.7"/>
    <x v="2"/>
    <x v="2"/>
    <x v="1"/>
    <n v="10.290000000000001"/>
    <n v="2.6599999999999995E-2"/>
  </r>
  <r>
    <n v="5.6"/>
    <n v="0.85"/>
    <n v="0.05"/>
    <n v="1.4"/>
    <n v="4.4999999999999998E-2"/>
    <n v="12"/>
    <n v="88"/>
    <n v="0.99239999999999995"/>
    <x v="69"/>
    <n v="0.82"/>
    <x v="20"/>
    <x v="4"/>
    <x v="1"/>
    <n v="6.4999999999999991"/>
    <n v="5.4031007751937976E-2"/>
  </r>
  <r>
    <n v="13.7"/>
    <n v="0.41499999999999998"/>
    <n v="0.68"/>
    <n v="2.9"/>
    <n v="8.5000000000000006E-2"/>
    <n v="17"/>
    <n v="43"/>
    <n v="1.0014000000000001"/>
    <x v="57"/>
    <n v="0.8"/>
    <x v="2"/>
    <x v="1"/>
    <x v="0"/>
    <n v="14.794999999999998"/>
    <n v="3.32E-2"/>
  </r>
  <r>
    <n v="9.5"/>
    <n v="0.37"/>
    <n v="0.52"/>
    <n v="2"/>
    <n v="8.199999999999999E-2"/>
    <n v="6"/>
    <n v="26"/>
    <n v="0.998"/>
    <x v="64"/>
    <n v="0.51"/>
    <x v="3"/>
    <x v="0"/>
    <x v="0"/>
    <n v="10.389999999999999"/>
    <n v="1.9863157894736843E-2"/>
  </r>
  <r>
    <n v="8.4"/>
    <n v="0.66500000000000004"/>
    <n v="0.61"/>
    <n v="2"/>
    <n v="0.11199999999999999"/>
    <n v="13"/>
    <n v="95"/>
    <n v="0.997"/>
    <x v="3"/>
    <n v="0.54"/>
    <x v="7"/>
    <x v="0"/>
    <x v="0"/>
    <n v="9.6750000000000007"/>
    <n v="3.9461538461538465E-2"/>
  </r>
  <r>
    <n v="12.7"/>
    <n v="0.6"/>
    <n v="0.65"/>
    <n v="2.2999999999999998"/>
    <n v="6.3E-2"/>
    <n v="6"/>
    <n v="25"/>
    <n v="0.99970000000000003"/>
    <x v="70"/>
    <n v="0.56999999999999995"/>
    <x v="6"/>
    <x v="0"/>
    <x v="0"/>
    <n v="13.95"/>
    <n v="3.4545454545454539E-2"/>
  </r>
  <r>
    <n v="12"/>
    <n v="0.37"/>
    <n v="0.76"/>
    <n v="4.2"/>
    <n v="6.6000000000000003E-2"/>
    <n v="7"/>
    <n v="38"/>
    <n v="1.0004"/>
    <x v="49"/>
    <n v="0.6"/>
    <x v="22"/>
    <x v="2"/>
    <x v="1"/>
    <n v="13.129999999999999"/>
    <n v="1.7076923076923076E-2"/>
  </r>
  <r>
    <n v="6.6"/>
    <n v="0.73499999999999999"/>
    <n v="0.02"/>
    <n v="7.9"/>
    <n v="0.122"/>
    <n v="68"/>
    <n v="124"/>
    <n v="0.99939999999999996"/>
    <x v="17"/>
    <n v="0.53"/>
    <x v="6"/>
    <x v="0"/>
    <x v="0"/>
    <n v="7.3549999999999995"/>
    <n v="3.9348484848484848E-2"/>
  </r>
  <r>
    <n v="11.5"/>
    <n v="0.59"/>
    <n v="0.59"/>
    <n v="2.6"/>
    <n v="8.6999999999999994E-2"/>
    <n v="13"/>
    <n v="49"/>
    <n v="0.99880000000000002"/>
    <x v="64"/>
    <n v="0.65"/>
    <x v="27"/>
    <x v="1"/>
    <x v="0"/>
    <n v="12.68"/>
    <n v="3.4863636363636367E-2"/>
  </r>
  <r>
    <n v="11.5"/>
    <n v="0.59"/>
    <n v="0.59"/>
    <n v="2.6"/>
    <n v="8.6999999999999994E-2"/>
    <n v="13"/>
    <n v="49"/>
    <n v="0.99880000000000002"/>
    <x v="64"/>
    <n v="0.65"/>
    <x v="27"/>
    <x v="1"/>
    <x v="0"/>
    <n v="12.68"/>
    <n v="3.4863636363636367E-2"/>
  </r>
  <r>
    <n v="8.6999999999999993"/>
    <n v="0.76500000000000001"/>
    <n v="0.22"/>
    <n v="2.2999999999999998"/>
    <n v="6.4000000000000001E-2"/>
    <n v="9"/>
    <n v="42"/>
    <n v="0.99629999999999996"/>
    <x v="60"/>
    <n v="0.55000000000000004"/>
    <x v="0"/>
    <x v="0"/>
    <x v="0"/>
    <n v="9.6850000000000005"/>
    <n v="4.4760638297872343E-2"/>
  </r>
  <r>
    <n v="6.6"/>
    <n v="0.73499999999999999"/>
    <n v="0.02"/>
    <n v="7.9"/>
    <n v="0.122"/>
    <n v="68"/>
    <n v="124"/>
    <n v="0.99939999999999996"/>
    <x v="17"/>
    <n v="0.53"/>
    <x v="6"/>
    <x v="0"/>
    <x v="0"/>
    <n v="7.3549999999999995"/>
    <n v="3.9348484848484848E-2"/>
  </r>
  <r>
    <n v="7.7"/>
    <n v="0.26"/>
    <n v="0.3"/>
    <n v="1.7"/>
    <n v="5.9000000000000004E-2"/>
    <n v="20"/>
    <n v="38"/>
    <n v="0.99490000000000001"/>
    <x v="40"/>
    <n v="0.47"/>
    <x v="14"/>
    <x v="1"/>
    <x v="0"/>
    <n v="8.26"/>
    <n v="1.1314814814814814E-2"/>
  </r>
  <r>
    <n v="12.2"/>
    <n v="0.48"/>
    <n v="0.54"/>
    <n v="2.6"/>
    <n v="8.5000000000000006E-2"/>
    <n v="19"/>
    <n v="64"/>
    <n v="1"/>
    <x v="60"/>
    <n v="0.61"/>
    <x v="4"/>
    <x v="1"/>
    <x v="0"/>
    <n v="13.219999999999999"/>
    <n v="2.7885714285714285E-2"/>
  </r>
  <r>
    <n v="11.4"/>
    <n v="0.6"/>
    <n v="0.49"/>
    <n v="2.7"/>
    <n v="8.5000000000000006E-2"/>
    <n v="10"/>
    <n v="41"/>
    <n v="0.99939999999999996"/>
    <x v="30"/>
    <n v="0.63"/>
    <x v="4"/>
    <x v="1"/>
    <x v="0"/>
    <n v="12.49"/>
    <n v="3.5999999999999997E-2"/>
  </r>
  <r>
    <n v="7.7"/>
    <n v="0.69"/>
    <n v="0.05"/>
    <n v="2.7"/>
    <n v="7.4999999999999997E-2"/>
    <n v="15"/>
    <n v="27"/>
    <n v="0.99739999999999995"/>
    <x v="2"/>
    <n v="0.61"/>
    <x v="7"/>
    <x v="0"/>
    <x v="0"/>
    <n v="8.4400000000000013"/>
    <n v="4.6252747252747251E-2"/>
  </r>
  <r>
    <n v="8.6999999999999993"/>
    <n v="0.31"/>
    <n v="0.46"/>
    <n v="1.4"/>
    <n v="5.9000000000000004E-2"/>
    <n v="11"/>
    <n v="25"/>
    <n v="0.99660000000000004"/>
    <x v="6"/>
    <n v="0.76"/>
    <x v="11"/>
    <x v="1"/>
    <x v="0"/>
    <n v="9.4700000000000006"/>
    <n v="2.3326732673267327E-2"/>
  </r>
  <r>
    <n v="9.8000000000000007"/>
    <n v="0.44"/>
    <n v="0.47"/>
    <n v="2.5"/>
    <n v="6.3E-2"/>
    <n v="9"/>
    <n v="28"/>
    <n v="0.99809999999999999"/>
    <x v="47"/>
    <n v="0.65"/>
    <x v="14"/>
    <x v="1"/>
    <x v="0"/>
    <n v="10.71"/>
    <n v="2.6481481481481484E-2"/>
  </r>
  <r>
    <n v="12"/>
    <n v="0.39"/>
    <n v="0.66"/>
    <n v="3"/>
    <n v="9.3000000000000013E-2"/>
    <n v="12"/>
    <n v="30"/>
    <n v="0.99960000000000004"/>
    <x v="64"/>
    <n v="0.63"/>
    <x v="14"/>
    <x v="2"/>
    <x v="1"/>
    <n v="13.05"/>
    <n v="2.2749999999999999E-2"/>
  </r>
  <r>
    <n v="10.4"/>
    <n v="0.34"/>
    <n v="0.57999999999999996"/>
    <n v="3.7"/>
    <n v="0.17399999999999999"/>
    <n v="6"/>
    <n v="16"/>
    <n v="0.997"/>
    <x v="43"/>
    <n v="0.7"/>
    <x v="33"/>
    <x v="1"/>
    <x v="0"/>
    <n v="11.32"/>
    <n v="2.1061946902654866E-2"/>
  </r>
  <r>
    <n v="12.5"/>
    <n v="0.46"/>
    <n v="0.49"/>
    <n v="4.5"/>
    <n v="7.0000000000000007E-2"/>
    <n v="26"/>
    <n v="49"/>
    <n v="0.99809999999999999"/>
    <x v="61"/>
    <n v="0.56999999999999995"/>
    <x v="13"/>
    <x v="3"/>
    <x v="2"/>
    <n v="13.450000000000001"/>
    <n v="2.73125E-2"/>
  </r>
  <r>
    <n v="9"/>
    <n v="0.43"/>
    <n v="0.34"/>
    <n v="2.5"/>
    <n v="0.08"/>
    <n v="26"/>
    <n v="86"/>
    <n v="0.99870000000000003"/>
    <x v="12"/>
    <n v="0.62"/>
    <x v="3"/>
    <x v="1"/>
    <x v="0"/>
    <n v="9.77"/>
    <n v="2.8063157894736842E-2"/>
  </r>
  <r>
    <n v="9.1"/>
    <n v="0.45"/>
    <n v="0.35"/>
    <n v="2.4"/>
    <n v="0.08"/>
    <n v="23"/>
    <n v="78"/>
    <n v="0.99870000000000003"/>
    <x v="12"/>
    <n v="0.62"/>
    <x v="3"/>
    <x v="0"/>
    <x v="0"/>
    <n v="9.8999999999999986"/>
    <n v="2.9368421052631582E-2"/>
  </r>
  <r>
    <n v="7.1"/>
    <n v="0.73499999999999999"/>
    <n v="0.16"/>
    <n v="1.9"/>
    <n v="0.1"/>
    <n v="15"/>
    <n v="77"/>
    <n v="0.99660000000000004"/>
    <x v="63"/>
    <n v="0.64"/>
    <x v="8"/>
    <x v="0"/>
    <x v="0"/>
    <n v="7.9950000000000001"/>
    <n v="5.0580645161290315E-2"/>
  </r>
  <r>
    <n v="9.9"/>
    <n v="0.4"/>
    <n v="0.53"/>
    <n v="6.7"/>
    <n v="9.6999999999999989E-2"/>
    <n v="6"/>
    <n v="19"/>
    <n v="0.99860000000000004"/>
    <x v="63"/>
    <n v="0.82"/>
    <x v="32"/>
    <x v="2"/>
    <x v="1"/>
    <n v="10.83"/>
    <n v="2.8034188034188036E-2"/>
  </r>
  <r>
    <n v="8.8000000000000007"/>
    <n v="0.52"/>
    <n v="0.34"/>
    <n v="2.7"/>
    <n v="8.6999999999999994E-2"/>
    <n v="24"/>
    <n v="122"/>
    <n v="0.99819999999999998"/>
    <x v="2"/>
    <n v="0.61"/>
    <x v="3"/>
    <x v="0"/>
    <x v="0"/>
    <n v="9.66"/>
    <n v="3.3389473684210524E-2"/>
  </r>
  <r>
    <n v="8.6"/>
    <n v="0.72499999999999998"/>
    <n v="0.24"/>
    <n v="6.6"/>
    <n v="0.11699999999999999"/>
    <n v="31"/>
    <n v="134"/>
    <n v="1.0014000000000001"/>
    <x v="29"/>
    <n v="1.07"/>
    <x v="8"/>
    <x v="0"/>
    <x v="0"/>
    <n v="9.5649999999999995"/>
    <n v="8.3413978494623661E-2"/>
  </r>
  <r>
    <n v="10.6"/>
    <n v="0.48"/>
    <n v="0.64"/>
    <n v="2.2000000000000002"/>
    <n v="0.111"/>
    <n v="6"/>
    <n v="20"/>
    <n v="0.997"/>
    <x v="2"/>
    <n v="0.66"/>
    <x v="32"/>
    <x v="1"/>
    <x v="0"/>
    <n v="11.72"/>
    <n v="2.7076923076923082E-2"/>
  </r>
  <r>
    <n v="7"/>
    <n v="0.57999999999999996"/>
    <n v="0.12"/>
    <n v="1.9"/>
    <n v="9.0999999999999998E-2"/>
    <n v="34"/>
    <n v="124"/>
    <n v="0.99560000000000004"/>
    <x v="32"/>
    <n v="0.48"/>
    <x v="4"/>
    <x v="0"/>
    <x v="0"/>
    <n v="7.7"/>
    <n v="2.6514285714285712E-2"/>
  </r>
  <r>
    <n v="11.9"/>
    <n v="0.38"/>
    <n v="0.51"/>
    <n v="2"/>
    <n v="0.121"/>
    <n v="7"/>
    <n v="20"/>
    <n v="0.99960000000000004"/>
    <x v="47"/>
    <n v="0.76"/>
    <x v="21"/>
    <x v="1"/>
    <x v="0"/>
    <n v="12.790000000000001"/>
    <n v="2.7769230769230768E-2"/>
  </r>
  <r>
    <n v="6.8"/>
    <n v="0.77"/>
    <n v="0"/>
    <n v="1.8"/>
    <n v="6.6000000000000003E-2"/>
    <n v="34"/>
    <n v="52"/>
    <n v="0.99760000000000004"/>
    <x v="71"/>
    <n v="0.68"/>
    <x v="6"/>
    <x v="0"/>
    <x v="0"/>
    <n v="7.57"/>
    <n v="5.2888888888888895E-2"/>
  </r>
  <r>
    <n v="9.5"/>
    <n v="0.56000000000000005"/>
    <n v="0.33"/>
    <n v="2.4"/>
    <n v="8.900000000000001E-2"/>
    <n v="35"/>
    <n v="67"/>
    <n v="0.99719999999999998"/>
    <x v="8"/>
    <n v="0.73"/>
    <x v="37"/>
    <x v="2"/>
    <x v="1"/>
    <n v="10.39"/>
    <n v="3.4644067796610174E-2"/>
  </r>
  <r>
    <n v="6.6"/>
    <n v="0.84"/>
    <n v="0.03"/>
    <n v="2.2999999999999998"/>
    <n v="5.9000000000000004E-2"/>
    <n v="32"/>
    <n v="48"/>
    <n v="0.99519999999999997"/>
    <x v="14"/>
    <n v="0.56000000000000005"/>
    <x v="34"/>
    <x v="2"/>
    <x v="1"/>
    <n v="7.47"/>
    <n v="3.824390243902439E-2"/>
  </r>
  <r>
    <n v="7.7"/>
    <n v="0.96"/>
    <n v="0.2"/>
    <n v="2"/>
    <n v="4.7E-2"/>
    <n v="15"/>
    <n v="60"/>
    <n v="0.99550000000000005"/>
    <x v="6"/>
    <n v="0.44"/>
    <x v="18"/>
    <x v="0"/>
    <x v="0"/>
    <n v="8.86"/>
    <n v="3.8752293577981649E-2"/>
  </r>
  <r>
    <n v="10.5"/>
    <n v="0.24"/>
    <n v="0.47"/>
    <n v="2.1"/>
    <n v="6.6000000000000003E-2"/>
    <n v="6"/>
    <n v="24"/>
    <n v="0.99780000000000002"/>
    <x v="30"/>
    <n v="0.9"/>
    <x v="27"/>
    <x v="2"/>
    <x v="1"/>
    <n v="11.21"/>
    <n v="1.9636363636363636E-2"/>
  </r>
  <r>
    <n v="7.7"/>
    <n v="0.96"/>
    <n v="0.2"/>
    <n v="2"/>
    <n v="4.7E-2"/>
    <n v="15"/>
    <n v="60"/>
    <n v="0.99550000000000005"/>
    <x v="6"/>
    <n v="0.44"/>
    <x v="18"/>
    <x v="0"/>
    <x v="0"/>
    <n v="8.86"/>
    <n v="3.8752293577981649E-2"/>
  </r>
  <r>
    <n v="6.6"/>
    <n v="0.84"/>
    <n v="0.03"/>
    <n v="2.2999999999999998"/>
    <n v="5.9000000000000004E-2"/>
    <n v="32"/>
    <n v="48"/>
    <n v="0.99519999999999997"/>
    <x v="14"/>
    <n v="0.56000000000000005"/>
    <x v="34"/>
    <x v="2"/>
    <x v="1"/>
    <n v="7.47"/>
    <n v="3.824390243902439E-2"/>
  </r>
  <r>
    <n v="6.4"/>
    <n v="0.67"/>
    <n v="0.08"/>
    <n v="2.1"/>
    <n v="4.4999999999999998E-2"/>
    <n v="19"/>
    <n v="48"/>
    <n v="0.99490000000000001"/>
    <x v="45"/>
    <n v="0.49"/>
    <x v="25"/>
    <x v="1"/>
    <x v="0"/>
    <n v="7.15"/>
    <n v="2.879824561403509E-2"/>
  </r>
  <r>
    <n v="9.5"/>
    <n v="0.78"/>
    <n v="0.22"/>
    <n v="1.9"/>
    <n v="7.6999999999999999E-2"/>
    <n v="6"/>
    <n v="32"/>
    <n v="0.99880000000000002"/>
    <x v="2"/>
    <n v="0.56000000000000005"/>
    <x v="12"/>
    <x v="1"/>
    <x v="0"/>
    <n v="10.5"/>
    <n v="4.1207547169811329E-2"/>
  </r>
  <r>
    <n v="9.1"/>
    <n v="0.52"/>
    <n v="0.33"/>
    <n v="1.3"/>
    <n v="7.0000000000000007E-2"/>
    <n v="9"/>
    <n v="30"/>
    <n v="0.99780000000000002"/>
    <x v="47"/>
    <n v="0.6"/>
    <x v="8"/>
    <x v="0"/>
    <x v="0"/>
    <n v="9.9499999999999993"/>
    <n v="3.3548387096774192E-2"/>
  </r>
  <r>
    <n v="12.8"/>
    <n v="0.84"/>
    <n v="0.63"/>
    <n v="2.4"/>
    <n v="8.8000000000000009E-2"/>
    <n v="13"/>
    <n v="35"/>
    <n v="0.99970000000000003"/>
    <x v="60"/>
    <n v="0.6"/>
    <x v="21"/>
    <x v="1"/>
    <x v="0"/>
    <n v="14.270000000000001"/>
    <n v="4.8461538461538459E-2"/>
  </r>
  <r>
    <n v="10.5"/>
    <n v="0.24"/>
    <n v="0.47"/>
    <n v="2.1"/>
    <n v="6.6000000000000003E-2"/>
    <n v="6"/>
    <n v="24"/>
    <n v="0.99780000000000002"/>
    <x v="30"/>
    <n v="0.9"/>
    <x v="27"/>
    <x v="2"/>
    <x v="1"/>
    <n v="11.21"/>
    <n v="1.9636363636363636E-2"/>
  </r>
  <r>
    <n v="7.8"/>
    <n v="0.55000000000000004"/>
    <n v="0.35"/>
    <n v="2.2000000000000002"/>
    <n v="7.400000000000001E-2"/>
    <n v="21"/>
    <n v="66"/>
    <n v="0.99739999999999995"/>
    <x v="28"/>
    <n v="0.56000000000000005"/>
    <x v="5"/>
    <x v="0"/>
    <x v="0"/>
    <n v="8.6999999999999993"/>
    <n v="3.3478260869565228E-2"/>
  </r>
  <r>
    <n v="11.9"/>
    <n v="0.37"/>
    <n v="0.69"/>
    <n v="2.2999999999999998"/>
    <n v="7.8E-2"/>
    <n v="12"/>
    <n v="24"/>
    <n v="0.99580000000000002"/>
    <x v="53"/>
    <n v="0.65"/>
    <x v="29"/>
    <x v="1"/>
    <x v="0"/>
    <n v="12.959999999999999"/>
    <n v="1.8789062499999998E-2"/>
  </r>
  <r>
    <n v="12.3"/>
    <n v="0.39"/>
    <n v="0.63"/>
    <n v="2.2999999999999998"/>
    <n v="9.0999999999999998E-2"/>
    <n v="6"/>
    <n v="18"/>
    <n v="1.0004"/>
    <x v="3"/>
    <n v="0.49"/>
    <x v="3"/>
    <x v="0"/>
    <x v="0"/>
    <n v="13.320000000000002"/>
    <n v="2.0115789473684208E-2"/>
  </r>
  <r>
    <n v="10.4"/>
    <n v="0.41"/>
    <n v="0.55000000000000004"/>
    <n v="3.2"/>
    <n v="7.5999999999999998E-2"/>
    <n v="22"/>
    <n v="54"/>
    <n v="0.99960000000000004"/>
    <x v="30"/>
    <n v="0.89"/>
    <x v="6"/>
    <x v="1"/>
    <x v="0"/>
    <n v="11.360000000000001"/>
    <n v="3.6858585858585854E-2"/>
  </r>
  <r>
    <n v="12.3"/>
    <n v="0.39"/>
    <n v="0.63"/>
    <n v="2.2999999999999998"/>
    <n v="9.0999999999999998E-2"/>
    <n v="6"/>
    <n v="18"/>
    <n v="1.0004"/>
    <x v="3"/>
    <n v="0.49"/>
    <x v="3"/>
    <x v="0"/>
    <x v="0"/>
    <n v="13.320000000000002"/>
    <n v="2.0115789473684208E-2"/>
  </r>
  <r>
    <n v="8"/>
    <n v="0.67"/>
    <n v="0.3"/>
    <n v="2"/>
    <n v="0.06"/>
    <n v="38"/>
    <n v="62"/>
    <n v="0.99580000000000002"/>
    <x v="2"/>
    <n v="0.56000000000000005"/>
    <x v="17"/>
    <x v="1"/>
    <x v="0"/>
    <n v="8.9700000000000006"/>
    <n v="3.6784313725490202E-2"/>
  </r>
  <r>
    <n v="11.1"/>
    <n v="0.45"/>
    <n v="0.73"/>
    <n v="3.2"/>
    <n v="6.6000000000000003E-2"/>
    <n v="6"/>
    <n v="22"/>
    <n v="0.99860000000000004"/>
    <x v="10"/>
    <n v="0.66"/>
    <x v="40"/>
    <x v="1"/>
    <x v="0"/>
    <n v="12.28"/>
    <n v="2.6517857142857149E-2"/>
  </r>
  <r>
    <n v="10.4"/>
    <n v="0.41"/>
    <n v="0.55000000000000004"/>
    <n v="3.2"/>
    <n v="7.5999999999999998E-2"/>
    <n v="22"/>
    <n v="54"/>
    <n v="0.99960000000000004"/>
    <x v="30"/>
    <n v="0.89"/>
    <x v="6"/>
    <x v="1"/>
    <x v="0"/>
    <n v="11.360000000000001"/>
    <n v="3.6858585858585854E-2"/>
  </r>
  <r>
    <n v="7"/>
    <n v="0.62"/>
    <n v="0.18"/>
    <n v="1.5"/>
    <n v="6.2E-2"/>
    <n v="7"/>
    <n v="50"/>
    <n v="0.99509999999999998"/>
    <x v="41"/>
    <n v="0.6"/>
    <x v="8"/>
    <x v="0"/>
    <x v="0"/>
    <n v="7.8"/>
    <n v="3.9999999999999994E-2"/>
  </r>
  <r>
    <n v="12.6"/>
    <n v="0.31"/>
    <n v="0.72"/>
    <n v="2.2000000000000002"/>
    <n v="7.2000000000000008E-2"/>
    <n v="6"/>
    <n v="29"/>
    <n v="0.99870000000000003"/>
    <x v="72"/>
    <n v="0.82"/>
    <x v="1"/>
    <x v="4"/>
    <x v="1"/>
    <n v="13.63"/>
    <n v="2.5938775510204078E-2"/>
  </r>
  <r>
    <n v="11.9"/>
    <n v="0.4"/>
    <n v="0.65"/>
    <n v="2.15"/>
    <n v="6.8000000000000005E-2"/>
    <n v="7"/>
    <n v="27"/>
    <n v="0.99880000000000002"/>
    <x v="57"/>
    <n v="0.68"/>
    <x v="33"/>
    <x v="1"/>
    <x v="0"/>
    <n v="12.950000000000001"/>
    <n v="2.4070796460176992E-2"/>
  </r>
  <r>
    <n v="15.6"/>
    <n v="0.68500000000000005"/>
    <n v="0.76"/>
    <n v="3.7"/>
    <n v="0.1"/>
    <n v="6"/>
    <n v="43"/>
    <n v="1.0032000000000001"/>
    <x v="73"/>
    <n v="0.68"/>
    <x v="40"/>
    <x v="2"/>
    <x v="1"/>
    <n v="17.045000000000002"/>
    <n v="4.1589285714285724E-2"/>
  </r>
  <r>
    <n v="10"/>
    <n v="0.44"/>
    <n v="0.49"/>
    <n v="2.7"/>
    <n v="7.6999999999999999E-2"/>
    <n v="11"/>
    <n v="19"/>
    <n v="0.99629999999999996"/>
    <x v="22"/>
    <n v="0.63"/>
    <x v="41"/>
    <x v="2"/>
    <x v="1"/>
    <n v="10.93"/>
    <n v="2.3896551724137932E-2"/>
  </r>
  <r>
    <n v="5.3"/>
    <n v="0.56999999999999995"/>
    <n v="0.01"/>
    <n v="1.7"/>
    <n v="5.4000000000000006E-2"/>
    <n v="5"/>
    <n v="27"/>
    <n v="0.99339999999999995"/>
    <x v="55"/>
    <n v="0.84"/>
    <x v="31"/>
    <x v="2"/>
    <x v="1"/>
    <n v="5.88"/>
    <n v="3.8303999999999998E-2"/>
  </r>
  <r>
    <n v="9.5"/>
    <n v="0.73499999999999999"/>
    <n v="0.1"/>
    <n v="2.1"/>
    <n v="7.9000000000000001E-2"/>
    <n v="6"/>
    <n v="31"/>
    <n v="0.99860000000000004"/>
    <x v="22"/>
    <n v="0.56000000000000005"/>
    <x v="11"/>
    <x v="1"/>
    <x v="0"/>
    <n v="10.334999999999999"/>
    <n v="4.0752475247524754E-2"/>
  </r>
  <r>
    <n v="12.5"/>
    <n v="0.38"/>
    <n v="0.6"/>
    <n v="2.6"/>
    <n v="8.1000000000000003E-2"/>
    <n v="31"/>
    <n v="72"/>
    <n v="0.99960000000000004"/>
    <x v="60"/>
    <n v="0.73"/>
    <x v="4"/>
    <x v="0"/>
    <x v="0"/>
    <n v="13.48"/>
    <n v="2.6419047619047616E-2"/>
  </r>
  <r>
    <n v="9.3000000000000007"/>
    <n v="0.48"/>
    <n v="0.28999999999999998"/>
    <n v="2.1"/>
    <n v="0.127"/>
    <n v="6"/>
    <n v="16"/>
    <n v="0.99680000000000002"/>
    <x v="49"/>
    <n v="0.72"/>
    <x v="40"/>
    <x v="0"/>
    <x v="0"/>
    <n v="10.07"/>
    <n v="3.0857142857142857E-2"/>
  </r>
  <r>
    <n v="8.6"/>
    <n v="0.53"/>
    <n v="0.22"/>
    <n v="2"/>
    <n v="0.1"/>
    <n v="7"/>
    <n v="27"/>
    <n v="0.99670000000000003"/>
    <x v="1"/>
    <n v="0.56000000000000005"/>
    <x v="17"/>
    <x v="1"/>
    <x v="0"/>
    <n v="9.35"/>
    <n v="2.9098039215686284E-2"/>
  </r>
  <r>
    <n v="11.9"/>
    <n v="0.39"/>
    <n v="0.69"/>
    <n v="2.8"/>
    <n v="9.5000000000000001E-2"/>
    <n v="17"/>
    <n v="35"/>
    <n v="0.99939999999999996"/>
    <x v="60"/>
    <n v="0.61"/>
    <x v="14"/>
    <x v="1"/>
    <x v="0"/>
    <n v="12.98"/>
    <n v="2.2027777777777778E-2"/>
  </r>
  <r>
    <n v="11.9"/>
    <n v="0.39"/>
    <n v="0.69"/>
    <n v="2.8"/>
    <n v="9.5000000000000001E-2"/>
    <n v="17"/>
    <n v="35"/>
    <n v="0.99939999999999996"/>
    <x v="60"/>
    <n v="0.61"/>
    <x v="14"/>
    <x v="1"/>
    <x v="0"/>
    <n v="12.98"/>
    <n v="2.2027777777777778E-2"/>
  </r>
  <r>
    <n v="8.4"/>
    <n v="0.37"/>
    <n v="0.53"/>
    <n v="1.8"/>
    <n v="0.41299999999999998"/>
    <n v="9"/>
    <n v="26"/>
    <n v="0.99790000000000001"/>
    <x v="57"/>
    <n v="1.06"/>
    <x v="7"/>
    <x v="1"/>
    <x v="0"/>
    <n v="9.2999999999999989"/>
    <n v="4.3098901098901098E-2"/>
  </r>
  <r>
    <n v="6.8"/>
    <n v="0.56000000000000005"/>
    <n v="0.03"/>
    <n v="1.7"/>
    <n v="8.4000000000000005E-2"/>
    <n v="18"/>
    <n v="35"/>
    <n v="0.99680000000000002"/>
    <x v="32"/>
    <n v="0.63"/>
    <x v="2"/>
    <x v="1"/>
    <x v="0"/>
    <n v="7.39"/>
    <n v="3.5280000000000006E-2"/>
  </r>
  <r>
    <n v="10.4"/>
    <n v="0.33"/>
    <n v="0.63"/>
    <n v="2.8"/>
    <n v="8.4000000000000005E-2"/>
    <n v="5"/>
    <n v="22"/>
    <n v="0.99980000000000002"/>
    <x v="2"/>
    <n v="0.74"/>
    <x v="40"/>
    <x v="2"/>
    <x v="1"/>
    <n v="11.360000000000001"/>
    <n v="2.1803571428571429E-2"/>
  </r>
  <r>
    <n v="7"/>
    <n v="0.23"/>
    <n v="0.4"/>
    <n v="1.6"/>
    <n v="6.3E-2"/>
    <n v="21"/>
    <n v="67"/>
    <n v="0.99519999999999997"/>
    <x v="23"/>
    <n v="0.63"/>
    <x v="42"/>
    <x v="0"/>
    <x v="0"/>
    <n v="7.6300000000000008"/>
    <n v="1.3054054054054055E-2"/>
  </r>
  <r>
    <n v="11.3"/>
    <n v="0.62"/>
    <n v="0.67"/>
    <n v="5.2"/>
    <n v="8.5999999999999993E-2"/>
    <n v="6"/>
    <n v="19"/>
    <n v="0.99880000000000002"/>
    <x v="49"/>
    <n v="0.69"/>
    <x v="43"/>
    <x v="4"/>
    <x v="1"/>
    <n v="12.59"/>
    <n v="3.1925373134328354E-2"/>
  </r>
  <r>
    <n v="8.9"/>
    <n v="0.59"/>
    <n v="0.39"/>
    <n v="2.2999999999999998"/>
    <n v="9.5000000000000001E-2"/>
    <n v="5"/>
    <n v="22"/>
    <n v="0.99860000000000004"/>
    <x v="42"/>
    <n v="0.57999999999999996"/>
    <x v="15"/>
    <x v="0"/>
    <x v="0"/>
    <n v="9.8800000000000008"/>
    <n v="3.3223300970873781E-2"/>
  </r>
  <r>
    <n v="9.1999999999999993"/>
    <n v="0.63"/>
    <n v="0.21"/>
    <n v="2.7"/>
    <n v="9.6999999999999989E-2"/>
    <n v="29"/>
    <n v="65"/>
    <n v="0.99880000000000002"/>
    <x v="8"/>
    <n v="0.57999999999999996"/>
    <x v="13"/>
    <x v="0"/>
    <x v="0"/>
    <n v="10.040000000000001"/>
    <n v="3.8062499999999999E-2"/>
  </r>
  <r>
    <n v="10.4"/>
    <n v="0.33"/>
    <n v="0.63"/>
    <n v="2.8"/>
    <n v="8.4000000000000005E-2"/>
    <n v="5"/>
    <n v="22"/>
    <n v="0.99980000000000002"/>
    <x v="2"/>
    <n v="0.74"/>
    <x v="40"/>
    <x v="2"/>
    <x v="1"/>
    <n v="11.360000000000001"/>
    <n v="2.1803571428571429E-2"/>
  </r>
  <r>
    <n v="11.6"/>
    <n v="0.57999999999999996"/>
    <n v="0.66"/>
    <n v="2.2000000000000002"/>
    <n v="7.400000000000001E-2"/>
    <n v="10"/>
    <n v="47"/>
    <n v="1.0007999999999999"/>
    <x v="28"/>
    <n v="0.56999999999999995"/>
    <x v="9"/>
    <x v="5"/>
    <x v="2"/>
    <n v="12.84"/>
    <n v="3.6733333333333326E-2"/>
  </r>
  <r>
    <n v="9.1999999999999993"/>
    <n v="0.43"/>
    <n v="0.52"/>
    <n v="2.2999999999999998"/>
    <n v="8.3000000000000004E-2"/>
    <n v="14"/>
    <n v="23"/>
    <n v="0.99760000000000004"/>
    <x v="7"/>
    <n v="0.61"/>
    <x v="33"/>
    <x v="1"/>
    <x v="0"/>
    <n v="10.149999999999999"/>
    <n v="2.3212389380530971E-2"/>
  </r>
  <r>
    <n v="8.3000000000000007"/>
    <n v="0.61499999999999999"/>
    <n v="0.22"/>
    <n v="2.6"/>
    <n v="8.6999999999999994E-2"/>
    <n v="6"/>
    <n v="19"/>
    <n v="0.99819999999999998"/>
    <x v="2"/>
    <n v="0.61"/>
    <x v="8"/>
    <x v="0"/>
    <x v="0"/>
    <n v="9.1350000000000016"/>
    <n v="4.033870967741935E-2"/>
  </r>
  <r>
    <n v="11"/>
    <n v="0.26"/>
    <n v="0.68"/>
    <n v="2.5499999999999998"/>
    <n v="8.5000000000000006E-2"/>
    <n v="10"/>
    <n v="25"/>
    <n v="0.997"/>
    <x v="64"/>
    <n v="0.61"/>
    <x v="37"/>
    <x v="0"/>
    <x v="0"/>
    <n v="11.94"/>
    <n v="1.3440677966101693E-2"/>
  </r>
  <r>
    <n v="8.1"/>
    <n v="0.66"/>
    <n v="0.7"/>
    <n v="2.2000000000000002"/>
    <n v="9.8000000000000004E-2"/>
    <n v="25"/>
    <n v="129"/>
    <n v="0.99719999999999998"/>
    <x v="41"/>
    <n v="0.53"/>
    <x v="9"/>
    <x v="0"/>
    <x v="0"/>
    <n v="9.4599999999999991"/>
    <n v="3.8866666666666674E-2"/>
  </r>
  <r>
    <n v="11.5"/>
    <n v="0.315"/>
    <n v="0.54"/>
    <n v="2.1"/>
    <n v="8.4000000000000005E-2"/>
    <n v="5"/>
    <n v="15"/>
    <n v="0.99870000000000003"/>
    <x v="74"/>
    <n v="0.7"/>
    <x v="5"/>
    <x v="1"/>
    <x v="0"/>
    <n v="12.355"/>
    <n v="2.3967391304347826E-2"/>
  </r>
  <r>
    <n v="10"/>
    <n v="0.28999999999999998"/>
    <n v="0.4"/>
    <n v="2.9"/>
    <n v="9.8000000000000004E-2"/>
    <n v="10"/>
    <n v="26"/>
    <n v="1.0005999999999999"/>
    <x v="26"/>
    <n v="0.91"/>
    <x v="10"/>
    <x v="0"/>
    <x v="0"/>
    <n v="10.69"/>
    <n v="2.7206185567010308E-2"/>
  </r>
  <r>
    <n v="10.3"/>
    <n v="0.5"/>
    <n v="0.42"/>
    <n v="2"/>
    <n v="6.9000000000000006E-2"/>
    <n v="21"/>
    <n v="51"/>
    <n v="0.99819999999999998"/>
    <x v="3"/>
    <n v="0.72"/>
    <x v="24"/>
    <x v="1"/>
    <x v="0"/>
    <n v="11.22"/>
    <n v="3.1304347826086952E-2"/>
  </r>
  <r>
    <n v="8.8000000000000007"/>
    <n v="0.46"/>
    <n v="0.45"/>
    <n v="2.6"/>
    <n v="6.5000000000000002E-2"/>
    <n v="7"/>
    <n v="18"/>
    <n v="0.99470000000000003"/>
    <x v="29"/>
    <n v="0.79"/>
    <x v="23"/>
    <x v="1"/>
    <x v="0"/>
    <n v="9.7100000000000009"/>
    <n v="2.5957142857142863E-2"/>
  </r>
  <r>
    <n v="11.4"/>
    <n v="0.36"/>
    <n v="0.69"/>
    <n v="2.1"/>
    <n v="0.09"/>
    <n v="6"/>
    <n v="21"/>
    <n v="1"/>
    <x v="10"/>
    <n v="0.62"/>
    <x v="5"/>
    <x v="1"/>
    <x v="0"/>
    <n v="12.45"/>
    <n v="2.4260869565217391E-2"/>
  </r>
  <r>
    <n v="8.6999999999999993"/>
    <n v="0.82"/>
    <n v="0.02"/>
    <n v="1.2"/>
    <n v="7.0000000000000007E-2"/>
    <n v="36"/>
    <n v="48"/>
    <n v="0.99519999999999997"/>
    <x v="1"/>
    <n v="0.57999999999999996"/>
    <x v="1"/>
    <x v="0"/>
    <x v="0"/>
    <n v="9.5399999999999991"/>
    <n v="4.853061224489795E-2"/>
  </r>
  <r>
    <n v="13"/>
    <n v="0.32"/>
    <n v="0.65"/>
    <n v="2.6"/>
    <n v="9.3000000000000013E-2"/>
    <n v="15"/>
    <n v="47"/>
    <n v="0.99960000000000004"/>
    <x v="61"/>
    <n v="0.61"/>
    <x v="12"/>
    <x v="0"/>
    <x v="0"/>
    <n v="13.97"/>
    <n v="1.8415094339622642E-2"/>
  </r>
  <r>
    <n v="9.6"/>
    <n v="0.54"/>
    <n v="0.42"/>
    <n v="2.4"/>
    <n v="8.1000000000000003E-2"/>
    <n v="25"/>
    <n v="52"/>
    <n v="0.997"/>
    <x v="1"/>
    <n v="0.71"/>
    <x v="25"/>
    <x v="1"/>
    <x v="0"/>
    <n v="10.56"/>
    <n v="3.3631578947368422E-2"/>
  </r>
  <r>
    <n v="12.5"/>
    <n v="0.37"/>
    <n v="0.55000000000000004"/>
    <n v="2.6"/>
    <n v="8.3000000000000004E-2"/>
    <n v="25"/>
    <n v="68"/>
    <n v="0.99950000000000006"/>
    <x v="30"/>
    <n v="0.82"/>
    <x v="21"/>
    <x v="1"/>
    <x v="0"/>
    <n v="13.42"/>
    <n v="2.9173076923076923E-2"/>
  </r>
  <r>
    <n v="9.9"/>
    <n v="0.35"/>
    <n v="0.55000000000000004"/>
    <n v="2.1"/>
    <n v="6.2E-2"/>
    <n v="5"/>
    <n v="14"/>
    <n v="0.99709999999999999"/>
    <x v="2"/>
    <n v="0.79"/>
    <x v="12"/>
    <x v="0"/>
    <x v="0"/>
    <n v="10.8"/>
    <n v="2.6084905660377355E-2"/>
  </r>
  <r>
    <n v="10.5"/>
    <n v="0.28000000000000003"/>
    <n v="0.51"/>
    <n v="1.7"/>
    <n v="0.08"/>
    <n v="10"/>
    <n v="24"/>
    <n v="0.99819999999999998"/>
    <x v="1"/>
    <n v="0.89"/>
    <x v="0"/>
    <x v="1"/>
    <x v="0"/>
    <n v="11.29"/>
    <n v="2.6510638297872344E-2"/>
  </r>
  <r>
    <n v="9.6"/>
    <n v="0.68"/>
    <n v="0.24"/>
    <n v="2.2000000000000002"/>
    <n v="8.6999999999999994E-2"/>
    <n v="5"/>
    <n v="28"/>
    <n v="0.99880000000000002"/>
    <x v="37"/>
    <n v="0.6"/>
    <x v="17"/>
    <x v="0"/>
    <x v="0"/>
    <n v="10.52"/>
    <n v="4.0000000000000008E-2"/>
  </r>
  <r>
    <n v="9.3000000000000007"/>
    <n v="0.27"/>
    <n v="0.41"/>
    <n v="2"/>
    <n v="9.0999999999999998E-2"/>
    <n v="6"/>
    <n v="16"/>
    <n v="0.998"/>
    <x v="8"/>
    <n v="0.7"/>
    <x v="10"/>
    <x v="0"/>
    <x v="0"/>
    <n v="9.98"/>
    <n v="1.9484536082474229E-2"/>
  </r>
  <r>
    <n v="10.4"/>
    <n v="0.24"/>
    <n v="0.49"/>
    <n v="1.8"/>
    <n v="7.4999999999999997E-2"/>
    <n v="6"/>
    <n v="20"/>
    <n v="0.99770000000000003"/>
    <x v="64"/>
    <n v="1.06"/>
    <x v="27"/>
    <x v="1"/>
    <x v="0"/>
    <n v="11.13"/>
    <n v="2.3127272727272729E-2"/>
  </r>
  <r>
    <n v="9.6"/>
    <n v="0.68"/>
    <n v="0.24"/>
    <n v="2.2000000000000002"/>
    <n v="8.6999999999999994E-2"/>
    <n v="5"/>
    <n v="28"/>
    <n v="0.99880000000000002"/>
    <x v="37"/>
    <n v="0.6"/>
    <x v="17"/>
    <x v="0"/>
    <x v="0"/>
    <n v="10.52"/>
    <n v="4.0000000000000008E-2"/>
  </r>
  <r>
    <n v="9.4"/>
    <n v="0.68500000000000005"/>
    <n v="0.11"/>
    <n v="2.7"/>
    <n v="7.6999999999999999E-2"/>
    <n v="6"/>
    <n v="31"/>
    <n v="0.99839999999999995"/>
    <x v="43"/>
    <n v="0.7"/>
    <x v="11"/>
    <x v="1"/>
    <x v="0"/>
    <n v="10.195"/>
    <n v="4.7475247524752476E-2"/>
  </r>
  <r>
    <n v="10.6"/>
    <n v="0.28000000000000003"/>
    <n v="0.39"/>
    <n v="15.5"/>
    <n v="6.9000000000000006E-2"/>
    <n v="6"/>
    <n v="23"/>
    <n v="1.0025999999999999"/>
    <x v="54"/>
    <n v="0.66"/>
    <x v="5"/>
    <x v="0"/>
    <x v="0"/>
    <n v="11.27"/>
    <n v="2.0086956521739134E-2"/>
  </r>
  <r>
    <n v="9.4"/>
    <n v="0.3"/>
    <n v="0.56000000000000005"/>
    <n v="2.8"/>
    <n v="0.08"/>
    <n v="6"/>
    <n v="17"/>
    <n v="0.99639999999999995"/>
    <x v="30"/>
    <n v="0.92"/>
    <x v="32"/>
    <x v="4"/>
    <x v="1"/>
    <n v="10.260000000000002"/>
    <n v="2.3589743589743594E-2"/>
  </r>
  <r>
    <n v="10.6"/>
    <n v="0.36"/>
    <n v="0.59"/>
    <n v="2.2000000000000002"/>
    <n v="0.152"/>
    <n v="6"/>
    <n v="18"/>
    <n v="0.99860000000000004"/>
    <x v="13"/>
    <n v="1.05"/>
    <x v="0"/>
    <x v="0"/>
    <x v="0"/>
    <n v="11.549999999999999"/>
    <n v="4.0212765957446807E-2"/>
  </r>
  <r>
    <n v="10.6"/>
    <n v="0.36"/>
    <n v="0.6"/>
    <n v="2.2000000000000002"/>
    <n v="0.152"/>
    <n v="7"/>
    <n v="18"/>
    <n v="0.99860000000000004"/>
    <x v="13"/>
    <n v="1.06"/>
    <x v="0"/>
    <x v="0"/>
    <x v="0"/>
    <n v="11.559999999999999"/>
    <n v="4.0595744680851059E-2"/>
  </r>
  <r>
    <n v="10.6"/>
    <n v="0.44"/>
    <n v="0.68"/>
    <n v="4.0999999999999996"/>
    <n v="0.114"/>
    <n v="6"/>
    <n v="24"/>
    <n v="0.997"/>
    <x v="57"/>
    <n v="0.66"/>
    <x v="43"/>
    <x v="1"/>
    <x v="0"/>
    <n v="11.719999999999999"/>
    <n v="2.1671641791044773E-2"/>
  </r>
  <r>
    <n v="10.199999999999999"/>
    <n v="0.67"/>
    <n v="0.39"/>
    <n v="1.9"/>
    <n v="5.4000000000000006E-2"/>
    <n v="6"/>
    <n v="17"/>
    <n v="0.99760000000000004"/>
    <x v="10"/>
    <n v="0.47"/>
    <x v="2"/>
    <x v="0"/>
    <x v="0"/>
    <n v="11.26"/>
    <n v="3.1490000000000004E-2"/>
  </r>
  <r>
    <n v="10.199999999999999"/>
    <n v="0.67"/>
    <n v="0.39"/>
    <n v="1.9"/>
    <n v="5.4000000000000006E-2"/>
    <n v="6"/>
    <n v="17"/>
    <n v="0.99760000000000004"/>
    <x v="10"/>
    <n v="0.47"/>
    <x v="2"/>
    <x v="0"/>
    <x v="0"/>
    <n v="11.26"/>
    <n v="3.1490000000000004E-2"/>
  </r>
  <r>
    <n v="10.199999999999999"/>
    <n v="0.64500000000000002"/>
    <n v="0.36"/>
    <n v="1.8"/>
    <n v="5.2999999999999999E-2"/>
    <n v="5"/>
    <n v="14"/>
    <n v="0.99819999999999998"/>
    <x v="10"/>
    <n v="0.42"/>
    <x v="2"/>
    <x v="1"/>
    <x v="0"/>
    <n v="11.204999999999998"/>
    <n v="2.7089999999999996E-2"/>
  </r>
  <r>
    <n v="11.6"/>
    <n v="0.32"/>
    <n v="0.55000000000000004"/>
    <n v="2.8"/>
    <n v="8.1000000000000003E-2"/>
    <n v="35"/>
    <n v="67"/>
    <n v="1.0002"/>
    <x v="29"/>
    <n v="0.92"/>
    <x v="14"/>
    <x v="2"/>
    <x v="1"/>
    <n v="12.47"/>
    <n v="2.7259259259259257E-2"/>
  </r>
  <r>
    <n v="9.3000000000000007"/>
    <n v="0.39"/>
    <n v="0.4"/>
    <n v="2.6"/>
    <n v="7.2999999999999995E-2"/>
    <n v="10"/>
    <n v="26"/>
    <n v="0.99839999999999995"/>
    <x v="16"/>
    <n v="0.75"/>
    <x v="17"/>
    <x v="1"/>
    <x v="0"/>
    <n v="10.090000000000002"/>
    <n v="2.8676470588235293E-2"/>
  </r>
  <r>
    <n v="9.3000000000000007"/>
    <n v="0.77500000000000002"/>
    <n v="0.27"/>
    <n v="2.8"/>
    <n v="7.8E-2"/>
    <n v="24"/>
    <n v="56"/>
    <n v="0.99839999999999995"/>
    <x v="33"/>
    <n v="0.67"/>
    <x v="12"/>
    <x v="1"/>
    <x v="0"/>
    <n v="10.345000000000001"/>
    <n v="4.8985849056603782E-2"/>
  </r>
  <r>
    <n v="9.1999999999999993"/>
    <n v="0.41"/>
    <n v="0.5"/>
    <n v="2.5"/>
    <n v="5.5E-2"/>
    <n v="12"/>
    <n v="25"/>
    <n v="0.99519999999999997"/>
    <x v="16"/>
    <n v="0.79"/>
    <x v="39"/>
    <x v="2"/>
    <x v="1"/>
    <n v="10.11"/>
    <n v="2.4353383458646616E-2"/>
  </r>
  <r>
    <n v="8.9"/>
    <n v="0.4"/>
    <n v="0.51"/>
    <n v="2.6"/>
    <n v="5.2000000000000005E-2"/>
    <n v="13"/>
    <n v="27"/>
    <n v="0.995"/>
    <x v="29"/>
    <n v="0.9"/>
    <x v="43"/>
    <x v="2"/>
    <x v="1"/>
    <n v="9.81"/>
    <n v="2.6865671641791048E-2"/>
  </r>
  <r>
    <n v="8.6999999999999993"/>
    <n v="0.69"/>
    <n v="0.31"/>
    <n v="3"/>
    <n v="8.5999999999999993E-2"/>
    <n v="23"/>
    <n v="81"/>
    <n v="1.0002"/>
    <x v="26"/>
    <n v="0.74"/>
    <x v="41"/>
    <x v="1"/>
    <x v="0"/>
    <n v="9.6999999999999993"/>
    <n v="4.4017241379310339E-2"/>
  </r>
  <r>
    <n v="6.5"/>
    <n v="0.39"/>
    <n v="0.23"/>
    <n v="8.3000000000000007"/>
    <n v="5.0999999999999997E-2"/>
    <n v="28"/>
    <n v="91"/>
    <n v="0.99519999999999997"/>
    <x v="32"/>
    <n v="0.55000000000000004"/>
    <x v="44"/>
    <x v="1"/>
    <x v="0"/>
    <n v="7.12"/>
    <n v="1.772727272727273E-2"/>
  </r>
  <r>
    <n v="10.7"/>
    <n v="0.35"/>
    <n v="0.53"/>
    <n v="2.6"/>
    <n v="7.0000000000000007E-2"/>
    <n v="5"/>
    <n v="16"/>
    <n v="0.99719999999999998"/>
    <x v="30"/>
    <n v="0.65"/>
    <x v="27"/>
    <x v="4"/>
    <x v="1"/>
    <n v="11.579999999999998"/>
    <n v="2.068181818181818E-2"/>
  </r>
  <r>
    <n v="7.8"/>
    <n v="0.52"/>
    <n v="0.25"/>
    <n v="1.9"/>
    <n v="8.1000000000000003E-2"/>
    <n v="14"/>
    <n v="38"/>
    <n v="0.99839999999999995"/>
    <x v="15"/>
    <n v="0.65"/>
    <x v="9"/>
    <x v="1"/>
    <x v="0"/>
    <n v="8.57"/>
    <n v="3.7555555555555557E-2"/>
  </r>
  <r>
    <n v="7.2"/>
    <n v="0.34"/>
    <n v="0.32"/>
    <n v="2.5"/>
    <n v="0.09"/>
    <n v="43"/>
    <n v="113"/>
    <n v="0.99660000000000004"/>
    <x v="29"/>
    <n v="0.79"/>
    <x v="42"/>
    <x v="0"/>
    <x v="0"/>
    <n v="7.86"/>
    <n v="2.4198198198198198E-2"/>
  </r>
  <r>
    <n v="10.7"/>
    <n v="0.35"/>
    <n v="0.53"/>
    <n v="2.6"/>
    <n v="7.0000000000000007E-2"/>
    <n v="5"/>
    <n v="16"/>
    <n v="0.99719999999999998"/>
    <x v="30"/>
    <n v="0.65"/>
    <x v="27"/>
    <x v="4"/>
    <x v="1"/>
    <n v="11.579999999999998"/>
    <n v="2.068181818181818E-2"/>
  </r>
  <r>
    <n v="8.6999999999999993"/>
    <n v="0.69"/>
    <n v="0.31"/>
    <n v="3"/>
    <n v="8.5999999999999993E-2"/>
    <n v="23"/>
    <n v="81"/>
    <n v="1.0002"/>
    <x v="26"/>
    <n v="0.74"/>
    <x v="41"/>
    <x v="1"/>
    <x v="0"/>
    <n v="9.6999999999999993"/>
    <n v="4.4017241379310339E-2"/>
  </r>
  <r>
    <n v="7.8"/>
    <n v="0.52"/>
    <n v="0.25"/>
    <n v="1.9"/>
    <n v="8.1000000000000003E-2"/>
    <n v="14"/>
    <n v="38"/>
    <n v="0.99839999999999995"/>
    <x v="15"/>
    <n v="0.65"/>
    <x v="9"/>
    <x v="1"/>
    <x v="0"/>
    <n v="8.57"/>
    <n v="3.7555555555555557E-2"/>
  </r>
  <r>
    <n v="10.4"/>
    <n v="0.44"/>
    <n v="0.73"/>
    <n v="6.55"/>
    <n v="7.400000000000001E-2"/>
    <n v="38"/>
    <n v="76"/>
    <n v="0.99900000000000011"/>
    <x v="10"/>
    <n v="0.85"/>
    <x v="35"/>
    <x v="2"/>
    <x v="1"/>
    <n v="11.57"/>
    <n v="3.1166666666666665E-2"/>
  </r>
  <r>
    <n v="10.4"/>
    <n v="0.44"/>
    <n v="0.73"/>
    <n v="6.55"/>
    <n v="7.400000000000001E-2"/>
    <n v="38"/>
    <n v="76"/>
    <n v="0.99900000000000011"/>
    <x v="10"/>
    <n v="0.85"/>
    <x v="35"/>
    <x v="2"/>
    <x v="1"/>
    <n v="11.57"/>
    <n v="3.1166666666666665E-2"/>
  </r>
  <r>
    <n v="10.5"/>
    <n v="0.26"/>
    <n v="0.47"/>
    <n v="1.9"/>
    <n v="7.8E-2"/>
    <n v="6"/>
    <n v="24"/>
    <n v="0.99760000000000004"/>
    <x v="64"/>
    <n v="1.04"/>
    <x v="18"/>
    <x v="2"/>
    <x v="1"/>
    <n v="11.23"/>
    <n v="2.4807339449541287E-2"/>
  </r>
  <r>
    <n v="10.5"/>
    <n v="0.24"/>
    <n v="0.42"/>
    <n v="1.8"/>
    <n v="7.6999999999999999E-2"/>
    <n v="6"/>
    <n v="22"/>
    <n v="0.99760000000000004"/>
    <x v="25"/>
    <n v="1.05"/>
    <x v="14"/>
    <x v="2"/>
    <x v="1"/>
    <n v="11.16"/>
    <n v="2.3333333333333331E-2"/>
  </r>
  <r>
    <n v="10.199999999999999"/>
    <n v="0.49"/>
    <n v="0.63"/>
    <n v="2.9"/>
    <n v="7.2000000000000008E-2"/>
    <n v="10"/>
    <n v="26"/>
    <n v="0.99680000000000002"/>
    <x v="3"/>
    <n v="0.78"/>
    <x v="31"/>
    <x v="2"/>
    <x v="1"/>
    <n v="11.32"/>
    <n v="3.0575999999999999E-2"/>
  </r>
  <r>
    <n v="10.4"/>
    <n v="0.24"/>
    <n v="0.46"/>
    <n v="1.8"/>
    <n v="7.4999999999999997E-2"/>
    <n v="6"/>
    <n v="21"/>
    <n v="0.99760000000000004"/>
    <x v="28"/>
    <n v="1.02"/>
    <x v="14"/>
    <x v="2"/>
    <x v="1"/>
    <n v="11.100000000000001"/>
    <n v="2.2666666666666665E-2"/>
  </r>
  <r>
    <n v="11.2"/>
    <n v="0.67"/>
    <n v="0.55000000000000004"/>
    <n v="2.2999999999999998"/>
    <n v="8.4000000000000005E-2"/>
    <n v="6"/>
    <n v="13"/>
    <n v="1"/>
    <x v="10"/>
    <n v="0.71"/>
    <x v="3"/>
    <x v="1"/>
    <x v="0"/>
    <n v="12.42"/>
    <n v="5.0073684210526319E-2"/>
  </r>
  <r>
    <n v="10"/>
    <n v="0.59"/>
    <n v="0.31"/>
    <n v="2.2000000000000002"/>
    <n v="0.09"/>
    <n v="26"/>
    <n v="62"/>
    <n v="0.99939999999999996"/>
    <x v="64"/>
    <n v="0.63"/>
    <x v="17"/>
    <x v="1"/>
    <x v="0"/>
    <n v="10.9"/>
    <n v="3.6441176470588234E-2"/>
  </r>
  <r>
    <n v="13.3"/>
    <n v="0.28999999999999998"/>
    <n v="0.75"/>
    <n v="2.8"/>
    <n v="8.4000000000000005E-2"/>
    <n v="23"/>
    <n v="43"/>
    <n v="0.99860000000000004"/>
    <x v="13"/>
    <n v="0.68"/>
    <x v="25"/>
    <x v="2"/>
    <x v="1"/>
    <n v="14.34"/>
    <n v="1.7298245614035087E-2"/>
  </r>
  <r>
    <n v="12.4"/>
    <n v="0.42"/>
    <n v="0.49"/>
    <n v="4.5999999999999996"/>
    <n v="7.2999999999999995E-2"/>
    <n v="19"/>
    <n v="43"/>
    <n v="0.99780000000000002"/>
    <x v="65"/>
    <n v="0.61"/>
    <x v="3"/>
    <x v="0"/>
    <x v="0"/>
    <n v="13.31"/>
    <n v="2.6968421052631576E-2"/>
  </r>
  <r>
    <n v="10"/>
    <n v="0.59"/>
    <n v="0.31"/>
    <n v="2.2000000000000002"/>
    <n v="0.09"/>
    <n v="26"/>
    <n v="62"/>
    <n v="0.99939999999999996"/>
    <x v="64"/>
    <n v="0.63"/>
    <x v="17"/>
    <x v="1"/>
    <x v="0"/>
    <n v="10.9"/>
    <n v="3.6441176470588234E-2"/>
  </r>
  <r>
    <n v="10.7"/>
    <n v="0.4"/>
    <n v="0.48"/>
    <n v="2.1"/>
    <n v="0.125"/>
    <n v="15"/>
    <n v="49"/>
    <n v="0.998"/>
    <x v="70"/>
    <n v="0.81"/>
    <x v="10"/>
    <x v="1"/>
    <x v="0"/>
    <n v="11.58"/>
    <n v="3.3402061855670115E-2"/>
  </r>
  <r>
    <n v="10.5"/>
    <n v="0.51"/>
    <n v="0.64"/>
    <n v="2.4"/>
    <n v="0.107"/>
    <n v="6"/>
    <n v="15"/>
    <n v="0.99729999999999996"/>
    <x v="75"/>
    <n v="0.66"/>
    <x v="37"/>
    <x v="2"/>
    <x v="1"/>
    <n v="11.65"/>
    <n v="2.8525423728813559E-2"/>
  </r>
  <r>
    <n v="10.5"/>
    <n v="0.51"/>
    <n v="0.64"/>
    <n v="2.4"/>
    <n v="0.107"/>
    <n v="6"/>
    <n v="15"/>
    <n v="0.99729999999999996"/>
    <x v="75"/>
    <n v="0.66"/>
    <x v="37"/>
    <x v="2"/>
    <x v="1"/>
    <n v="11.65"/>
    <n v="2.8525423728813559E-2"/>
  </r>
  <r>
    <n v="8.5"/>
    <n v="0.65500000000000003"/>
    <n v="0.49"/>
    <n v="6.1"/>
    <n v="0.122"/>
    <n v="34"/>
    <n v="151"/>
    <n v="1.0009999999999999"/>
    <x v="33"/>
    <n v="1.1399999999999999"/>
    <x v="8"/>
    <x v="0"/>
    <x v="0"/>
    <n v="9.6449999999999996"/>
    <n v="8.029032258064514E-2"/>
  </r>
  <r>
    <n v="12.5"/>
    <n v="0.6"/>
    <n v="0.49"/>
    <n v="4.3"/>
    <n v="0.1"/>
    <n v="5"/>
    <n v="14"/>
    <n v="1.0009999999999999"/>
    <x v="28"/>
    <n v="0.74"/>
    <x v="36"/>
    <x v="1"/>
    <x v="0"/>
    <n v="13.59"/>
    <n v="3.7310924369747901E-2"/>
  </r>
  <r>
    <n v="10.4"/>
    <n v="0.61"/>
    <n v="0.49"/>
    <n v="2.1"/>
    <n v="0.2"/>
    <n v="5"/>
    <n v="16"/>
    <n v="0.99939999999999996"/>
    <x v="3"/>
    <n v="0.63"/>
    <x v="45"/>
    <x v="5"/>
    <x v="2"/>
    <n v="11.5"/>
    <n v="4.5749999999999992E-2"/>
  </r>
  <r>
    <n v="10.9"/>
    <n v="0.21"/>
    <n v="0.49"/>
    <n v="2.8"/>
    <n v="8.8000000000000009E-2"/>
    <n v="11"/>
    <n v="32"/>
    <n v="0.99719999999999998"/>
    <x v="49"/>
    <n v="0.68"/>
    <x v="32"/>
    <x v="1"/>
    <x v="0"/>
    <n v="11.600000000000001"/>
    <n v="1.2205128205128207E-2"/>
  </r>
  <r>
    <n v="7.3"/>
    <n v="0.36499999999999999"/>
    <n v="0.49"/>
    <n v="2.5"/>
    <n v="8.8000000000000009E-2"/>
    <n v="39"/>
    <n v="106"/>
    <n v="0.99660000000000004"/>
    <x v="6"/>
    <n v="0.78"/>
    <x v="27"/>
    <x v="0"/>
    <x v="0"/>
    <n v="8.1549999999999994"/>
    <n v="2.5881818181818183E-2"/>
  </r>
  <r>
    <n v="9.8000000000000007"/>
    <n v="0.25"/>
    <n v="0.49"/>
    <n v="2.7"/>
    <n v="8.8000000000000009E-2"/>
    <n v="15"/>
    <n v="33"/>
    <n v="0.99819999999999998"/>
    <x v="21"/>
    <n v="0.9"/>
    <x v="2"/>
    <x v="1"/>
    <x v="0"/>
    <n v="10.540000000000001"/>
    <n v="2.2499999999999999E-2"/>
  </r>
  <r>
    <n v="7.6"/>
    <n v="0.41"/>
    <n v="0.49"/>
    <n v="2"/>
    <n v="8.8000000000000009E-2"/>
    <n v="16"/>
    <n v="43"/>
    <n v="0.998"/>
    <x v="26"/>
    <n v="0.64"/>
    <x v="7"/>
    <x v="0"/>
    <x v="0"/>
    <n v="8.5"/>
    <n v="2.8835164835164833E-2"/>
  </r>
  <r>
    <n v="8.1999999999999993"/>
    <n v="0.39"/>
    <n v="0.49"/>
    <n v="2.2999999999999998"/>
    <n v="9.9000000000000005E-2"/>
    <n v="47"/>
    <n v="133"/>
    <n v="0.99790000000000001"/>
    <x v="12"/>
    <n v="0.99"/>
    <x v="1"/>
    <x v="0"/>
    <x v="0"/>
    <n v="9.08"/>
    <n v="3.9397959183673469E-2"/>
  </r>
  <r>
    <n v="9.3000000000000007"/>
    <n v="0.4"/>
    <n v="0.49"/>
    <n v="2.5"/>
    <n v="8.5000000000000006E-2"/>
    <n v="38"/>
    <n v="142"/>
    <n v="0.99780000000000002"/>
    <x v="49"/>
    <n v="0.55000000000000004"/>
    <x v="0"/>
    <x v="0"/>
    <x v="0"/>
    <n v="10.190000000000001"/>
    <n v="2.3404255319148939E-2"/>
  </r>
  <r>
    <n v="9.1999999999999993"/>
    <n v="0.43"/>
    <n v="0.49"/>
    <n v="2.4"/>
    <n v="8.5999999999999993E-2"/>
    <n v="23"/>
    <n v="116"/>
    <n v="0.99760000000000004"/>
    <x v="22"/>
    <n v="0.64"/>
    <x v="3"/>
    <x v="0"/>
    <x v="0"/>
    <n v="10.119999999999999"/>
    <n v="2.8968421052631577E-2"/>
  </r>
  <r>
    <n v="10.4"/>
    <n v="0.64"/>
    <n v="0.24"/>
    <n v="2.8"/>
    <n v="0.105"/>
    <n v="29"/>
    <n v="53"/>
    <n v="0.99980000000000002"/>
    <x v="47"/>
    <n v="0.67"/>
    <x v="6"/>
    <x v="0"/>
    <x v="0"/>
    <n v="11.280000000000001"/>
    <n v="4.331313131313131E-2"/>
  </r>
  <r>
    <n v="7.3"/>
    <n v="0.36499999999999999"/>
    <n v="0.49"/>
    <n v="2.5"/>
    <n v="8.8000000000000009E-2"/>
    <n v="39"/>
    <n v="106"/>
    <n v="0.99660000000000004"/>
    <x v="6"/>
    <n v="0.78"/>
    <x v="27"/>
    <x v="0"/>
    <x v="0"/>
    <n v="8.1549999999999994"/>
    <n v="2.5881818181818183E-2"/>
  </r>
  <r>
    <n v="7"/>
    <n v="0.38"/>
    <n v="0.49"/>
    <n v="2.5"/>
    <n v="9.6999999999999989E-2"/>
    <n v="33"/>
    <n v="85"/>
    <n v="0.99619999999999997"/>
    <x v="5"/>
    <n v="0.77"/>
    <x v="25"/>
    <x v="1"/>
    <x v="0"/>
    <n v="7.87"/>
    <n v="2.5666666666666667E-2"/>
  </r>
  <r>
    <n v="8.1999999999999993"/>
    <n v="0.42"/>
    <n v="0.49"/>
    <n v="2.6"/>
    <n v="8.4000000000000005E-2"/>
    <n v="32"/>
    <n v="55"/>
    <n v="0.99880000000000002"/>
    <x v="16"/>
    <n v="0.75"/>
    <x v="38"/>
    <x v="1"/>
    <x v="0"/>
    <n v="9.11"/>
    <n v="3.6206896551724141E-2"/>
  </r>
  <r>
    <n v="9.9"/>
    <n v="0.63"/>
    <n v="0.24"/>
    <n v="2.4"/>
    <n v="7.6999999999999999E-2"/>
    <n v="6"/>
    <n v="33"/>
    <n v="0.99739999999999995"/>
    <x v="75"/>
    <n v="0.56999999999999995"/>
    <x v="0"/>
    <x v="0"/>
    <x v="0"/>
    <n v="10.770000000000001"/>
    <n v="3.8202127659574467E-2"/>
  </r>
  <r>
    <n v="9.1"/>
    <n v="0.22"/>
    <n v="0.24"/>
    <n v="2.1"/>
    <n v="7.8E-2"/>
    <n v="1"/>
    <n v="28"/>
    <n v="0.99900000000000011"/>
    <x v="31"/>
    <n v="0.87"/>
    <x v="15"/>
    <x v="1"/>
    <x v="0"/>
    <n v="9.56"/>
    <n v="1.8582524271844657E-2"/>
  </r>
  <r>
    <n v="11.9"/>
    <n v="0.38"/>
    <n v="0.49"/>
    <n v="2.7"/>
    <n v="9.8000000000000004E-2"/>
    <n v="12"/>
    <n v="42"/>
    <n v="1.0004"/>
    <x v="3"/>
    <n v="0.61"/>
    <x v="15"/>
    <x v="0"/>
    <x v="0"/>
    <n v="12.770000000000001"/>
    <n v="2.2504854368932039E-2"/>
  </r>
  <r>
    <n v="11.9"/>
    <n v="0.38"/>
    <n v="0.49"/>
    <n v="2.7"/>
    <n v="9.8000000000000004E-2"/>
    <n v="12"/>
    <n v="42"/>
    <n v="1.0004"/>
    <x v="3"/>
    <n v="0.61"/>
    <x v="15"/>
    <x v="0"/>
    <x v="0"/>
    <n v="12.770000000000001"/>
    <n v="2.2504854368932039E-2"/>
  </r>
  <r>
    <n v="10.3"/>
    <n v="0.27"/>
    <n v="0.24"/>
    <n v="2.1"/>
    <n v="7.2000000000000008E-2"/>
    <n v="15"/>
    <n v="33"/>
    <n v="0.99560000000000004"/>
    <x v="49"/>
    <n v="0.66"/>
    <x v="29"/>
    <x v="1"/>
    <x v="0"/>
    <n v="10.81"/>
    <n v="1.3921875000000002E-2"/>
  </r>
  <r>
    <n v="10"/>
    <n v="0.48"/>
    <n v="0.24"/>
    <n v="2.7"/>
    <n v="0.10199999999999999"/>
    <n v="13"/>
    <n v="32"/>
    <n v="1"/>
    <x v="8"/>
    <n v="0.56000000000000005"/>
    <x v="2"/>
    <x v="1"/>
    <x v="0"/>
    <n v="10.72"/>
    <n v="2.6880000000000005E-2"/>
  </r>
  <r>
    <n v="9.1"/>
    <n v="0.22"/>
    <n v="0.24"/>
    <n v="2.1"/>
    <n v="7.8E-2"/>
    <n v="1"/>
    <n v="28"/>
    <n v="0.99900000000000011"/>
    <x v="31"/>
    <n v="0.87"/>
    <x v="15"/>
    <x v="1"/>
    <x v="0"/>
    <n v="9.56"/>
    <n v="1.8582524271844657E-2"/>
  </r>
  <r>
    <n v="9.9"/>
    <n v="0.63"/>
    <n v="0.24"/>
    <n v="2.4"/>
    <n v="7.6999999999999999E-2"/>
    <n v="6"/>
    <n v="33"/>
    <n v="0.99739999999999995"/>
    <x v="75"/>
    <n v="0.56999999999999995"/>
    <x v="0"/>
    <x v="0"/>
    <x v="0"/>
    <n v="10.770000000000001"/>
    <n v="3.8202127659574467E-2"/>
  </r>
  <r>
    <n v="8.1"/>
    <n v="0.82499999999999996"/>
    <n v="0.24"/>
    <n v="2.1"/>
    <n v="8.4000000000000005E-2"/>
    <n v="5"/>
    <n v="13"/>
    <n v="0.99719999999999998"/>
    <x v="42"/>
    <n v="0.77"/>
    <x v="19"/>
    <x v="1"/>
    <x v="0"/>
    <n v="9.1649999999999991"/>
    <n v="5.9369158878504677E-2"/>
  </r>
  <r>
    <n v="12.9"/>
    <n v="0.35"/>
    <n v="0.49"/>
    <n v="5.8"/>
    <n v="6.6000000000000003E-2"/>
    <n v="5"/>
    <n v="35"/>
    <n v="1.0014000000000001"/>
    <x v="1"/>
    <n v="0.66"/>
    <x v="35"/>
    <x v="2"/>
    <x v="1"/>
    <n v="13.74"/>
    <n v="1.925E-2"/>
  </r>
  <r>
    <n v="11.2"/>
    <n v="0.5"/>
    <n v="0.74"/>
    <n v="5.15"/>
    <n v="0.1"/>
    <n v="5"/>
    <n v="17"/>
    <n v="0.99960000000000004"/>
    <x v="49"/>
    <n v="0.62"/>
    <x v="40"/>
    <x v="0"/>
    <x v="0"/>
    <n v="12.44"/>
    <n v="2.7678571428571431E-2"/>
  </r>
  <r>
    <n v="9.1999999999999993"/>
    <n v="0.59"/>
    <n v="0.24"/>
    <n v="3.3"/>
    <n v="0.10099999999999999"/>
    <n v="20"/>
    <n v="47"/>
    <n v="0.99880000000000002"/>
    <x v="2"/>
    <n v="0.67"/>
    <x v="13"/>
    <x v="0"/>
    <x v="0"/>
    <n v="10.029999999999999"/>
    <n v="4.1177083333333336E-2"/>
  </r>
  <r>
    <n v="9.5"/>
    <n v="0.46"/>
    <n v="0.49"/>
    <n v="6.3"/>
    <n v="6.4000000000000001E-2"/>
    <n v="5"/>
    <n v="17"/>
    <n v="0.99880000000000002"/>
    <x v="25"/>
    <n v="0.73"/>
    <x v="27"/>
    <x v="1"/>
    <x v="0"/>
    <n v="10.450000000000001"/>
    <n v="3.0527272727272726E-2"/>
  </r>
  <r>
    <n v="9.3000000000000007"/>
    <n v="0.71499999999999997"/>
    <n v="0.24"/>
    <n v="2.1"/>
    <n v="7.0000000000000007E-2"/>
    <n v="5"/>
    <n v="20"/>
    <n v="0.99660000000000004"/>
    <x v="54"/>
    <n v="0.59"/>
    <x v="6"/>
    <x v="0"/>
    <x v="0"/>
    <n v="10.255000000000001"/>
    <n v="4.2611111111111107E-2"/>
  </r>
  <r>
    <n v="11.2"/>
    <n v="0.66"/>
    <n v="0.24"/>
    <n v="2.5"/>
    <n v="8.5000000000000006E-2"/>
    <n v="16"/>
    <n v="53"/>
    <n v="0.99929999999999997"/>
    <x v="57"/>
    <n v="0.72"/>
    <x v="27"/>
    <x v="1"/>
    <x v="0"/>
    <n v="12.1"/>
    <n v="4.3200000000000002E-2"/>
  </r>
  <r>
    <n v="14.3"/>
    <n v="0.31"/>
    <n v="0.74"/>
    <n v="1.8"/>
    <n v="7.4999999999999997E-2"/>
    <n v="6"/>
    <n v="15"/>
    <n v="1.0007999999999999"/>
    <x v="76"/>
    <n v="0.79"/>
    <x v="45"/>
    <x v="1"/>
    <x v="0"/>
    <n v="15.350000000000001"/>
    <n v="2.9154761904761906E-2"/>
  </r>
  <r>
    <n v="9.1"/>
    <n v="0.47"/>
    <n v="0.49"/>
    <n v="2.6"/>
    <n v="9.4E-2"/>
    <n v="38"/>
    <n v="106"/>
    <n v="0.99819999999999998"/>
    <x v="41"/>
    <n v="0.59"/>
    <x v="7"/>
    <x v="0"/>
    <x v="0"/>
    <n v="10.06"/>
    <n v="3.0472527472527471E-2"/>
  </r>
  <r>
    <n v="7.5"/>
    <n v="0.55000000000000004"/>
    <n v="0.24"/>
    <n v="2"/>
    <n v="7.8E-2"/>
    <n v="10"/>
    <n v="28"/>
    <n v="0.99829999999999997"/>
    <x v="19"/>
    <n v="0.78"/>
    <x v="3"/>
    <x v="1"/>
    <x v="0"/>
    <n v="8.2900000000000009"/>
    <n v="4.5157894736842112E-2"/>
  </r>
  <r>
    <n v="10.6"/>
    <n v="0.31"/>
    <n v="0.49"/>
    <n v="2.5"/>
    <n v="6.7000000000000004E-2"/>
    <n v="6"/>
    <n v="21"/>
    <n v="0.99870000000000003"/>
    <x v="2"/>
    <n v="0.86"/>
    <x v="19"/>
    <x v="1"/>
    <x v="0"/>
    <n v="11.4"/>
    <n v="2.4915887850467291E-2"/>
  </r>
  <r>
    <n v="12.4"/>
    <n v="0.35"/>
    <n v="0.49"/>
    <n v="2.6"/>
    <n v="7.9000000000000001E-2"/>
    <n v="27"/>
    <n v="69"/>
    <n v="0.99939999999999996"/>
    <x v="54"/>
    <n v="0.75"/>
    <x v="21"/>
    <x v="1"/>
    <x v="0"/>
    <n v="13.24"/>
    <n v="2.5240384615384609E-2"/>
  </r>
  <r>
    <n v="9"/>
    <n v="0.53"/>
    <n v="0.49"/>
    <n v="1.9"/>
    <n v="0.17100000000000001"/>
    <n v="6"/>
    <n v="25"/>
    <n v="0.99750000000000005"/>
    <x v="63"/>
    <n v="0.61"/>
    <x v="0"/>
    <x v="1"/>
    <x v="0"/>
    <n v="10.02"/>
    <n v="3.43936170212766E-2"/>
  </r>
  <r>
    <n v="6.8"/>
    <n v="0.51"/>
    <n v="0.01"/>
    <n v="2.1"/>
    <n v="7.400000000000001E-2"/>
    <n v="9"/>
    <n v="25"/>
    <n v="0.99580000000000002"/>
    <x v="24"/>
    <n v="0.56000000000000005"/>
    <x v="3"/>
    <x v="1"/>
    <x v="0"/>
    <n v="7.3199999999999994"/>
    <n v="3.0063157894736844E-2"/>
  </r>
  <r>
    <n v="9.4"/>
    <n v="0.43"/>
    <n v="0.24"/>
    <n v="2.8"/>
    <n v="9.1999999999999998E-2"/>
    <n v="14"/>
    <n v="45"/>
    <n v="0.998"/>
    <x v="43"/>
    <n v="0.73"/>
    <x v="2"/>
    <x v="1"/>
    <x v="0"/>
    <n v="10.07"/>
    <n v="3.1390000000000001E-2"/>
  </r>
  <r>
    <n v="9.5"/>
    <n v="0.46"/>
    <n v="0.24"/>
    <n v="2.7"/>
    <n v="9.1999999999999998E-2"/>
    <n v="14"/>
    <n v="44"/>
    <n v="0.998"/>
    <x v="54"/>
    <n v="0.74"/>
    <x v="2"/>
    <x v="1"/>
    <x v="0"/>
    <n v="10.200000000000001"/>
    <n v="3.4040000000000001E-2"/>
  </r>
  <r>
    <n v="5"/>
    <n v="1.04"/>
    <n v="0.24"/>
    <n v="1.6"/>
    <n v="0.05"/>
    <n v="32"/>
    <n v="96"/>
    <n v="0.99339999999999995"/>
    <x v="77"/>
    <n v="0.62"/>
    <x v="24"/>
    <x v="0"/>
    <x v="0"/>
    <n v="6.28"/>
    <n v="5.6069565217391308E-2"/>
  </r>
  <r>
    <n v="15.5"/>
    <n v="0.64500000000000002"/>
    <n v="0.49"/>
    <n v="4.2"/>
    <n v="9.5000000000000001E-2"/>
    <n v="10"/>
    <n v="23"/>
    <n v="1.00315"/>
    <x v="78"/>
    <n v="0.74"/>
    <x v="42"/>
    <x v="0"/>
    <x v="0"/>
    <n v="16.634999999999998"/>
    <n v="4.3000000000000003E-2"/>
  </r>
  <r>
    <n v="15.5"/>
    <n v="0.64500000000000002"/>
    <n v="0.49"/>
    <n v="4.2"/>
    <n v="9.5000000000000001E-2"/>
    <n v="10"/>
    <n v="23"/>
    <n v="1.00315"/>
    <x v="78"/>
    <n v="0.74"/>
    <x v="42"/>
    <x v="0"/>
    <x v="0"/>
    <n v="16.634999999999998"/>
    <n v="4.3000000000000003E-2"/>
  </r>
  <r>
    <n v="10.9"/>
    <n v="0.53"/>
    <n v="0.49"/>
    <n v="4.5999999999999996"/>
    <n v="0.11800000000000001"/>
    <n v="10"/>
    <n v="17"/>
    <n v="1.0002"/>
    <x v="44"/>
    <n v="0.56000000000000005"/>
    <x v="32"/>
    <x v="1"/>
    <x v="0"/>
    <n v="11.92"/>
    <n v="2.5367521367521375E-2"/>
  </r>
  <r>
    <n v="15.6"/>
    <n v="0.64500000000000002"/>
    <n v="0.49"/>
    <n v="4.2"/>
    <n v="9.5000000000000001E-2"/>
    <n v="10"/>
    <n v="23"/>
    <n v="1.00315"/>
    <x v="78"/>
    <n v="0.74"/>
    <x v="42"/>
    <x v="0"/>
    <x v="0"/>
    <n v="16.734999999999999"/>
    <n v="4.3000000000000003E-2"/>
  </r>
  <r>
    <n v="10.9"/>
    <n v="0.53"/>
    <n v="0.49"/>
    <n v="4.5999999999999996"/>
    <n v="0.11800000000000001"/>
    <n v="10"/>
    <n v="17"/>
    <n v="1.0002"/>
    <x v="44"/>
    <n v="0.56000000000000005"/>
    <x v="32"/>
    <x v="1"/>
    <x v="0"/>
    <n v="11.92"/>
    <n v="2.5367521367521375E-2"/>
  </r>
  <r>
    <n v="13"/>
    <n v="0.47"/>
    <n v="0.49"/>
    <n v="4.3"/>
    <n v="8.5000000000000006E-2"/>
    <n v="6"/>
    <n v="47"/>
    <n v="1.0021"/>
    <x v="4"/>
    <n v="0.68"/>
    <x v="46"/>
    <x v="1"/>
    <x v="0"/>
    <n v="13.96"/>
    <n v="2.5165354330708663E-2"/>
  </r>
  <r>
    <n v="12.7"/>
    <n v="0.6"/>
    <n v="0.49"/>
    <n v="2.8"/>
    <n v="7.4999999999999997E-2"/>
    <n v="5"/>
    <n v="19"/>
    <n v="0.99939999999999996"/>
    <x v="37"/>
    <n v="0.56999999999999995"/>
    <x v="25"/>
    <x v="0"/>
    <x v="0"/>
    <n v="13.79"/>
    <n v="2.9999999999999995E-2"/>
  </r>
  <r>
    <n v="9"/>
    <n v="0.44"/>
    <n v="0.49"/>
    <n v="2.4"/>
    <n v="7.8E-2"/>
    <n v="26"/>
    <n v="121"/>
    <n v="0.99780000000000002"/>
    <x v="22"/>
    <n v="0.57999999999999996"/>
    <x v="5"/>
    <x v="0"/>
    <x v="0"/>
    <n v="9.93"/>
    <n v="2.773913043478261E-2"/>
  </r>
  <r>
    <n v="9"/>
    <n v="0.54"/>
    <n v="0.49"/>
    <n v="2.9"/>
    <n v="9.4E-2"/>
    <n v="41"/>
    <n v="110"/>
    <n v="0.99819999999999998"/>
    <x v="41"/>
    <n v="0.61"/>
    <x v="5"/>
    <x v="0"/>
    <x v="0"/>
    <n v="10.029999999999999"/>
    <n v="3.5804347826086963E-2"/>
  </r>
  <r>
    <n v="7.6"/>
    <n v="0.28999999999999998"/>
    <n v="0.49"/>
    <n v="2.7"/>
    <n v="9.1999999999999998E-2"/>
    <n v="25"/>
    <n v="60"/>
    <n v="0.99709999999999999"/>
    <x v="33"/>
    <n v="0.61"/>
    <x v="11"/>
    <x v="1"/>
    <x v="0"/>
    <n v="8.379999999999999"/>
    <n v="1.7514851485148513E-2"/>
  </r>
  <r>
    <n v="13"/>
    <n v="0.47"/>
    <n v="0.49"/>
    <n v="4.3"/>
    <n v="8.5000000000000006E-2"/>
    <n v="6"/>
    <n v="47"/>
    <n v="1.0021"/>
    <x v="4"/>
    <n v="0.68"/>
    <x v="46"/>
    <x v="1"/>
    <x v="0"/>
    <n v="13.96"/>
    <n v="2.5165354330708663E-2"/>
  </r>
  <r>
    <n v="12.7"/>
    <n v="0.6"/>
    <n v="0.49"/>
    <n v="2.8"/>
    <n v="7.4999999999999997E-2"/>
    <n v="5"/>
    <n v="19"/>
    <n v="0.99939999999999996"/>
    <x v="37"/>
    <n v="0.56999999999999995"/>
    <x v="25"/>
    <x v="0"/>
    <x v="0"/>
    <n v="13.79"/>
    <n v="2.9999999999999995E-2"/>
  </r>
  <r>
    <n v="8.6999999999999993"/>
    <n v="0.7"/>
    <n v="0.24"/>
    <n v="2.5"/>
    <n v="0.22600000000000001"/>
    <n v="5"/>
    <n v="15"/>
    <n v="0.99909999999999999"/>
    <x v="29"/>
    <n v="0.6"/>
    <x v="9"/>
    <x v="1"/>
    <x v="0"/>
    <n v="9.6399999999999988"/>
    <n v="4.6666666666666662E-2"/>
  </r>
  <r>
    <n v="8.6999999999999993"/>
    <n v="0.7"/>
    <n v="0.24"/>
    <n v="2.5"/>
    <n v="0.22600000000000001"/>
    <n v="5"/>
    <n v="15"/>
    <n v="0.99909999999999999"/>
    <x v="29"/>
    <n v="0.6"/>
    <x v="9"/>
    <x v="1"/>
    <x v="0"/>
    <n v="9.6399999999999988"/>
    <n v="4.6666666666666662E-2"/>
  </r>
  <r>
    <n v="9.8000000000000007"/>
    <n v="0.5"/>
    <n v="0.49"/>
    <n v="2.6"/>
    <n v="0.25"/>
    <n v="5"/>
    <n v="20"/>
    <n v="0.99900000000000011"/>
    <x v="33"/>
    <n v="0.79"/>
    <x v="19"/>
    <x v="1"/>
    <x v="0"/>
    <n v="10.790000000000001"/>
    <n v="3.6915887850467295E-2"/>
  </r>
  <r>
    <n v="6.2"/>
    <n v="0.36"/>
    <n v="0.24"/>
    <n v="2.2000000000000002"/>
    <n v="9.5000000000000001E-2"/>
    <n v="19"/>
    <n v="42"/>
    <n v="0.99460000000000004"/>
    <x v="55"/>
    <n v="0.56999999999999995"/>
    <x v="32"/>
    <x v="1"/>
    <x v="0"/>
    <n v="6.8000000000000007"/>
    <n v="1.7538461538461537E-2"/>
  </r>
  <r>
    <n v="11.5"/>
    <n v="0.35"/>
    <n v="0.49"/>
    <n v="3.3"/>
    <n v="7.0000000000000007E-2"/>
    <n v="10"/>
    <n v="37"/>
    <n v="1.0003"/>
    <x v="29"/>
    <n v="0.91"/>
    <x v="27"/>
    <x v="1"/>
    <x v="0"/>
    <n v="12.34"/>
    <n v="2.8954545454545455E-2"/>
  </r>
  <r>
    <n v="6.2"/>
    <n v="0.36"/>
    <n v="0.24"/>
    <n v="2.2000000000000002"/>
    <n v="9.5000000000000001E-2"/>
    <n v="19"/>
    <n v="42"/>
    <n v="0.99460000000000004"/>
    <x v="55"/>
    <n v="0.56999999999999995"/>
    <x v="32"/>
    <x v="1"/>
    <x v="0"/>
    <n v="6.8000000000000007"/>
    <n v="1.7538461538461537E-2"/>
  </r>
  <r>
    <n v="10.199999999999999"/>
    <n v="0.24"/>
    <n v="0.49"/>
    <n v="2.4"/>
    <n v="7.4999999999999997E-2"/>
    <n v="10"/>
    <n v="28"/>
    <n v="0.99780000000000002"/>
    <x v="37"/>
    <n v="0.61"/>
    <x v="21"/>
    <x v="0"/>
    <x v="0"/>
    <n v="10.93"/>
    <n v="1.4076923076923077E-2"/>
  </r>
  <r>
    <n v="10.5"/>
    <n v="0.59"/>
    <n v="0.49"/>
    <n v="2.1"/>
    <n v="7.0000000000000007E-2"/>
    <n v="14"/>
    <n v="47"/>
    <n v="0.99909999999999999"/>
    <x v="4"/>
    <n v="0.56000000000000005"/>
    <x v="13"/>
    <x v="3"/>
    <x v="2"/>
    <n v="11.58"/>
    <n v="3.4416666666666672E-2"/>
  </r>
  <r>
    <n v="10.6"/>
    <n v="0.34"/>
    <n v="0.49"/>
    <n v="3.2"/>
    <n v="7.8E-2"/>
    <n v="20"/>
    <n v="78"/>
    <n v="0.99919999999999998"/>
    <x v="43"/>
    <n v="0.7"/>
    <x v="2"/>
    <x v="1"/>
    <x v="0"/>
    <n v="11.43"/>
    <n v="2.3799999999999998E-2"/>
  </r>
  <r>
    <n v="12.3"/>
    <n v="0.27"/>
    <n v="0.49"/>
    <n v="3.1"/>
    <n v="7.9000000000000001E-2"/>
    <n v="28"/>
    <n v="46"/>
    <n v="0.99929999999999997"/>
    <x v="1"/>
    <n v="0.8"/>
    <x v="17"/>
    <x v="1"/>
    <x v="0"/>
    <n v="13.06"/>
    <n v="2.1176470588235297E-2"/>
  </r>
  <r>
    <n v="9.9"/>
    <n v="0.5"/>
    <n v="0.24"/>
    <n v="2.2999999999999998"/>
    <n v="0.10300000000000001"/>
    <n v="6"/>
    <n v="14"/>
    <n v="0.99780000000000002"/>
    <x v="16"/>
    <n v="0.52"/>
    <x v="2"/>
    <x v="3"/>
    <x v="2"/>
    <n v="10.64"/>
    <n v="2.6000000000000002E-2"/>
  </r>
  <r>
    <n v="8.8000000000000007"/>
    <n v="0.44"/>
    <n v="0.49"/>
    <n v="2.8"/>
    <n v="8.3000000000000004E-2"/>
    <n v="18"/>
    <n v="111"/>
    <n v="0.99819999999999998"/>
    <x v="4"/>
    <n v="0.6"/>
    <x v="3"/>
    <x v="0"/>
    <x v="0"/>
    <n v="9.73"/>
    <n v="2.7789473684210527E-2"/>
  </r>
  <r>
    <n v="8.8000000000000007"/>
    <n v="0.47"/>
    <n v="0.49"/>
    <n v="2.9"/>
    <n v="8.5000000000000006E-2"/>
    <n v="17"/>
    <n v="110"/>
    <n v="0.99819999999999998"/>
    <x v="40"/>
    <n v="0.6"/>
    <x v="1"/>
    <x v="0"/>
    <x v="0"/>
    <n v="9.7600000000000016"/>
    <n v="2.8775510204081627E-2"/>
  </r>
  <r>
    <n v="10.6"/>
    <n v="0.31"/>
    <n v="0.49"/>
    <n v="2.2000000000000002"/>
    <n v="6.3E-2"/>
    <n v="18"/>
    <n v="40"/>
    <n v="0.99760000000000004"/>
    <x v="37"/>
    <n v="0.51"/>
    <x v="1"/>
    <x v="1"/>
    <x v="0"/>
    <n v="11.4"/>
    <n v="1.6132653061224488E-2"/>
  </r>
  <r>
    <n v="12.3"/>
    <n v="0.5"/>
    <n v="0.49"/>
    <n v="2.2000000000000002"/>
    <n v="8.900000000000001E-2"/>
    <n v="5"/>
    <n v="14"/>
    <n v="1.0002"/>
    <x v="43"/>
    <n v="0.44"/>
    <x v="13"/>
    <x v="0"/>
    <x v="0"/>
    <n v="13.290000000000001"/>
    <n v="2.2916666666666669E-2"/>
  </r>
  <r>
    <n v="12.3"/>
    <n v="0.5"/>
    <n v="0.49"/>
    <n v="2.2000000000000002"/>
    <n v="8.900000000000001E-2"/>
    <n v="5"/>
    <n v="14"/>
    <n v="1.0002"/>
    <x v="43"/>
    <n v="0.44"/>
    <x v="13"/>
    <x v="0"/>
    <x v="0"/>
    <n v="13.290000000000001"/>
    <n v="2.2916666666666669E-2"/>
  </r>
  <r>
    <n v="11.7"/>
    <n v="0.49"/>
    <n v="0.49"/>
    <n v="2.2000000000000002"/>
    <n v="8.3000000000000004E-2"/>
    <n v="5"/>
    <n v="15"/>
    <n v="1"/>
    <x v="43"/>
    <n v="0.43"/>
    <x v="5"/>
    <x v="0"/>
    <x v="0"/>
    <n v="12.68"/>
    <n v="2.2902173913043479E-2"/>
  </r>
  <r>
    <n v="12"/>
    <n v="0.28000000000000003"/>
    <n v="0.49"/>
    <n v="1.9"/>
    <n v="7.400000000000001E-2"/>
    <n v="10"/>
    <n v="21"/>
    <n v="0.99760000000000004"/>
    <x v="74"/>
    <n v="0.66"/>
    <x v="6"/>
    <x v="2"/>
    <x v="1"/>
    <n v="12.77"/>
    <n v="1.8666666666666668E-2"/>
  </r>
  <r>
    <n v="11.8"/>
    <n v="0.33"/>
    <n v="0.49"/>
    <n v="3.4"/>
    <n v="9.3000000000000013E-2"/>
    <n v="54"/>
    <n v="80"/>
    <n v="1.0002"/>
    <x v="4"/>
    <n v="0.76"/>
    <x v="19"/>
    <x v="2"/>
    <x v="1"/>
    <n v="12.620000000000001"/>
    <n v="2.3439252336448602E-2"/>
  </r>
  <r>
    <n v="7.6"/>
    <n v="0.51"/>
    <n v="0.24"/>
    <n v="2.4"/>
    <n v="9.0999999999999998E-2"/>
    <n v="8"/>
    <n v="38"/>
    <n v="0.998"/>
    <x v="17"/>
    <n v="0.66"/>
    <x v="13"/>
    <x v="1"/>
    <x v="0"/>
    <n v="8.35"/>
    <n v="3.5062500000000003E-2"/>
  </r>
  <r>
    <n v="11.1"/>
    <n v="0.31"/>
    <n v="0.49"/>
    <n v="2.7"/>
    <n v="9.4E-2"/>
    <n v="16"/>
    <n v="47"/>
    <n v="0.99860000000000004"/>
    <x v="54"/>
    <n v="1.02"/>
    <x v="12"/>
    <x v="2"/>
    <x v="1"/>
    <n v="11.9"/>
    <n v="2.9830188679245282E-2"/>
  </r>
  <r>
    <n v="7.3"/>
    <n v="0.73"/>
    <n v="0.24"/>
    <n v="1.9"/>
    <n v="0.10800000000000001"/>
    <n v="18"/>
    <n v="102"/>
    <n v="0.99670000000000003"/>
    <x v="2"/>
    <n v="0.59"/>
    <x v="8"/>
    <x v="0"/>
    <x v="0"/>
    <n v="8.27"/>
    <n v="4.6311827956989238E-2"/>
  </r>
  <r>
    <n v="5"/>
    <n v="0.42"/>
    <n v="0.24"/>
    <n v="2"/>
    <n v="0.06"/>
    <n v="19"/>
    <n v="50"/>
    <n v="0.99170000000000003"/>
    <x v="79"/>
    <n v="0.74"/>
    <x v="23"/>
    <x v="4"/>
    <x v="1"/>
    <n v="5.66"/>
    <n v="2.2199999999999998E-2"/>
  </r>
  <r>
    <n v="10.199999999999999"/>
    <n v="0.28999999999999998"/>
    <n v="0.49"/>
    <n v="2.6"/>
    <n v="5.9000000000000004E-2"/>
    <n v="5"/>
    <n v="13"/>
    <n v="0.99760000000000004"/>
    <x v="61"/>
    <n v="0.74"/>
    <x v="4"/>
    <x v="2"/>
    <x v="1"/>
    <n v="10.979999999999999"/>
    <n v="2.0438095238095238E-2"/>
  </r>
  <r>
    <n v="9"/>
    <n v="0.45"/>
    <n v="0.49"/>
    <n v="2.6"/>
    <n v="8.4000000000000005E-2"/>
    <n v="21"/>
    <n v="75"/>
    <n v="0.99870000000000003"/>
    <x v="7"/>
    <n v="0.56999999999999995"/>
    <x v="10"/>
    <x v="0"/>
    <x v="0"/>
    <n v="9.94"/>
    <n v="2.6443298969072167E-2"/>
  </r>
  <r>
    <n v="6.6"/>
    <n v="0.39"/>
    <n v="0.49"/>
    <n v="1.7"/>
    <n v="7.0000000000000007E-2"/>
    <n v="23"/>
    <n v="149"/>
    <n v="0.99219999999999997"/>
    <x v="54"/>
    <n v="0.5"/>
    <x v="24"/>
    <x v="1"/>
    <x v="0"/>
    <n v="7.4799999999999995"/>
    <n v="1.6956521739130436E-2"/>
  </r>
  <r>
    <n v="9"/>
    <n v="0.45"/>
    <n v="0.49"/>
    <n v="2.6"/>
    <n v="8.4000000000000005E-2"/>
    <n v="21"/>
    <n v="75"/>
    <n v="0.99870000000000003"/>
    <x v="7"/>
    <n v="0.56999999999999995"/>
    <x v="10"/>
    <x v="0"/>
    <x v="0"/>
    <n v="9.94"/>
    <n v="2.6443298969072167E-2"/>
  </r>
  <r>
    <n v="9.9"/>
    <n v="0.49"/>
    <n v="0.57999999999999996"/>
    <n v="3.5"/>
    <n v="9.4E-2"/>
    <n v="9"/>
    <n v="43"/>
    <n v="1.0004"/>
    <x v="40"/>
    <n v="0.57999999999999996"/>
    <x v="9"/>
    <x v="0"/>
    <x v="0"/>
    <n v="10.97"/>
    <n v="3.1577777777777774E-2"/>
  </r>
  <r>
    <n v="7.9"/>
    <n v="0.72"/>
    <n v="0.17"/>
    <n v="2.6"/>
    <n v="9.6000000000000002E-2"/>
    <n v="20"/>
    <n v="38"/>
    <n v="0.99780000000000002"/>
    <x v="20"/>
    <n v="0.53"/>
    <x v="3"/>
    <x v="0"/>
    <x v="0"/>
    <n v="8.7900000000000009"/>
    <n v="4.0168421052631575E-2"/>
  </r>
  <r>
    <n v="8.9"/>
    <n v="0.59499999999999997"/>
    <n v="0.41"/>
    <n v="7.9"/>
    <n v="8.5999999999999993E-2"/>
    <n v="30"/>
    <n v="109"/>
    <n v="0.99980000000000002"/>
    <x v="63"/>
    <n v="0.56999999999999995"/>
    <x v="8"/>
    <x v="0"/>
    <x v="0"/>
    <n v="9.9050000000000011"/>
    <n v="3.6467741935483862E-2"/>
  </r>
  <r>
    <n v="12.4"/>
    <n v="0.4"/>
    <n v="0.51"/>
    <n v="2"/>
    <n v="5.9000000000000004E-2"/>
    <n v="6"/>
    <n v="24"/>
    <n v="0.99939999999999996"/>
    <x v="13"/>
    <n v="0.6"/>
    <x v="8"/>
    <x v="1"/>
    <x v="0"/>
    <n v="13.31"/>
    <n v="2.5806451612903222E-2"/>
  </r>
  <r>
    <n v="11.9"/>
    <n v="0.57999999999999996"/>
    <n v="0.57999999999999996"/>
    <n v="1.9"/>
    <n v="7.0999999999999994E-2"/>
    <n v="5"/>
    <n v="18"/>
    <n v="0.998"/>
    <x v="75"/>
    <n v="0.63"/>
    <x v="2"/>
    <x v="1"/>
    <x v="0"/>
    <n v="13.06"/>
    <n v="3.6540000000000003E-2"/>
  </r>
  <r>
    <n v="8.5"/>
    <n v="0.58499999999999996"/>
    <n v="0.18"/>
    <n v="2.1"/>
    <n v="7.8E-2"/>
    <n v="5"/>
    <n v="30"/>
    <n v="0.99670000000000003"/>
    <x v="1"/>
    <n v="0.48"/>
    <x v="1"/>
    <x v="1"/>
    <x v="0"/>
    <n v="9.2650000000000006"/>
    <n v="2.8653061224489792E-2"/>
  </r>
  <r>
    <n v="12.7"/>
    <n v="0.59"/>
    <n v="0.45"/>
    <n v="2.2999999999999998"/>
    <n v="8.199999999999999E-2"/>
    <n v="11"/>
    <n v="22"/>
    <n v="1"/>
    <x v="53"/>
    <n v="0.7"/>
    <x v="8"/>
    <x v="1"/>
    <x v="0"/>
    <n v="13.739999999999998"/>
    <n v="4.4408602150537629E-2"/>
  </r>
  <r>
    <n v="8.1999999999999993"/>
    <n v="0.91500000000000004"/>
    <n v="0.27"/>
    <n v="2.1"/>
    <n v="8.8000000000000009E-2"/>
    <n v="7"/>
    <n v="23"/>
    <n v="0.99619999999999997"/>
    <x v="2"/>
    <n v="0.47"/>
    <x v="2"/>
    <x v="3"/>
    <x v="2"/>
    <n v="9.384999999999998"/>
    <n v="4.3005000000000002E-2"/>
  </r>
  <r>
    <n v="13.2"/>
    <n v="0.46"/>
    <n v="0.52"/>
    <n v="2.2000000000000002"/>
    <n v="7.0999999999999994E-2"/>
    <n v="12"/>
    <n v="35"/>
    <n v="1.0005999999999999"/>
    <x v="60"/>
    <n v="0.56000000000000005"/>
    <x v="9"/>
    <x v="1"/>
    <x v="0"/>
    <n v="14.18"/>
    <n v="2.8622222222222229E-2"/>
  </r>
  <r>
    <n v="7.7"/>
    <n v="0.83499999999999996"/>
    <n v="0"/>
    <n v="2.6"/>
    <n v="8.1000000000000003E-2"/>
    <n v="6"/>
    <n v="14"/>
    <n v="0.99750000000000005"/>
    <x v="4"/>
    <n v="0.52"/>
    <x v="8"/>
    <x v="0"/>
    <x v="0"/>
    <n v="8.5350000000000001"/>
    <n v="4.6688172043010748E-2"/>
  </r>
  <r>
    <n v="13.2"/>
    <n v="0.46"/>
    <n v="0.52"/>
    <n v="2.2000000000000002"/>
    <n v="7.0999999999999994E-2"/>
    <n v="12"/>
    <n v="35"/>
    <n v="1.0005999999999999"/>
    <x v="60"/>
    <n v="0.56000000000000005"/>
    <x v="9"/>
    <x v="1"/>
    <x v="0"/>
    <n v="14.18"/>
    <n v="2.8622222222222229E-2"/>
  </r>
  <r>
    <n v="8.3000000000000007"/>
    <n v="0.57999999999999996"/>
    <n v="0.13"/>
    <n v="2.9"/>
    <n v="9.6000000000000002E-2"/>
    <n v="14"/>
    <n v="63"/>
    <n v="0.99839999999999995"/>
    <x v="10"/>
    <n v="0.62"/>
    <x v="7"/>
    <x v="1"/>
    <x v="0"/>
    <n v="9.0100000000000016"/>
    <n v="3.9516483516483514E-2"/>
  </r>
  <r>
    <n v="8.3000000000000007"/>
    <n v="0.6"/>
    <n v="0.13"/>
    <n v="2.6"/>
    <n v="8.5000000000000006E-2"/>
    <n v="6"/>
    <n v="24"/>
    <n v="0.99839999999999995"/>
    <x v="33"/>
    <n v="0.59"/>
    <x v="5"/>
    <x v="1"/>
    <x v="0"/>
    <n v="9.0300000000000011"/>
    <n v="3.8478260869565219E-2"/>
  </r>
  <r>
    <n v="9.4"/>
    <n v="0.41"/>
    <n v="0.48"/>
    <n v="4.5999999999999996"/>
    <n v="7.2000000000000008E-2"/>
    <n v="10"/>
    <n v="20"/>
    <n v="0.99729999999999996"/>
    <x v="16"/>
    <n v="0.79"/>
    <x v="28"/>
    <x v="2"/>
    <x v="1"/>
    <n v="10.290000000000001"/>
    <n v="2.6549180327868856E-2"/>
  </r>
  <r>
    <n v="8.8000000000000007"/>
    <n v="0.48"/>
    <n v="0.41"/>
    <n v="3.3"/>
    <n v="9.1999999999999998E-2"/>
    <n v="26"/>
    <n v="52"/>
    <n v="0.99819999999999998"/>
    <x v="33"/>
    <n v="0.53"/>
    <x v="4"/>
    <x v="1"/>
    <x v="0"/>
    <n v="9.6900000000000013"/>
    <n v="2.4228571428571429E-2"/>
  </r>
  <r>
    <n v="10.1"/>
    <n v="0.65"/>
    <n v="0.37"/>
    <n v="5.0999999999999996"/>
    <n v="0.11"/>
    <n v="11"/>
    <n v="65"/>
    <n v="1.0025999999999999"/>
    <x v="29"/>
    <n v="0.64"/>
    <x v="21"/>
    <x v="1"/>
    <x v="0"/>
    <n v="11.12"/>
    <n v="0.04"/>
  </r>
  <r>
    <n v="6.3"/>
    <n v="0.36"/>
    <n v="0.19"/>
    <n v="3.2"/>
    <n v="7.4999999999999997E-2"/>
    <n v="15"/>
    <n v="39"/>
    <n v="0.99560000000000004"/>
    <x v="69"/>
    <n v="0.52"/>
    <x v="46"/>
    <x v="1"/>
    <x v="0"/>
    <n v="6.8500000000000005"/>
    <n v="1.4740157480314962E-2"/>
  </r>
  <r>
    <n v="8.8000000000000007"/>
    <n v="0.24"/>
    <n v="0.54"/>
    <n v="2.5"/>
    <n v="8.3000000000000004E-2"/>
    <n v="25"/>
    <n v="57"/>
    <n v="0.99829999999999997"/>
    <x v="5"/>
    <n v="0.54"/>
    <x v="5"/>
    <x v="0"/>
    <x v="0"/>
    <n v="9.5800000000000018"/>
    <n v="1.4086956521739131E-2"/>
  </r>
  <r>
    <n v="13.2"/>
    <n v="0.38"/>
    <n v="0.55000000000000004"/>
    <n v="2.7"/>
    <n v="8.1000000000000003E-2"/>
    <n v="5"/>
    <n v="16"/>
    <n v="1.0005999999999999"/>
    <x v="74"/>
    <n v="0.54"/>
    <x v="0"/>
    <x v="0"/>
    <x v="0"/>
    <n v="14.13"/>
    <n v="2.1829787234042556E-2"/>
  </r>
  <r>
    <n v="7.5"/>
    <n v="0.64"/>
    <n v="0"/>
    <n v="2.4"/>
    <n v="7.6999999999999999E-2"/>
    <n v="18"/>
    <n v="29"/>
    <n v="0.99650000000000005"/>
    <x v="29"/>
    <n v="0.6"/>
    <x v="2"/>
    <x v="1"/>
    <x v="0"/>
    <n v="8.14"/>
    <n v="3.8400000000000004E-2"/>
  </r>
  <r>
    <n v="8.1999999999999993"/>
    <n v="0.39"/>
    <n v="0.38"/>
    <n v="1.5"/>
    <n v="5.7999999999999996E-2"/>
    <n v="10"/>
    <n v="29"/>
    <n v="0.99619999999999997"/>
    <x v="2"/>
    <n v="0.74"/>
    <x v="1"/>
    <x v="0"/>
    <x v="0"/>
    <n v="8.9700000000000006"/>
    <n v="2.9448979591836736E-2"/>
  </r>
  <r>
    <n v="9.1999999999999993"/>
    <n v="0.755"/>
    <n v="0.18"/>
    <n v="2.2000000000000002"/>
    <n v="0.14800000000000002"/>
    <n v="10"/>
    <n v="103"/>
    <n v="0.99690000000000001"/>
    <x v="80"/>
    <n v="1.36"/>
    <x v="17"/>
    <x v="1"/>
    <x v="0"/>
    <n v="10.135"/>
    <n v="0.1006666666666667"/>
  </r>
  <r>
    <n v="9.6"/>
    <n v="0.6"/>
    <n v="0.5"/>
    <n v="2.2999999999999998"/>
    <n v="7.9000000000000001E-2"/>
    <n v="28"/>
    <n v="71"/>
    <n v="0.99970000000000003"/>
    <x v="23"/>
    <n v="0.56999999999999995"/>
    <x v="10"/>
    <x v="0"/>
    <x v="0"/>
    <n v="10.7"/>
    <n v="3.5257731958762889E-2"/>
  </r>
  <r>
    <n v="9.6"/>
    <n v="0.6"/>
    <n v="0.5"/>
    <n v="2.2999999999999998"/>
    <n v="7.9000000000000001E-2"/>
    <n v="28"/>
    <n v="71"/>
    <n v="0.99970000000000003"/>
    <x v="23"/>
    <n v="0.56999999999999995"/>
    <x v="10"/>
    <x v="0"/>
    <x v="0"/>
    <n v="10.7"/>
    <n v="3.5257731958762889E-2"/>
  </r>
  <r>
    <n v="11.5"/>
    <n v="0.31"/>
    <n v="0.51"/>
    <n v="2.2000000000000002"/>
    <n v="7.9000000000000001E-2"/>
    <n v="14"/>
    <n v="28"/>
    <n v="0.99819999999999998"/>
    <x v="70"/>
    <n v="0.93"/>
    <x v="1"/>
    <x v="1"/>
    <x v="0"/>
    <n v="12.32"/>
    <n v="2.9418367346938774E-2"/>
  </r>
  <r>
    <n v="11.4"/>
    <n v="0.46"/>
    <n v="0.5"/>
    <n v="2.7"/>
    <n v="0.122"/>
    <n v="4"/>
    <n v="17"/>
    <n v="1.0005999999999999"/>
    <x v="35"/>
    <n v="0.7"/>
    <x v="17"/>
    <x v="0"/>
    <x v="0"/>
    <n v="12.360000000000001"/>
    <n v="3.1568627450980394E-2"/>
  </r>
  <r>
    <n v="11.3"/>
    <n v="0.37"/>
    <n v="0.41"/>
    <n v="2.2999999999999998"/>
    <n v="8.8000000000000009E-2"/>
    <n v="6"/>
    <n v="16"/>
    <n v="0.99880000000000002"/>
    <x v="75"/>
    <n v="0.8"/>
    <x v="8"/>
    <x v="0"/>
    <x v="0"/>
    <n v="12.08"/>
    <n v="3.1827956989247307E-2"/>
  </r>
  <r>
    <n v="8.3000000000000007"/>
    <n v="0.54"/>
    <n v="0.24"/>
    <n v="3.4"/>
    <n v="7.5999999999999998E-2"/>
    <n v="16"/>
    <n v="112"/>
    <n v="0.99760000000000004"/>
    <x v="63"/>
    <n v="0.61"/>
    <x v="0"/>
    <x v="0"/>
    <x v="0"/>
    <n v="9.08"/>
    <n v="3.5042553191489363E-2"/>
  </r>
  <r>
    <n v="8.1999999999999993"/>
    <n v="0.56000000000000005"/>
    <n v="0.23"/>
    <n v="3.4"/>
    <n v="7.8E-2"/>
    <n v="14"/>
    <n v="104"/>
    <n v="0.99760000000000004"/>
    <x v="8"/>
    <n v="0.62"/>
    <x v="0"/>
    <x v="0"/>
    <x v="0"/>
    <n v="8.99"/>
    <n v="3.6936170212765955E-2"/>
  </r>
  <r>
    <n v="10"/>
    <n v="0.57999999999999996"/>
    <n v="0.22"/>
    <n v="1.9"/>
    <n v="0.08"/>
    <n v="9"/>
    <n v="32"/>
    <n v="0.99739999999999995"/>
    <x v="35"/>
    <n v="0.55000000000000004"/>
    <x v="3"/>
    <x v="0"/>
    <x v="0"/>
    <n v="10.8"/>
    <n v="3.3578947368421055E-2"/>
  </r>
  <r>
    <n v="7.9"/>
    <n v="0.51"/>
    <n v="0.25"/>
    <n v="2.9"/>
    <n v="7.6999999999999999E-2"/>
    <n v="21"/>
    <n v="45"/>
    <n v="0.99739999999999995"/>
    <x v="45"/>
    <n v="0.96"/>
    <x v="44"/>
    <x v="1"/>
    <x v="0"/>
    <n v="8.66"/>
    <n v="4.0462809917355375E-2"/>
  </r>
  <r>
    <n v="6.8"/>
    <n v="0.69"/>
    <n v="0"/>
    <n v="5.6"/>
    <n v="0.124"/>
    <n v="21"/>
    <n v="58"/>
    <n v="0.99970000000000003"/>
    <x v="18"/>
    <n v="0.72"/>
    <x v="17"/>
    <x v="0"/>
    <x v="0"/>
    <n v="7.49"/>
    <n v="4.8705882352941175E-2"/>
  </r>
  <r>
    <n v="6.8"/>
    <n v="0.69"/>
    <n v="0"/>
    <n v="5.6"/>
    <n v="0.124"/>
    <n v="21"/>
    <n v="58"/>
    <n v="0.99970000000000003"/>
    <x v="18"/>
    <n v="0.72"/>
    <x v="17"/>
    <x v="0"/>
    <x v="0"/>
    <n v="7.49"/>
    <n v="4.8705882352941175E-2"/>
  </r>
  <r>
    <n v="8.8000000000000007"/>
    <n v="0.6"/>
    <n v="0.28999999999999998"/>
    <n v="2.2000000000000002"/>
    <n v="9.8000000000000004E-2"/>
    <n v="5"/>
    <n v="15"/>
    <n v="0.99880000000000002"/>
    <x v="6"/>
    <n v="0.49"/>
    <x v="7"/>
    <x v="0"/>
    <x v="0"/>
    <n v="9.69"/>
    <n v="3.2307692307692308E-2"/>
  </r>
  <r>
    <n v="8.8000000000000007"/>
    <n v="0.6"/>
    <n v="0.28999999999999998"/>
    <n v="2.2000000000000002"/>
    <n v="9.8000000000000004E-2"/>
    <n v="5"/>
    <n v="15"/>
    <n v="0.99880000000000002"/>
    <x v="6"/>
    <n v="0.49"/>
    <x v="7"/>
    <x v="0"/>
    <x v="0"/>
    <n v="9.69"/>
    <n v="3.2307692307692308E-2"/>
  </r>
  <r>
    <n v="8.6999999999999993"/>
    <n v="0.54"/>
    <n v="0.26"/>
    <n v="2.5"/>
    <n v="9.6999999999999989E-2"/>
    <n v="7"/>
    <n v="31"/>
    <n v="0.99760000000000004"/>
    <x v="63"/>
    <n v="0.6"/>
    <x v="8"/>
    <x v="1"/>
    <x v="0"/>
    <n v="9.4999999999999982"/>
    <n v="3.4838709677419352E-2"/>
  </r>
  <r>
    <n v="7.6"/>
    <n v="0.68500000000000005"/>
    <n v="0.23"/>
    <n v="2.2999999999999998"/>
    <n v="0.111"/>
    <n v="20"/>
    <n v="84"/>
    <n v="0.99639999999999995"/>
    <x v="25"/>
    <n v="0.61"/>
    <x v="8"/>
    <x v="0"/>
    <x v="0"/>
    <n v="8.5150000000000006"/>
    <n v="4.4930107526881716E-2"/>
  </r>
  <r>
    <n v="8.6999999999999993"/>
    <n v="0.54"/>
    <n v="0.26"/>
    <n v="2.5"/>
    <n v="9.6999999999999989E-2"/>
    <n v="7"/>
    <n v="31"/>
    <n v="0.99760000000000004"/>
    <x v="63"/>
    <n v="0.6"/>
    <x v="8"/>
    <x v="1"/>
    <x v="0"/>
    <n v="9.4999999999999982"/>
    <n v="3.4838709677419352E-2"/>
  </r>
  <r>
    <n v="10.4"/>
    <n v="0.28000000000000003"/>
    <n v="0.54"/>
    <n v="2.7"/>
    <n v="0.105"/>
    <n v="5"/>
    <n v="19"/>
    <n v="0.99880000000000002"/>
    <x v="28"/>
    <n v="0.63"/>
    <x v="3"/>
    <x v="0"/>
    <x v="0"/>
    <n v="11.219999999999999"/>
    <n v="1.8568421052631581E-2"/>
  </r>
  <r>
    <n v="7.6"/>
    <n v="0.41"/>
    <n v="0.14000000000000001"/>
    <n v="3"/>
    <n v="8.6999999999999994E-2"/>
    <n v="21"/>
    <n v="43"/>
    <n v="0.99639999999999995"/>
    <x v="29"/>
    <n v="0.56999999999999995"/>
    <x v="4"/>
    <x v="1"/>
    <x v="0"/>
    <n v="8.15"/>
    <n v="2.2257142857142854E-2"/>
  </r>
  <r>
    <n v="10.1"/>
    <n v="0.93500000000000005"/>
    <n v="0.22"/>
    <n v="3.4"/>
    <n v="0.105"/>
    <n v="11"/>
    <n v="86"/>
    <n v="1.0009999999999999"/>
    <x v="15"/>
    <n v="0.64"/>
    <x v="33"/>
    <x v="3"/>
    <x v="2"/>
    <n v="11.255000000000001"/>
    <n v="5.2955752212389379E-2"/>
  </r>
  <r>
    <n v="7.9"/>
    <n v="0.35"/>
    <n v="0.21"/>
    <n v="1.9"/>
    <n v="7.2999999999999995E-2"/>
    <n v="46"/>
    <n v="102"/>
    <n v="0.99639999999999995"/>
    <x v="63"/>
    <n v="0.57999999999999996"/>
    <x v="3"/>
    <x v="0"/>
    <x v="0"/>
    <n v="8.4600000000000009"/>
    <n v="2.1368421052631578E-2"/>
  </r>
  <r>
    <n v="8.6999999999999993"/>
    <n v="0.84"/>
    <n v="0"/>
    <n v="1.4"/>
    <n v="6.5000000000000002E-2"/>
    <n v="24"/>
    <n v="33"/>
    <n v="0.99539999999999995"/>
    <x v="63"/>
    <n v="0.55000000000000004"/>
    <x v="10"/>
    <x v="0"/>
    <x v="0"/>
    <n v="9.5399999999999991"/>
    <n v="4.762886597938145E-2"/>
  </r>
  <r>
    <n v="9.6"/>
    <n v="0.88"/>
    <n v="0.28000000000000003"/>
    <n v="2.4"/>
    <n v="8.5999999999999993E-2"/>
    <n v="30"/>
    <n v="147"/>
    <n v="0.99790000000000001"/>
    <x v="47"/>
    <n v="0.53"/>
    <x v="0"/>
    <x v="0"/>
    <x v="0"/>
    <n v="10.76"/>
    <n v="4.9617021276595744E-2"/>
  </r>
  <r>
    <n v="9.5"/>
    <n v="0.88500000000000001"/>
    <n v="0.27"/>
    <n v="2.2999999999999998"/>
    <n v="8.4000000000000005E-2"/>
    <n v="31"/>
    <n v="145"/>
    <n v="0.99780000000000002"/>
    <x v="47"/>
    <n v="0.53"/>
    <x v="0"/>
    <x v="0"/>
    <x v="0"/>
    <n v="10.654999999999999"/>
    <n v="4.9898936170212765E-2"/>
  </r>
  <r>
    <n v="7.7"/>
    <n v="0.91500000000000004"/>
    <n v="0.12"/>
    <n v="2.2000000000000002"/>
    <n v="0.14300000000000002"/>
    <n v="7"/>
    <n v="23"/>
    <n v="0.99639999999999995"/>
    <x v="7"/>
    <n v="0.65"/>
    <x v="17"/>
    <x v="2"/>
    <x v="1"/>
    <n v="8.7349999999999994"/>
    <n v="5.8308823529411767E-2"/>
  </r>
  <r>
    <n v="8.9"/>
    <n v="0.28999999999999998"/>
    <n v="0.35"/>
    <n v="1.9"/>
    <n v="6.7000000000000004E-2"/>
    <n v="25"/>
    <n v="57"/>
    <n v="0.997"/>
    <x v="64"/>
    <n v="1.36"/>
    <x v="15"/>
    <x v="1"/>
    <x v="0"/>
    <n v="9.5399999999999991"/>
    <n v="3.8291262135922328E-2"/>
  </r>
  <r>
    <n v="9.9"/>
    <n v="0.54"/>
    <n v="0.45"/>
    <n v="2.2999999999999998"/>
    <n v="7.0999999999999994E-2"/>
    <n v="16"/>
    <n v="40"/>
    <n v="0.99909999999999999"/>
    <x v="5"/>
    <n v="0.62"/>
    <x v="0"/>
    <x v="0"/>
    <x v="0"/>
    <n v="10.89"/>
    <n v="3.5617021276595745E-2"/>
  </r>
  <r>
    <n v="9.5"/>
    <n v="0.59"/>
    <n v="0.44"/>
    <n v="2.2999999999999998"/>
    <n v="7.0999999999999994E-2"/>
    <n v="21"/>
    <n v="68"/>
    <n v="0.99919999999999998"/>
    <x v="18"/>
    <n v="0.63"/>
    <x v="3"/>
    <x v="0"/>
    <x v="0"/>
    <n v="10.53"/>
    <n v="3.9126315789473683E-2"/>
  </r>
  <r>
    <n v="9.9"/>
    <n v="0.54"/>
    <n v="0.45"/>
    <n v="2.2999999999999998"/>
    <n v="7.0999999999999994E-2"/>
    <n v="16"/>
    <n v="40"/>
    <n v="0.99909999999999999"/>
    <x v="5"/>
    <n v="0.62"/>
    <x v="0"/>
    <x v="0"/>
    <x v="0"/>
    <n v="10.89"/>
    <n v="3.5617021276595745E-2"/>
  </r>
  <r>
    <n v="9.5"/>
    <n v="0.59"/>
    <n v="0.44"/>
    <n v="2.2999999999999998"/>
    <n v="7.0999999999999994E-2"/>
    <n v="21"/>
    <n v="68"/>
    <n v="0.99919999999999998"/>
    <x v="18"/>
    <n v="0.63"/>
    <x v="3"/>
    <x v="0"/>
    <x v="0"/>
    <n v="10.53"/>
    <n v="3.9126315789473683E-2"/>
  </r>
  <r>
    <n v="9.9"/>
    <n v="0.54"/>
    <n v="0.45"/>
    <n v="2.2999999999999998"/>
    <n v="7.0999999999999994E-2"/>
    <n v="16"/>
    <n v="40"/>
    <n v="0.99909999999999999"/>
    <x v="5"/>
    <n v="0.62"/>
    <x v="0"/>
    <x v="0"/>
    <x v="0"/>
    <n v="10.89"/>
    <n v="3.5617021276595745E-2"/>
  </r>
  <r>
    <n v="7.8"/>
    <n v="0.64"/>
    <n v="0.1"/>
    <n v="6"/>
    <n v="0.115"/>
    <n v="5"/>
    <n v="11"/>
    <n v="0.99839999999999995"/>
    <x v="42"/>
    <n v="0.69"/>
    <x v="11"/>
    <x v="2"/>
    <x v="1"/>
    <n v="8.5399999999999991"/>
    <n v="4.3722772277227727E-2"/>
  </r>
  <r>
    <n v="7.3"/>
    <n v="0.67"/>
    <n v="0.05"/>
    <n v="3.6"/>
    <n v="0.107"/>
    <n v="6"/>
    <n v="20"/>
    <n v="0.99719999999999998"/>
    <x v="20"/>
    <n v="0.63"/>
    <x v="11"/>
    <x v="0"/>
    <x v="0"/>
    <n v="8.02"/>
    <n v="4.1792079207920795E-2"/>
  </r>
  <r>
    <n v="8.3000000000000007"/>
    <n v="0.84499999999999997"/>
    <n v="0.01"/>
    <n v="2.2000000000000002"/>
    <n v="7.0000000000000007E-2"/>
    <n v="5"/>
    <n v="14"/>
    <n v="0.99670000000000003"/>
    <x v="29"/>
    <n v="0.57999999999999996"/>
    <x v="27"/>
    <x v="3"/>
    <x v="2"/>
    <n v="9.1550000000000011"/>
    <n v="4.4554545454545451E-2"/>
  </r>
  <r>
    <n v="8.6999999999999993"/>
    <n v="0.48"/>
    <n v="0.3"/>
    <n v="2.8"/>
    <n v="6.6000000000000003E-2"/>
    <n v="10"/>
    <n v="28"/>
    <n v="0.99639999999999995"/>
    <x v="24"/>
    <n v="0.67"/>
    <x v="40"/>
    <x v="2"/>
    <x v="1"/>
    <n v="9.48"/>
    <n v="2.8714285714285716E-2"/>
  </r>
  <r>
    <n v="6.7"/>
    <n v="0.42"/>
    <n v="0.27"/>
    <n v="8.6"/>
    <n v="6.8000000000000005E-2"/>
    <n v="24"/>
    <n v="148"/>
    <n v="0.99480000000000002"/>
    <x v="3"/>
    <n v="0.56999999999999995"/>
    <x v="33"/>
    <x v="1"/>
    <x v="0"/>
    <n v="7.3900000000000006"/>
    <n v="2.1185840707964598E-2"/>
  </r>
  <r>
    <n v="10.7"/>
    <n v="0.43"/>
    <n v="0.39"/>
    <n v="2.2000000000000002"/>
    <n v="0.106"/>
    <n v="8"/>
    <n v="32"/>
    <n v="0.99860000000000004"/>
    <x v="81"/>
    <n v="0.5"/>
    <x v="13"/>
    <x v="0"/>
    <x v="0"/>
    <n v="11.52"/>
    <n v="2.2395833333333334E-2"/>
  </r>
  <r>
    <n v="9.8000000000000007"/>
    <n v="0.88"/>
    <n v="0.25"/>
    <n v="2.5"/>
    <n v="0.10400000000000001"/>
    <n v="35"/>
    <n v="155"/>
    <n v="1.0009999999999999"/>
    <x v="31"/>
    <n v="0.67"/>
    <x v="40"/>
    <x v="0"/>
    <x v="0"/>
    <n v="10.930000000000001"/>
    <n v="5.2642857142857144E-2"/>
  </r>
  <r>
    <n v="15.9"/>
    <n v="0.36"/>
    <n v="0.65"/>
    <n v="7.5"/>
    <n v="9.6000000000000002E-2"/>
    <n v="22"/>
    <n v="71"/>
    <n v="0.99760000000000004"/>
    <x v="74"/>
    <n v="0.84"/>
    <x v="47"/>
    <x v="0"/>
    <x v="0"/>
    <n v="16.91"/>
    <n v="2.029530201342282E-2"/>
  </r>
  <r>
    <n v="9.4"/>
    <n v="0.33"/>
    <n v="0.59"/>
    <n v="2.8"/>
    <n v="7.9000000000000001E-2"/>
    <n v="9"/>
    <n v="30"/>
    <n v="0.99760000000000004"/>
    <x v="54"/>
    <n v="0.54"/>
    <x v="35"/>
    <x v="1"/>
    <x v="0"/>
    <n v="10.32"/>
    <n v="1.4850000000000002E-2"/>
  </r>
  <r>
    <n v="8.6"/>
    <n v="0.47"/>
    <n v="0.47"/>
    <n v="2.4"/>
    <n v="7.400000000000001E-2"/>
    <n v="7"/>
    <n v="29"/>
    <n v="0.99790000000000001"/>
    <x v="41"/>
    <n v="0.46"/>
    <x v="3"/>
    <x v="0"/>
    <x v="0"/>
    <n v="9.5400000000000009"/>
    <n v="2.2757894736842105E-2"/>
  </r>
  <r>
    <n v="9.6999999999999993"/>
    <n v="0.55000000000000004"/>
    <n v="0.17"/>
    <n v="2.9"/>
    <n v="8.6999999999999994E-2"/>
    <n v="20"/>
    <n v="53"/>
    <n v="1.0004"/>
    <x v="37"/>
    <n v="0.61"/>
    <x v="0"/>
    <x v="0"/>
    <x v="0"/>
    <n v="10.42"/>
    <n v="3.5691489361702126E-2"/>
  </r>
  <r>
    <n v="10.7"/>
    <n v="0.43"/>
    <n v="0.39"/>
    <n v="2.2000000000000002"/>
    <n v="0.106"/>
    <n v="8"/>
    <n v="32"/>
    <n v="0.99860000000000004"/>
    <x v="81"/>
    <n v="0.5"/>
    <x v="13"/>
    <x v="0"/>
    <x v="0"/>
    <n v="11.52"/>
    <n v="2.2395833333333334E-2"/>
  </r>
  <r>
    <n v="12"/>
    <n v="0.5"/>
    <n v="0.59"/>
    <n v="1.4"/>
    <n v="7.2999999999999995E-2"/>
    <n v="23"/>
    <n v="42"/>
    <n v="0.998"/>
    <x v="78"/>
    <n v="0.68"/>
    <x v="4"/>
    <x v="2"/>
    <x v="1"/>
    <n v="13.09"/>
    <n v="3.2380952380952385E-2"/>
  </r>
  <r>
    <n v="7.2"/>
    <n v="0.52"/>
    <n v="7.0000000000000007E-2"/>
    <n v="1.4"/>
    <n v="7.400000000000001E-2"/>
    <n v="5"/>
    <n v="20"/>
    <n v="0.99729999999999996"/>
    <x v="29"/>
    <n v="0.81"/>
    <x v="13"/>
    <x v="1"/>
    <x v="0"/>
    <n v="7.7900000000000009"/>
    <n v="4.3875000000000004E-2"/>
  </r>
  <r>
    <n v="7.1"/>
    <n v="0.84"/>
    <n v="0.02"/>
    <n v="4.4000000000000004"/>
    <n v="9.6000000000000002E-2"/>
    <n v="5"/>
    <n v="13"/>
    <n v="0.997"/>
    <x v="31"/>
    <n v="0.56999999999999995"/>
    <x v="27"/>
    <x v="3"/>
    <x v="2"/>
    <n v="7.9599999999999991"/>
    <n v="4.352727272727272E-2"/>
  </r>
  <r>
    <n v="7.2"/>
    <n v="0.52"/>
    <n v="7.0000000000000007E-2"/>
    <n v="1.4"/>
    <n v="7.400000000000001E-2"/>
    <n v="5"/>
    <n v="20"/>
    <n v="0.99729999999999996"/>
    <x v="29"/>
    <n v="0.81"/>
    <x v="13"/>
    <x v="1"/>
    <x v="0"/>
    <n v="7.7900000000000009"/>
    <n v="4.3875000000000004E-2"/>
  </r>
  <r>
    <n v="7.5"/>
    <n v="0.42"/>
    <n v="0.31"/>
    <n v="1.6"/>
    <n v="0.08"/>
    <n v="15"/>
    <n v="42"/>
    <n v="0.99780000000000002"/>
    <x v="33"/>
    <n v="0.64"/>
    <x v="9"/>
    <x v="0"/>
    <x v="0"/>
    <n v="8.23"/>
    <n v="2.9866666666666666E-2"/>
  </r>
  <r>
    <n v="7.2"/>
    <n v="0.56999999999999995"/>
    <n v="0.06"/>
    <n v="1.6"/>
    <n v="7.5999999999999998E-2"/>
    <n v="9"/>
    <n v="27"/>
    <n v="0.99719999999999998"/>
    <x v="6"/>
    <n v="0.7"/>
    <x v="13"/>
    <x v="1"/>
    <x v="0"/>
    <n v="7.83"/>
    <n v="4.1562499999999995E-2"/>
  </r>
  <r>
    <n v="10.1"/>
    <n v="0.28000000000000003"/>
    <n v="0.46"/>
    <n v="1.8"/>
    <n v="0.05"/>
    <n v="5"/>
    <n v="13"/>
    <n v="0.99739999999999995"/>
    <x v="13"/>
    <n v="0.79"/>
    <x v="17"/>
    <x v="1"/>
    <x v="0"/>
    <n v="10.84"/>
    <n v="2.1686274509803927E-2"/>
  </r>
  <r>
    <n v="12.1"/>
    <n v="0.4"/>
    <n v="0.52"/>
    <n v="2"/>
    <n v="9.1999999999999998E-2"/>
    <n v="15"/>
    <n v="54"/>
    <n v="1"/>
    <x v="70"/>
    <n v="0.66"/>
    <x v="17"/>
    <x v="0"/>
    <x v="0"/>
    <n v="13.02"/>
    <n v="2.5882352941176474E-2"/>
  </r>
  <r>
    <n v="9.4"/>
    <n v="0.59"/>
    <n v="0.14000000000000001"/>
    <n v="2"/>
    <n v="8.4000000000000005E-2"/>
    <n v="25"/>
    <n v="48"/>
    <n v="0.99809999999999999"/>
    <x v="37"/>
    <n v="0.56000000000000005"/>
    <x v="10"/>
    <x v="0"/>
    <x v="0"/>
    <n v="10.130000000000001"/>
    <n v="3.40618556701031E-2"/>
  </r>
  <r>
    <n v="8.3000000000000007"/>
    <n v="0.49"/>
    <n v="0.36"/>
    <n v="1.8"/>
    <n v="0.222"/>
    <n v="6"/>
    <n v="16"/>
    <n v="0.998"/>
    <x v="64"/>
    <n v="0.6"/>
    <x v="3"/>
    <x v="1"/>
    <x v="0"/>
    <n v="9.15"/>
    <n v="3.094736842105263E-2"/>
  </r>
  <r>
    <n v="11.3"/>
    <n v="0.34"/>
    <n v="0.45"/>
    <n v="2"/>
    <n v="8.199999999999999E-2"/>
    <n v="6"/>
    <n v="15"/>
    <n v="0.99880000000000002"/>
    <x v="82"/>
    <n v="0.66"/>
    <x v="5"/>
    <x v="1"/>
    <x v="0"/>
    <n v="12.09"/>
    <n v="2.439130434782609E-2"/>
  </r>
  <r>
    <n v="10"/>
    <n v="0.73"/>
    <n v="0.43"/>
    <n v="2.2999999999999998"/>
    <n v="5.9000000000000004E-2"/>
    <n v="15"/>
    <n v="31"/>
    <n v="0.99660000000000004"/>
    <x v="30"/>
    <n v="0.56999999999999995"/>
    <x v="27"/>
    <x v="0"/>
    <x v="0"/>
    <n v="11.16"/>
    <n v="3.7827272727272723E-2"/>
  </r>
  <r>
    <n v="11.3"/>
    <n v="0.34"/>
    <n v="0.45"/>
    <n v="2"/>
    <n v="8.199999999999999E-2"/>
    <n v="6"/>
    <n v="15"/>
    <n v="0.99880000000000002"/>
    <x v="82"/>
    <n v="0.66"/>
    <x v="5"/>
    <x v="1"/>
    <x v="0"/>
    <n v="12.09"/>
    <n v="2.439130434782609E-2"/>
  </r>
  <r>
    <n v="6.9"/>
    <n v="0.4"/>
    <n v="0.24"/>
    <n v="2.5"/>
    <n v="8.3000000000000004E-2"/>
    <n v="30"/>
    <n v="45"/>
    <n v="0.99590000000000001"/>
    <x v="2"/>
    <n v="0.57999999999999996"/>
    <x v="2"/>
    <x v="0"/>
    <x v="0"/>
    <n v="7.5400000000000009"/>
    <n v="2.3199999999999998E-2"/>
  </r>
  <r>
    <n v="8.1999999999999993"/>
    <n v="0.73"/>
    <n v="0.21"/>
    <n v="1.7"/>
    <n v="7.400000000000001E-2"/>
    <n v="5"/>
    <n v="13"/>
    <n v="0.99680000000000002"/>
    <x v="1"/>
    <n v="0.52"/>
    <x v="3"/>
    <x v="0"/>
    <x v="0"/>
    <n v="9.14"/>
    <n v="3.9957894736842102E-2"/>
  </r>
  <r>
    <n v="9.8000000000000007"/>
    <n v="1.24"/>
    <n v="0.34"/>
    <n v="2"/>
    <n v="7.9000000000000001E-2"/>
    <n v="32"/>
    <n v="151"/>
    <n v="0.998"/>
    <x v="30"/>
    <n v="0.53"/>
    <x v="3"/>
    <x v="0"/>
    <x v="0"/>
    <n v="11.38"/>
    <n v="6.9178947368421048E-2"/>
  </r>
  <r>
    <n v="8.1999999999999993"/>
    <n v="0.73"/>
    <n v="0.21"/>
    <n v="1.7"/>
    <n v="7.400000000000001E-2"/>
    <n v="5"/>
    <n v="13"/>
    <n v="0.99680000000000002"/>
    <x v="1"/>
    <n v="0.52"/>
    <x v="3"/>
    <x v="0"/>
    <x v="0"/>
    <n v="9.14"/>
    <n v="3.9957894736842102E-2"/>
  </r>
  <r>
    <n v="10.8"/>
    <n v="0.4"/>
    <n v="0.41"/>
    <n v="2.2000000000000002"/>
    <n v="8.4000000000000005E-2"/>
    <n v="7"/>
    <n v="17"/>
    <n v="0.99839999999999995"/>
    <x v="41"/>
    <n v="0.67"/>
    <x v="8"/>
    <x v="1"/>
    <x v="0"/>
    <n v="11.610000000000001"/>
    <n v="2.8817204301075268E-2"/>
  </r>
  <r>
    <n v="9.3000000000000007"/>
    <n v="0.41"/>
    <n v="0.39"/>
    <n v="2.2000000000000002"/>
    <n v="6.4000000000000001E-2"/>
    <n v="12"/>
    <n v="31"/>
    <n v="0.99839999999999995"/>
    <x v="2"/>
    <n v="0.65"/>
    <x v="17"/>
    <x v="0"/>
    <x v="0"/>
    <n v="10.100000000000001"/>
    <n v="2.612745098039216E-2"/>
  </r>
  <r>
    <n v="10.8"/>
    <n v="0.4"/>
    <n v="0.41"/>
    <n v="2.2000000000000002"/>
    <n v="8.4000000000000005E-2"/>
    <n v="7"/>
    <n v="17"/>
    <n v="0.99839999999999995"/>
    <x v="41"/>
    <n v="0.67"/>
    <x v="8"/>
    <x v="1"/>
    <x v="0"/>
    <n v="11.610000000000001"/>
    <n v="2.8817204301075268E-2"/>
  </r>
  <r>
    <n v="8.6"/>
    <n v="0.8"/>
    <n v="0.11"/>
    <n v="2.2999999999999998"/>
    <n v="8.4000000000000005E-2"/>
    <n v="12"/>
    <n v="31"/>
    <n v="0.99790000000000001"/>
    <x v="20"/>
    <n v="0.48"/>
    <x v="6"/>
    <x v="0"/>
    <x v="0"/>
    <n v="9.51"/>
    <n v="3.8787878787878788E-2"/>
  </r>
  <r>
    <n v="8.3000000000000007"/>
    <n v="0.78"/>
    <n v="0.1"/>
    <n v="2.6"/>
    <n v="8.1000000000000003E-2"/>
    <n v="45"/>
    <n v="87"/>
    <n v="0.99829999999999997"/>
    <x v="26"/>
    <n v="0.53"/>
    <x v="2"/>
    <x v="0"/>
    <x v="0"/>
    <n v="9.18"/>
    <n v="4.1340000000000002E-2"/>
  </r>
  <r>
    <n v="10.8"/>
    <n v="0.26"/>
    <n v="0.45"/>
    <n v="3.3"/>
    <n v="0.06"/>
    <n v="20"/>
    <n v="49"/>
    <n v="0.99719999999999998"/>
    <x v="35"/>
    <n v="0.54"/>
    <x v="13"/>
    <x v="0"/>
    <x v="0"/>
    <n v="11.51"/>
    <n v="1.4625000000000003E-2"/>
  </r>
  <r>
    <n v="13.3"/>
    <n v="0.43"/>
    <n v="0.57999999999999996"/>
    <n v="1.9"/>
    <n v="7.0000000000000007E-2"/>
    <n v="15"/>
    <n v="40"/>
    <n v="1.0004"/>
    <x v="57"/>
    <n v="0.49"/>
    <x v="9"/>
    <x v="0"/>
    <x v="0"/>
    <n v="14.31"/>
    <n v="2.3411111111111112E-2"/>
  </r>
  <r>
    <n v="8"/>
    <n v="0.45"/>
    <n v="0.23"/>
    <n v="2.2000000000000002"/>
    <n v="9.4E-2"/>
    <n v="16"/>
    <n v="29"/>
    <n v="0.99619999999999997"/>
    <x v="25"/>
    <n v="0.49"/>
    <x v="17"/>
    <x v="1"/>
    <x v="0"/>
    <n v="8.68"/>
    <n v="2.161764705882353E-2"/>
  </r>
  <r>
    <n v="8.5"/>
    <n v="0.46"/>
    <n v="0.31"/>
    <n v="2.25"/>
    <n v="7.8E-2"/>
    <n v="32"/>
    <n v="58"/>
    <n v="0.998"/>
    <x v="24"/>
    <n v="0.54"/>
    <x v="1"/>
    <x v="0"/>
    <x v="0"/>
    <n v="9.2700000000000014"/>
    <n v="2.5346938775510208E-2"/>
  </r>
  <r>
    <n v="8.1"/>
    <n v="0.78"/>
    <n v="0.23"/>
    <n v="2.6"/>
    <n v="5.9000000000000004E-2"/>
    <n v="5"/>
    <n v="15"/>
    <n v="0.997"/>
    <x v="42"/>
    <n v="0.56000000000000005"/>
    <x v="33"/>
    <x v="0"/>
    <x v="0"/>
    <n v="9.11"/>
    <n v="3.8654867256637172E-2"/>
  </r>
  <r>
    <n v="9.8000000000000007"/>
    <n v="0.98"/>
    <n v="0.32"/>
    <n v="2.2999999999999998"/>
    <n v="7.8E-2"/>
    <n v="35"/>
    <n v="152"/>
    <n v="0.998"/>
    <x v="28"/>
    <n v="0.48"/>
    <x v="0"/>
    <x v="0"/>
    <x v="0"/>
    <n v="11.100000000000001"/>
    <n v="5.0042553191489356E-2"/>
  </r>
  <r>
    <n v="8.1"/>
    <n v="0.78"/>
    <n v="0.23"/>
    <n v="2.6"/>
    <n v="5.9000000000000004E-2"/>
    <n v="5"/>
    <n v="15"/>
    <n v="0.997"/>
    <x v="42"/>
    <n v="0.56000000000000005"/>
    <x v="33"/>
    <x v="0"/>
    <x v="0"/>
    <n v="9.11"/>
    <n v="3.8654867256637172E-2"/>
  </r>
  <r>
    <n v="7.1"/>
    <n v="0.65"/>
    <n v="0.18"/>
    <n v="1.8"/>
    <n v="7.0000000000000007E-2"/>
    <n v="13"/>
    <n v="40"/>
    <n v="0.997"/>
    <x v="32"/>
    <n v="0.6"/>
    <x v="7"/>
    <x v="0"/>
    <x v="0"/>
    <n v="7.93"/>
    <n v="4.2857142857142858E-2"/>
  </r>
  <r>
    <n v="9.1"/>
    <n v="0.64"/>
    <n v="0.23"/>
    <n v="3.1"/>
    <n v="9.5000000000000001E-2"/>
    <n v="13"/>
    <n v="38"/>
    <n v="0.99980000000000002"/>
    <x v="8"/>
    <n v="0.59"/>
    <x v="10"/>
    <x v="0"/>
    <x v="0"/>
    <n v="9.9700000000000006"/>
    <n v="3.8927835051546393E-2"/>
  </r>
  <r>
    <n v="7.7"/>
    <n v="0.66"/>
    <n v="0.04"/>
    <n v="1.6"/>
    <n v="3.9E-2"/>
    <n v="4"/>
    <n v="9"/>
    <n v="0.99619999999999997"/>
    <x v="20"/>
    <n v="0.47"/>
    <x v="0"/>
    <x v="0"/>
    <x v="0"/>
    <n v="8.3999999999999986"/>
    <n v="3.2999999999999995E-2"/>
  </r>
  <r>
    <n v="8.1"/>
    <n v="0.38"/>
    <n v="0.48"/>
    <n v="1.8"/>
    <n v="0.157"/>
    <n v="5"/>
    <n v="17"/>
    <n v="0.99760000000000004"/>
    <x v="4"/>
    <n v="1.05"/>
    <x v="0"/>
    <x v="0"/>
    <x v="0"/>
    <n v="8.9600000000000009"/>
    <n v="4.2446808510638298E-2"/>
  </r>
  <r>
    <n v="7.4"/>
    <n v="1.1850000000000001"/>
    <n v="0"/>
    <n v="4.25"/>
    <n v="9.6999999999999989E-2"/>
    <n v="5"/>
    <n v="14"/>
    <n v="0.99660000000000004"/>
    <x v="48"/>
    <n v="0.54"/>
    <x v="19"/>
    <x v="5"/>
    <x v="2"/>
    <n v="8.5850000000000009"/>
    <n v="5.9803738317757017E-2"/>
  </r>
  <r>
    <n v="9.1999999999999993"/>
    <n v="0.92"/>
    <n v="0.24"/>
    <n v="2.6"/>
    <n v="8.6999999999999994E-2"/>
    <n v="12"/>
    <n v="93"/>
    <n v="0.99980000000000002"/>
    <x v="26"/>
    <n v="0.54"/>
    <x v="1"/>
    <x v="0"/>
    <x v="0"/>
    <n v="10.36"/>
    <n v="5.0693877551020415E-2"/>
  </r>
  <r>
    <n v="8.6"/>
    <n v="0.49"/>
    <n v="0.51"/>
    <n v="2"/>
    <n v="0.42200000000000004"/>
    <n v="16"/>
    <n v="62"/>
    <n v="0.99790000000000001"/>
    <x v="70"/>
    <n v="1.17"/>
    <x v="9"/>
    <x v="0"/>
    <x v="0"/>
    <n v="9.6"/>
    <n v="6.3699999999999993E-2"/>
  </r>
  <r>
    <n v="9"/>
    <n v="0.48"/>
    <n v="0.32"/>
    <n v="2.8"/>
    <n v="8.4000000000000005E-2"/>
    <n v="21"/>
    <n v="122"/>
    <n v="0.99839999999999995"/>
    <x v="29"/>
    <n v="0.62"/>
    <x v="0"/>
    <x v="0"/>
    <x v="0"/>
    <n v="9.8000000000000007"/>
    <n v="3.1659574468085101E-2"/>
  </r>
  <r>
    <n v="9"/>
    <n v="0.47"/>
    <n v="0.31"/>
    <n v="2.7"/>
    <n v="8.4000000000000005E-2"/>
    <n v="24"/>
    <n v="125"/>
    <n v="0.99839999999999995"/>
    <x v="33"/>
    <n v="0.61"/>
    <x v="0"/>
    <x v="0"/>
    <x v="0"/>
    <n v="9.7800000000000011"/>
    <n v="3.0499999999999992E-2"/>
  </r>
  <r>
    <n v="5.0999999999999996"/>
    <n v="0.47"/>
    <n v="0.02"/>
    <n v="1.3"/>
    <n v="3.4000000000000002E-2"/>
    <n v="18"/>
    <n v="44"/>
    <n v="0.99209999999999998"/>
    <x v="27"/>
    <n v="0.62"/>
    <x v="29"/>
    <x v="1"/>
    <x v="0"/>
    <n v="5.589999999999999"/>
    <n v="2.2765624999999998E-2"/>
  </r>
  <r>
    <n v="7"/>
    <n v="0.65"/>
    <n v="0.02"/>
    <n v="2.1"/>
    <n v="6.6000000000000003E-2"/>
    <n v="8"/>
    <n v="25"/>
    <n v="0.99719999999999998"/>
    <x v="17"/>
    <n v="0.67"/>
    <x v="3"/>
    <x v="1"/>
    <x v="0"/>
    <n v="7.67"/>
    <n v="4.5842105263157899E-2"/>
  </r>
  <r>
    <n v="7"/>
    <n v="0.65"/>
    <n v="0.02"/>
    <n v="2.1"/>
    <n v="6.6000000000000003E-2"/>
    <n v="8"/>
    <n v="25"/>
    <n v="0.99719999999999998"/>
    <x v="17"/>
    <n v="0.67"/>
    <x v="3"/>
    <x v="1"/>
    <x v="0"/>
    <n v="7.67"/>
    <n v="4.5842105263157899E-2"/>
  </r>
  <r>
    <n v="9.4"/>
    <n v="0.61499999999999999"/>
    <n v="0.28000000000000003"/>
    <n v="3.2"/>
    <n v="8.6999999999999994E-2"/>
    <n v="18"/>
    <n v="72"/>
    <n v="1.0001"/>
    <x v="33"/>
    <n v="0.53"/>
    <x v="10"/>
    <x v="0"/>
    <x v="0"/>
    <n v="10.295"/>
    <n v="3.3603092783505158E-2"/>
  </r>
  <r>
    <n v="11.8"/>
    <n v="0.38"/>
    <n v="0.55000000000000004"/>
    <n v="2.1"/>
    <n v="7.0999999999999994E-2"/>
    <n v="5"/>
    <n v="19"/>
    <n v="0.99860000000000004"/>
    <x v="11"/>
    <n v="0.62"/>
    <x v="14"/>
    <x v="1"/>
    <x v="0"/>
    <n v="12.730000000000002"/>
    <n v="2.1814814814814815E-2"/>
  </r>
  <r>
    <n v="10.6"/>
    <n v="1.02"/>
    <n v="0.43"/>
    <n v="2.9"/>
    <n v="7.5999999999999998E-2"/>
    <n v="26"/>
    <n v="88"/>
    <n v="0.99839999999999995"/>
    <x v="41"/>
    <n v="0.56999999999999995"/>
    <x v="11"/>
    <x v="1"/>
    <x v="0"/>
    <n v="12.049999999999999"/>
    <n v="5.756435643564356E-2"/>
  </r>
  <r>
    <n v="7"/>
    <n v="0.65"/>
    <n v="0.02"/>
    <n v="2.1"/>
    <n v="6.6000000000000003E-2"/>
    <n v="8"/>
    <n v="25"/>
    <n v="0.99719999999999998"/>
    <x v="17"/>
    <n v="0.67"/>
    <x v="3"/>
    <x v="1"/>
    <x v="0"/>
    <n v="7.67"/>
    <n v="4.5842105263157899E-2"/>
  </r>
  <r>
    <n v="7"/>
    <n v="0.64"/>
    <n v="0.02"/>
    <n v="2.1"/>
    <n v="6.7000000000000004E-2"/>
    <n v="9"/>
    <n v="23"/>
    <n v="0.997"/>
    <x v="17"/>
    <n v="0.67"/>
    <x v="0"/>
    <x v="1"/>
    <x v="0"/>
    <n v="7.6599999999999993"/>
    <n v="4.5617021276595747E-2"/>
  </r>
  <r>
    <n v="7.5"/>
    <n v="0.38"/>
    <n v="0.48"/>
    <n v="2.6"/>
    <n v="7.2999999999999995E-2"/>
    <n v="22"/>
    <n v="84"/>
    <n v="0.99719999999999998"/>
    <x v="29"/>
    <n v="0.7"/>
    <x v="13"/>
    <x v="3"/>
    <x v="2"/>
    <n v="8.36"/>
    <n v="2.7708333333333331E-2"/>
  </r>
  <r>
    <n v="9.1"/>
    <n v="0.76500000000000001"/>
    <n v="0.04"/>
    <n v="1.6"/>
    <n v="7.8E-2"/>
    <n v="4"/>
    <n v="14"/>
    <n v="0.998"/>
    <x v="40"/>
    <n v="0.54"/>
    <x v="10"/>
    <x v="3"/>
    <x v="2"/>
    <n v="9.9049999999999994"/>
    <n v="4.2587628865979388E-2"/>
  </r>
  <r>
    <n v="8.4"/>
    <n v="1.0349999999999999"/>
    <n v="0.15"/>
    <n v="6"/>
    <n v="7.2999999999999995E-2"/>
    <n v="11"/>
    <n v="54"/>
    <n v="0.99900000000000011"/>
    <x v="42"/>
    <n v="0.49"/>
    <x v="6"/>
    <x v="0"/>
    <x v="0"/>
    <n v="9.5850000000000009"/>
    <n v="5.1227272727272725E-2"/>
  </r>
  <r>
    <n v="7"/>
    <n v="0.78"/>
    <n v="0.08"/>
    <n v="2"/>
    <n v="9.3000000000000013E-2"/>
    <n v="10"/>
    <n v="19"/>
    <n v="0.99560000000000004"/>
    <x v="20"/>
    <n v="0.47"/>
    <x v="2"/>
    <x v="0"/>
    <x v="0"/>
    <n v="7.86"/>
    <n v="3.6659999999999998E-2"/>
  </r>
  <r>
    <n v="7.4"/>
    <n v="0.49"/>
    <n v="0.19"/>
    <n v="3"/>
    <n v="7.6999999999999999E-2"/>
    <n v="16"/>
    <n v="37"/>
    <n v="0.99660000000000004"/>
    <x v="42"/>
    <n v="0.51"/>
    <x v="4"/>
    <x v="0"/>
    <x v="0"/>
    <n v="8.08"/>
    <n v="2.3800000000000002E-2"/>
  </r>
  <r>
    <n v="7.8"/>
    <n v="0.54500000000000004"/>
    <n v="0.12"/>
    <n v="2.5"/>
    <n v="6.8000000000000005E-2"/>
    <n v="11"/>
    <n v="35"/>
    <n v="0.996"/>
    <x v="16"/>
    <n v="0.61"/>
    <x v="41"/>
    <x v="1"/>
    <x v="0"/>
    <n v="8.4649999999999999"/>
    <n v="2.8659482758620694E-2"/>
  </r>
  <r>
    <n v="9.6999999999999993"/>
    <n v="0.31"/>
    <n v="0.47"/>
    <n v="1.6"/>
    <n v="6.2E-2"/>
    <n v="13"/>
    <n v="33"/>
    <n v="0.99829999999999997"/>
    <x v="63"/>
    <n v="0.66"/>
    <x v="2"/>
    <x v="1"/>
    <x v="0"/>
    <n v="10.48"/>
    <n v="2.0459999999999999E-2"/>
  </r>
  <r>
    <n v="10.6"/>
    <n v="1.0249999999999999"/>
    <n v="0.43"/>
    <n v="2.8"/>
    <n v="0.08"/>
    <n v="21"/>
    <n v="84"/>
    <n v="0.99850000000000005"/>
    <x v="57"/>
    <n v="0.56999999999999995"/>
    <x v="11"/>
    <x v="0"/>
    <x v="0"/>
    <n v="12.055"/>
    <n v="5.7846534653465342E-2"/>
  </r>
  <r>
    <n v="8.9"/>
    <n v="0.56499999999999995"/>
    <n v="0.34"/>
    <n v="3"/>
    <n v="9.3000000000000013E-2"/>
    <n v="16"/>
    <n v="112"/>
    <n v="0.99980000000000002"/>
    <x v="12"/>
    <n v="0.61"/>
    <x v="3"/>
    <x v="0"/>
    <x v="0"/>
    <n v="9.8049999999999997"/>
    <n v="3.627894736842105E-2"/>
  </r>
  <r>
    <n v="8.6999999999999993"/>
    <n v="0.69"/>
    <n v="0"/>
    <n v="3.2"/>
    <n v="8.4000000000000005E-2"/>
    <n v="13"/>
    <n v="33"/>
    <n v="0.99919999999999998"/>
    <x v="6"/>
    <n v="0.45"/>
    <x v="0"/>
    <x v="0"/>
    <x v="0"/>
    <n v="9.3899999999999988"/>
    <n v="3.3031914893617023E-2"/>
  </r>
  <r>
    <n v="8"/>
    <n v="0.43"/>
    <n v="0.36"/>
    <n v="2.2999999999999998"/>
    <n v="7.4999999999999997E-2"/>
    <n v="10"/>
    <n v="48"/>
    <n v="0.99760000000000004"/>
    <x v="16"/>
    <n v="0.46"/>
    <x v="0"/>
    <x v="0"/>
    <x v="0"/>
    <n v="8.7899999999999991"/>
    <n v="2.1042553191489361E-2"/>
  </r>
  <r>
    <n v="9.9"/>
    <n v="0.74"/>
    <n v="0.28000000000000003"/>
    <n v="2.6"/>
    <n v="7.8E-2"/>
    <n v="21"/>
    <n v="77"/>
    <n v="0.998"/>
    <x v="8"/>
    <n v="0.51"/>
    <x v="1"/>
    <x v="0"/>
    <x v="0"/>
    <n v="10.92"/>
    <n v="3.8510204081632651E-2"/>
  </r>
  <r>
    <n v="7.2"/>
    <n v="0.49"/>
    <n v="0.18"/>
    <n v="2.7"/>
    <n v="6.9000000000000006E-2"/>
    <n v="13"/>
    <n v="34"/>
    <n v="0.99670000000000003"/>
    <x v="40"/>
    <n v="0.48"/>
    <x v="5"/>
    <x v="1"/>
    <x v="0"/>
    <n v="7.87"/>
    <n v="2.5565217391304348E-2"/>
  </r>
  <r>
    <n v="8"/>
    <n v="0.43"/>
    <n v="0.36"/>
    <n v="2.2999999999999998"/>
    <n v="7.4999999999999997E-2"/>
    <n v="10"/>
    <n v="48"/>
    <n v="0.99760000000000004"/>
    <x v="16"/>
    <n v="0.46"/>
    <x v="0"/>
    <x v="0"/>
    <x v="0"/>
    <n v="8.7899999999999991"/>
    <n v="2.1042553191489361E-2"/>
  </r>
  <r>
    <n v="7.6"/>
    <n v="0.46"/>
    <n v="0.11"/>
    <n v="2.6"/>
    <n v="7.9000000000000001E-2"/>
    <n v="12"/>
    <n v="49"/>
    <n v="0.99680000000000002"/>
    <x v="25"/>
    <n v="0.56999999999999995"/>
    <x v="2"/>
    <x v="0"/>
    <x v="0"/>
    <n v="8.17"/>
    <n v="2.622E-2"/>
  </r>
  <r>
    <n v="8.4"/>
    <n v="0.56000000000000005"/>
    <n v="0.04"/>
    <n v="2"/>
    <n v="8.199999999999999E-2"/>
    <n v="10"/>
    <n v="22"/>
    <n v="0.99760000000000004"/>
    <x v="49"/>
    <n v="0.44"/>
    <x v="13"/>
    <x v="0"/>
    <x v="0"/>
    <n v="9"/>
    <n v="2.5666666666666671E-2"/>
  </r>
  <r>
    <n v="7.1"/>
    <n v="0.66"/>
    <n v="0"/>
    <n v="3.9"/>
    <n v="8.5999999999999993E-2"/>
    <n v="17"/>
    <n v="45"/>
    <n v="0.99760000000000004"/>
    <x v="18"/>
    <n v="0.54"/>
    <x v="3"/>
    <x v="0"/>
    <x v="0"/>
    <n v="7.76"/>
    <n v="3.7515789473684218E-2"/>
  </r>
  <r>
    <n v="8.4"/>
    <n v="0.56000000000000005"/>
    <n v="0.04"/>
    <n v="2"/>
    <n v="8.199999999999999E-2"/>
    <n v="10"/>
    <n v="22"/>
    <n v="0.99760000000000004"/>
    <x v="49"/>
    <n v="0.44"/>
    <x v="13"/>
    <x v="0"/>
    <x v="0"/>
    <n v="9"/>
    <n v="2.5666666666666671E-2"/>
  </r>
  <r>
    <n v="8.9"/>
    <n v="0.48"/>
    <n v="0.24"/>
    <n v="2.85"/>
    <n v="9.4E-2"/>
    <n v="35"/>
    <n v="106"/>
    <n v="0.99819999999999998"/>
    <x v="60"/>
    <n v="0.53"/>
    <x v="5"/>
    <x v="0"/>
    <x v="0"/>
    <n v="9.620000000000001"/>
    <n v="2.7652173913043483E-2"/>
  </r>
  <r>
    <n v="7.6"/>
    <n v="0.42"/>
    <n v="0.08"/>
    <n v="2.7"/>
    <n v="8.4000000000000005E-2"/>
    <n v="15"/>
    <n v="48"/>
    <n v="0.99680000000000002"/>
    <x v="25"/>
    <n v="0.59"/>
    <x v="2"/>
    <x v="0"/>
    <x v="0"/>
    <n v="8.1"/>
    <n v="2.4779999999999996E-2"/>
  </r>
  <r>
    <n v="7.1"/>
    <n v="0.31"/>
    <n v="0.3"/>
    <n v="2.2000000000000002"/>
    <n v="5.2999999999999999E-2"/>
    <n v="36"/>
    <n v="127"/>
    <n v="0.99650000000000005"/>
    <x v="82"/>
    <n v="1.62"/>
    <x v="3"/>
    <x v="0"/>
    <x v="0"/>
    <n v="7.7099999999999991"/>
    <n v="5.2863157894736841E-2"/>
  </r>
  <r>
    <n v="7.5"/>
    <n v="1.115"/>
    <n v="0.1"/>
    <n v="3.1"/>
    <n v="8.5999999999999993E-2"/>
    <n v="5"/>
    <n v="12"/>
    <n v="0.99580000000000002"/>
    <x v="34"/>
    <n v="0.6"/>
    <x v="40"/>
    <x v="3"/>
    <x v="2"/>
    <n v="8.7149999999999999"/>
    <n v="5.9732142857142852E-2"/>
  </r>
  <r>
    <n v="9"/>
    <n v="0.66"/>
    <n v="0.17"/>
    <n v="3"/>
    <n v="7.6999999999999999E-2"/>
    <n v="5"/>
    <n v="13"/>
    <n v="0.99760000000000004"/>
    <x v="40"/>
    <n v="0.55000000000000004"/>
    <x v="21"/>
    <x v="0"/>
    <x v="0"/>
    <n v="9.83"/>
    <n v="3.490384615384616E-2"/>
  </r>
  <r>
    <n v="8.1"/>
    <n v="0.72"/>
    <n v="0.09"/>
    <n v="2.8"/>
    <n v="8.4000000000000005E-2"/>
    <n v="18"/>
    <n v="49"/>
    <n v="0.99939999999999996"/>
    <x v="15"/>
    <n v="0.72"/>
    <x v="42"/>
    <x v="1"/>
    <x v="0"/>
    <n v="8.91"/>
    <n v="4.67027027027027E-2"/>
  </r>
  <r>
    <n v="6.4"/>
    <n v="0.56999999999999995"/>
    <n v="0.02"/>
    <n v="1.8"/>
    <n v="6.7000000000000004E-2"/>
    <n v="4"/>
    <n v="11"/>
    <n v="0.997"/>
    <x v="18"/>
    <n v="0.68"/>
    <x v="3"/>
    <x v="0"/>
    <x v="0"/>
    <n v="6.99"/>
    <n v="4.0800000000000003E-2"/>
  </r>
  <r>
    <n v="6.4"/>
    <n v="0.56999999999999995"/>
    <n v="0.02"/>
    <n v="1.8"/>
    <n v="6.7000000000000004E-2"/>
    <n v="4"/>
    <n v="11"/>
    <n v="0.997"/>
    <x v="18"/>
    <n v="0.68"/>
    <x v="3"/>
    <x v="0"/>
    <x v="0"/>
    <n v="6.99"/>
    <n v="4.0800000000000003E-2"/>
  </r>
  <r>
    <n v="6.4"/>
    <n v="0.86499999999999999"/>
    <n v="0.03"/>
    <n v="3.2"/>
    <n v="7.0999999999999994E-2"/>
    <n v="27"/>
    <n v="58"/>
    <n v="0.995"/>
    <x v="56"/>
    <n v="0.49"/>
    <x v="46"/>
    <x v="1"/>
    <x v="0"/>
    <n v="7.2950000000000008"/>
    <n v="3.3374015748031498E-2"/>
  </r>
  <r>
    <n v="9.5"/>
    <n v="0.55000000000000004"/>
    <n v="0.66"/>
    <n v="2.2999999999999998"/>
    <n v="0.38700000000000001"/>
    <n v="12"/>
    <n v="37"/>
    <n v="0.99819999999999998"/>
    <x v="10"/>
    <n v="0.67"/>
    <x v="13"/>
    <x v="0"/>
    <x v="0"/>
    <n v="10.71"/>
    <n v="3.8385416666666672E-2"/>
  </r>
  <r>
    <n v="8.9"/>
    <n v="0.875"/>
    <n v="0.13"/>
    <n v="3.45"/>
    <n v="8.8000000000000009E-2"/>
    <n v="4"/>
    <n v="14"/>
    <n v="0.99939999999999996"/>
    <x v="32"/>
    <n v="0.52"/>
    <x v="24"/>
    <x v="0"/>
    <x v="0"/>
    <n v="9.9050000000000011"/>
    <n v="3.956521739130435E-2"/>
  </r>
  <r>
    <n v="7.3"/>
    <n v="0.83499999999999996"/>
    <n v="0.03"/>
    <n v="2.1"/>
    <n v="9.1999999999999998E-2"/>
    <n v="10"/>
    <n v="19"/>
    <n v="0.99660000000000004"/>
    <x v="5"/>
    <n v="0.47"/>
    <x v="13"/>
    <x v="0"/>
    <x v="0"/>
    <n v="8.1649999999999991"/>
    <n v="4.0880208333333334E-2"/>
  </r>
  <r>
    <n v="7"/>
    <n v="0.45"/>
    <n v="0.34"/>
    <n v="2.7"/>
    <n v="8.199999999999999E-2"/>
    <n v="16"/>
    <n v="72"/>
    <n v="0.998"/>
    <x v="66"/>
    <n v="0.6"/>
    <x v="3"/>
    <x v="0"/>
    <x v="0"/>
    <n v="7.79"/>
    <n v="2.8421052631578948E-2"/>
  </r>
  <r>
    <n v="7.7"/>
    <n v="0.56000000000000005"/>
    <n v="0.2"/>
    <n v="2"/>
    <n v="7.4999999999999997E-2"/>
    <n v="9"/>
    <n v="39"/>
    <n v="0.99870000000000003"/>
    <x v="26"/>
    <n v="0.62"/>
    <x v="8"/>
    <x v="0"/>
    <x v="0"/>
    <n v="8.4599999999999991"/>
    <n v="3.7333333333333329E-2"/>
  </r>
  <r>
    <n v="7.7"/>
    <n v="0.96499999999999997"/>
    <n v="0.1"/>
    <n v="2.1"/>
    <n v="0.11199999999999999"/>
    <n v="11"/>
    <n v="22"/>
    <n v="0.99629999999999996"/>
    <x v="2"/>
    <n v="0.5"/>
    <x v="3"/>
    <x v="0"/>
    <x v="0"/>
    <n v="8.7650000000000006"/>
    <n v="5.0789473684210523E-2"/>
  </r>
  <r>
    <n v="7.7"/>
    <n v="0.96499999999999997"/>
    <n v="0.1"/>
    <n v="2.1"/>
    <n v="0.11199999999999999"/>
    <n v="11"/>
    <n v="22"/>
    <n v="0.99629999999999996"/>
    <x v="2"/>
    <n v="0.5"/>
    <x v="3"/>
    <x v="0"/>
    <x v="0"/>
    <n v="8.7650000000000006"/>
    <n v="5.0789473684210523E-2"/>
  </r>
  <r>
    <n v="8.1999999999999993"/>
    <n v="0.59"/>
    <n v="0"/>
    <n v="2.5"/>
    <n v="9.3000000000000013E-2"/>
    <n v="19"/>
    <n v="58"/>
    <n v="1.0002"/>
    <x v="23"/>
    <n v="0.65"/>
    <x v="8"/>
    <x v="1"/>
    <x v="0"/>
    <n v="8.7899999999999991"/>
    <n v="4.1236559139784947E-2"/>
  </r>
  <r>
    <n v="9"/>
    <n v="0.46"/>
    <n v="0.23"/>
    <n v="2.8"/>
    <n v="9.1999999999999998E-2"/>
    <n v="28"/>
    <n v="104"/>
    <n v="0.99829999999999997"/>
    <x v="60"/>
    <n v="0.56000000000000005"/>
    <x v="5"/>
    <x v="0"/>
    <x v="0"/>
    <n v="9.6900000000000013"/>
    <n v="2.8000000000000008E-2"/>
  </r>
  <r>
    <n v="9"/>
    <n v="0.69"/>
    <n v="0"/>
    <n v="2.4"/>
    <n v="8.8000000000000009E-2"/>
    <n v="19"/>
    <n v="38"/>
    <n v="0.99900000000000011"/>
    <x v="7"/>
    <n v="0.6"/>
    <x v="8"/>
    <x v="0"/>
    <x v="0"/>
    <n v="9.69"/>
    <n v="4.4516129032258059E-2"/>
  </r>
  <r>
    <n v="8.3000000000000007"/>
    <n v="0.76"/>
    <n v="0.28999999999999998"/>
    <n v="4.2"/>
    <n v="7.4999999999999997E-2"/>
    <n v="12"/>
    <n v="16"/>
    <n v="0.99650000000000005"/>
    <x v="19"/>
    <n v="0.68"/>
    <x v="24"/>
    <x v="1"/>
    <x v="0"/>
    <n v="9.35"/>
    <n v="4.4939130434782613E-2"/>
  </r>
  <r>
    <n v="9.1999999999999993"/>
    <n v="0.53"/>
    <n v="0.24"/>
    <n v="2.6"/>
    <n v="7.8E-2"/>
    <n v="28"/>
    <n v="139"/>
    <n v="0.99787999999999988"/>
    <x v="25"/>
    <n v="0.56999999999999995"/>
    <x v="3"/>
    <x v="0"/>
    <x v="0"/>
    <n v="9.9699999999999989"/>
    <n v="3.1799999999999995E-2"/>
  </r>
  <r>
    <n v="6.5"/>
    <n v="0.61499999999999999"/>
    <n v="0"/>
    <n v="1.9"/>
    <n v="6.5000000000000002E-2"/>
    <n v="9"/>
    <n v="18"/>
    <n v="0.99719999999999998"/>
    <x v="18"/>
    <n v="0.65"/>
    <x v="5"/>
    <x v="0"/>
    <x v="0"/>
    <n v="7.1150000000000002"/>
    <n v="4.3451086956521744E-2"/>
  </r>
  <r>
    <n v="11.6"/>
    <n v="0.41"/>
    <n v="0.57999999999999996"/>
    <n v="2.8"/>
    <n v="9.6000000000000002E-2"/>
    <n v="25"/>
    <n v="101"/>
    <n v="1.00024"/>
    <x v="35"/>
    <n v="0.53"/>
    <x v="2"/>
    <x v="0"/>
    <x v="0"/>
    <n v="12.59"/>
    <n v="2.1729999999999999E-2"/>
  </r>
  <r>
    <n v="11.1"/>
    <n v="0.39"/>
    <n v="0.54"/>
    <n v="2.7"/>
    <n v="9.5000000000000001E-2"/>
    <n v="21"/>
    <n v="101"/>
    <n v="1.0001"/>
    <x v="35"/>
    <n v="0.51"/>
    <x v="3"/>
    <x v="0"/>
    <x v="0"/>
    <n v="12.030000000000001"/>
    <n v="2.093684210526316E-2"/>
  </r>
  <r>
    <n v="7.3"/>
    <n v="0.51"/>
    <n v="0.18"/>
    <n v="2.1"/>
    <n v="7.0000000000000007E-2"/>
    <n v="12"/>
    <n v="28"/>
    <n v="0.9976799999999999"/>
    <x v="14"/>
    <n v="0.73"/>
    <x v="3"/>
    <x v="1"/>
    <x v="0"/>
    <n v="7.9899999999999993"/>
    <n v="3.9189473684210531E-2"/>
  </r>
  <r>
    <n v="8.1999999999999993"/>
    <n v="0.34"/>
    <n v="0.38"/>
    <n v="2.5"/>
    <n v="0.08"/>
    <n v="12"/>
    <n v="57"/>
    <n v="0.99780000000000002"/>
    <x v="4"/>
    <n v="0.47"/>
    <x v="9"/>
    <x v="1"/>
    <x v="0"/>
    <n v="8.92"/>
    <n v="1.7755555555555556E-2"/>
  </r>
  <r>
    <n v="8.6"/>
    <n v="0.33"/>
    <n v="0.4"/>
    <n v="2.6"/>
    <n v="8.3000000000000004E-2"/>
    <n v="16"/>
    <n v="68"/>
    <n v="0.99782000000000004"/>
    <x v="4"/>
    <n v="0.48"/>
    <x v="0"/>
    <x v="0"/>
    <x v="0"/>
    <n v="9.33"/>
    <n v="1.6851063829787235E-2"/>
  </r>
  <r>
    <n v="7.2"/>
    <n v="0.5"/>
    <n v="0.18"/>
    <n v="2.1"/>
    <n v="7.0999999999999994E-2"/>
    <n v="12"/>
    <n v="31"/>
    <n v="0.99761"/>
    <x v="14"/>
    <n v="0.72"/>
    <x v="13"/>
    <x v="1"/>
    <x v="0"/>
    <n v="7.88"/>
    <n v="3.7499999999999999E-2"/>
  </r>
  <r>
    <n v="7.3"/>
    <n v="0.51"/>
    <n v="0.18"/>
    <n v="2.1"/>
    <n v="7.0000000000000007E-2"/>
    <n v="12"/>
    <n v="28"/>
    <n v="0.9976799999999999"/>
    <x v="14"/>
    <n v="0.73"/>
    <x v="3"/>
    <x v="1"/>
    <x v="0"/>
    <n v="7.9899999999999993"/>
    <n v="3.9189473684210531E-2"/>
  </r>
  <r>
    <n v="8.3000000000000007"/>
    <n v="0.65"/>
    <n v="0.1"/>
    <n v="2.9"/>
    <n v="8.900000000000001E-2"/>
    <n v="17"/>
    <n v="40"/>
    <n v="0.99802999999999997"/>
    <x v="40"/>
    <n v="0.55000000000000004"/>
    <x v="3"/>
    <x v="0"/>
    <x v="0"/>
    <n v="9.0500000000000007"/>
    <n v="3.7631578947368426E-2"/>
  </r>
  <r>
    <n v="8.3000000000000007"/>
    <n v="0.65"/>
    <n v="0.1"/>
    <n v="2.9"/>
    <n v="8.900000000000001E-2"/>
    <n v="17"/>
    <n v="40"/>
    <n v="0.99802999999999997"/>
    <x v="40"/>
    <n v="0.55000000000000004"/>
    <x v="3"/>
    <x v="0"/>
    <x v="0"/>
    <n v="9.0500000000000007"/>
    <n v="3.7631578947368426E-2"/>
  </r>
  <r>
    <n v="7.6"/>
    <n v="0.54"/>
    <n v="0.13"/>
    <n v="2.5"/>
    <n v="9.6999999999999989E-2"/>
    <n v="24"/>
    <n v="66"/>
    <n v="0.99785000000000001"/>
    <x v="5"/>
    <n v="0.61"/>
    <x v="0"/>
    <x v="0"/>
    <x v="0"/>
    <n v="8.2700000000000014"/>
    <n v="3.5042553191489363E-2"/>
  </r>
  <r>
    <n v="8.3000000000000007"/>
    <n v="0.65"/>
    <n v="0.1"/>
    <n v="2.9"/>
    <n v="8.900000000000001E-2"/>
    <n v="17"/>
    <n v="40"/>
    <n v="0.99802999999999997"/>
    <x v="40"/>
    <n v="0.55000000000000004"/>
    <x v="3"/>
    <x v="0"/>
    <x v="0"/>
    <n v="9.0500000000000007"/>
    <n v="3.7631578947368426E-2"/>
  </r>
  <r>
    <n v="7.8"/>
    <n v="0.48"/>
    <n v="0.68"/>
    <n v="1.7"/>
    <n v="0.41499999999999998"/>
    <n v="14"/>
    <n v="32"/>
    <n v="0.99656"/>
    <x v="75"/>
    <n v="1.06"/>
    <x v="7"/>
    <x v="1"/>
    <x v="0"/>
    <n v="8.9599999999999991"/>
    <n v="5.5912087912087918E-2"/>
  </r>
  <r>
    <n v="7.8"/>
    <n v="0.91"/>
    <n v="7.0000000000000007E-2"/>
    <n v="1.9"/>
    <n v="5.7999999999999996E-2"/>
    <n v="22"/>
    <n v="47"/>
    <n v="0.99524999999999997"/>
    <x v="0"/>
    <n v="0.43"/>
    <x v="19"/>
    <x v="1"/>
    <x v="0"/>
    <n v="8.7799999999999994"/>
    <n v="3.6570093457943924E-2"/>
  </r>
  <r>
    <n v="6.3"/>
    <n v="0.98"/>
    <n v="0.01"/>
    <n v="2"/>
    <n v="5.7000000000000002E-2"/>
    <n v="15"/>
    <n v="33"/>
    <n v="0.99487999999999988"/>
    <x v="58"/>
    <n v="0.46"/>
    <x v="40"/>
    <x v="1"/>
    <x v="0"/>
    <n v="7.2899999999999991"/>
    <n v="4.0250000000000008E-2"/>
  </r>
  <r>
    <n v="8.1"/>
    <n v="0.87"/>
    <n v="0"/>
    <n v="2.2000000000000002"/>
    <n v="8.4000000000000005E-2"/>
    <n v="10"/>
    <n v="31"/>
    <n v="0.99656"/>
    <x v="28"/>
    <n v="0.5"/>
    <x v="1"/>
    <x v="0"/>
    <x v="0"/>
    <n v="8.9699999999999989"/>
    <n v="4.4387755102040814E-2"/>
  </r>
  <r>
    <n v="8.1"/>
    <n v="0.87"/>
    <n v="0"/>
    <n v="2.2000000000000002"/>
    <n v="8.4000000000000005E-2"/>
    <n v="10"/>
    <n v="31"/>
    <n v="0.99656"/>
    <x v="28"/>
    <n v="0.5"/>
    <x v="1"/>
    <x v="0"/>
    <x v="0"/>
    <n v="8.9699999999999989"/>
    <n v="4.4387755102040814E-2"/>
  </r>
  <r>
    <n v="8.8000000000000007"/>
    <n v="0.42"/>
    <n v="0.21"/>
    <n v="2.5"/>
    <n v="9.1999999999999998E-2"/>
    <n v="33"/>
    <n v="88"/>
    <n v="0.99822999999999995"/>
    <x v="43"/>
    <n v="0.52"/>
    <x v="5"/>
    <x v="0"/>
    <x v="0"/>
    <n v="9.4300000000000015"/>
    <n v="2.3739130434782613E-2"/>
  </r>
  <r>
    <n v="9"/>
    <n v="0.57999999999999996"/>
    <n v="0.25"/>
    <n v="2.8"/>
    <n v="7.4999999999999997E-2"/>
    <n v="9"/>
    <n v="104"/>
    <n v="0.99778999999999995"/>
    <x v="22"/>
    <n v="0.56999999999999995"/>
    <x v="10"/>
    <x v="0"/>
    <x v="0"/>
    <n v="9.83"/>
    <n v="3.4082474226804119E-2"/>
  </r>
  <r>
    <n v="9.3000000000000007"/>
    <n v="0.65500000000000003"/>
    <n v="0.26"/>
    <n v="2"/>
    <n v="9.6000000000000002E-2"/>
    <n v="5"/>
    <n v="35"/>
    <n v="0.99737999999999993"/>
    <x v="28"/>
    <n v="0.42"/>
    <x v="13"/>
    <x v="0"/>
    <x v="0"/>
    <n v="10.215"/>
    <n v="2.8656250000000001E-2"/>
  </r>
  <r>
    <n v="8.8000000000000007"/>
    <n v="0.7"/>
    <n v="0"/>
    <n v="1.7"/>
    <n v="6.9000000000000006E-2"/>
    <n v="8"/>
    <n v="19"/>
    <n v="0.99701000000000006"/>
    <x v="33"/>
    <n v="0.53"/>
    <x v="2"/>
    <x v="1"/>
    <x v="0"/>
    <n v="9.5"/>
    <n v="3.7100000000000001E-2"/>
  </r>
  <r>
    <n v="9.3000000000000007"/>
    <n v="0.65500000000000003"/>
    <n v="0.26"/>
    <n v="2"/>
    <n v="9.6000000000000002E-2"/>
    <n v="5"/>
    <n v="35"/>
    <n v="0.99737999999999993"/>
    <x v="28"/>
    <n v="0.42"/>
    <x v="13"/>
    <x v="0"/>
    <x v="0"/>
    <n v="10.215"/>
    <n v="2.8656250000000001E-2"/>
  </r>
  <r>
    <n v="9.1"/>
    <n v="0.68"/>
    <n v="0.11"/>
    <n v="2.8"/>
    <n v="9.3000000000000013E-2"/>
    <n v="11"/>
    <n v="44"/>
    <n v="0.99887999999999988"/>
    <x v="33"/>
    <n v="0.55000000000000004"/>
    <x v="3"/>
    <x v="1"/>
    <x v="0"/>
    <n v="9.8899999999999988"/>
    <n v="3.9368421052631587E-2"/>
  </r>
  <r>
    <n v="9.1999999999999993"/>
    <n v="0.67"/>
    <n v="0.1"/>
    <n v="3"/>
    <n v="9.0999999999999998E-2"/>
    <n v="12"/>
    <n v="48"/>
    <n v="0.99887999999999988"/>
    <x v="33"/>
    <n v="0.54"/>
    <x v="3"/>
    <x v="1"/>
    <x v="0"/>
    <n v="9.9699999999999989"/>
    <n v="3.8084210526315797E-2"/>
  </r>
  <r>
    <n v="8.8000000000000007"/>
    <n v="0.59"/>
    <n v="0.18"/>
    <n v="2.9"/>
    <n v="8.900000000000001E-2"/>
    <n v="12"/>
    <n v="74"/>
    <n v="0.99737999999999993"/>
    <x v="37"/>
    <n v="0.54"/>
    <x v="0"/>
    <x v="0"/>
    <x v="0"/>
    <n v="9.57"/>
    <n v="3.3893617021276592E-2"/>
  </r>
  <r>
    <n v="7.5"/>
    <n v="0.6"/>
    <n v="0.32"/>
    <n v="2.7"/>
    <n v="0.10300000000000001"/>
    <n v="13"/>
    <n v="98"/>
    <n v="0.99937999999999994"/>
    <x v="19"/>
    <n v="0.62"/>
    <x v="3"/>
    <x v="0"/>
    <x v="0"/>
    <n v="8.42"/>
    <n v="3.9157894736842107E-2"/>
  </r>
  <r>
    <n v="7.1"/>
    <n v="0.59"/>
    <n v="0.02"/>
    <n v="2.2999999999999998"/>
    <n v="8.199999999999999E-2"/>
    <n v="24"/>
    <n v="94"/>
    <n v="0.99743999999999999"/>
    <x v="66"/>
    <n v="0.53"/>
    <x v="10"/>
    <x v="1"/>
    <x v="0"/>
    <n v="7.7099999999999991"/>
    <n v="3.2237113402061854E-2"/>
  </r>
  <r>
    <n v="7.9"/>
    <n v="0.72"/>
    <n v="0.01"/>
    <n v="1.9"/>
    <n v="7.5999999999999998E-2"/>
    <n v="7"/>
    <n v="32"/>
    <n v="0.9966799999999999"/>
    <x v="5"/>
    <n v="0.54"/>
    <x v="13"/>
    <x v="0"/>
    <x v="0"/>
    <n v="8.6300000000000008"/>
    <n v="4.0500000000000008E-2"/>
  </r>
  <r>
    <n v="7.1"/>
    <n v="0.59"/>
    <n v="0.02"/>
    <n v="2.2999999999999998"/>
    <n v="8.199999999999999E-2"/>
    <n v="24"/>
    <n v="94"/>
    <n v="0.99743999999999999"/>
    <x v="66"/>
    <n v="0.53"/>
    <x v="10"/>
    <x v="1"/>
    <x v="0"/>
    <n v="7.7099999999999991"/>
    <n v="3.2237113402061854E-2"/>
  </r>
  <r>
    <n v="9.4"/>
    <n v="0.68500000000000005"/>
    <n v="0.26"/>
    <n v="2.4"/>
    <n v="8.199999999999999E-2"/>
    <n v="23"/>
    <n v="143"/>
    <n v="0.99780000000000002"/>
    <x v="8"/>
    <n v="0.55000000000000004"/>
    <x v="0"/>
    <x v="0"/>
    <x v="0"/>
    <n v="10.345000000000001"/>
    <n v="4.0079787234042562E-2"/>
  </r>
  <r>
    <n v="9.5"/>
    <n v="0.56999999999999995"/>
    <n v="0.27"/>
    <n v="2.2999999999999998"/>
    <n v="8.199999999999999E-2"/>
    <n v="23"/>
    <n v="144"/>
    <n v="0.99782000000000004"/>
    <x v="63"/>
    <n v="0.55000000000000004"/>
    <x v="0"/>
    <x v="0"/>
    <x v="0"/>
    <n v="10.34"/>
    <n v="3.3351063829787232E-2"/>
  </r>
  <r>
    <n v="7.9"/>
    <n v="0.4"/>
    <n v="0.28999999999999998"/>
    <n v="1.8"/>
    <n v="0.157"/>
    <n v="1"/>
    <n v="44"/>
    <n v="0.99729999999999996"/>
    <x v="4"/>
    <n v="0.92"/>
    <x v="3"/>
    <x v="1"/>
    <x v="0"/>
    <n v="8.59"/>
    <n v="3.873684210526316E-2"/>
  </r>
  <r>
    <n v="7.9"/>
    <n v="0.4"/>
    <n v="0.3"/>
    <n v="1.8"/>
    <n v="0.157"/>
    <n v="2"/>
    <n v="45"/>
    <n v="0.9972700000000001"/>
    <x v="33"/>
    <n v="0.91"/>
    <x v="3"/>
    <x v="1"/>
    <x v="0"/>
    <n v="8.6000000000000014"/>
    <n v="3.8315789473684213E-2"/>
  </r>
  <r>
    <n v="7.2"/>
    <n v="1"/>
    <n v="0"/>
    <n v="3"/>
    <n v="0.10199999999999999"/>
    <n v="7"/>
    <n v="16"/>
    <n v="0.99586000000000008"/>
    <x v="15"/>
    <n v="0.46"/>
    <x v="2"/>
    <x v="0"/>
    <x v="0"/>
    <n v="8.1999999999999993"/>
    <n v="4.5999999999999999E-2"/>
  </r>
  <r>
    <n v="6.9"/>
    <n v="0.76500000000000001"/>
    <n v="0.18"/>
    <n v="2.4"/>
    <n v="0.24299999999999999"/>
    <n v="6"/>
    <n v="48"/>
    <n v="0.99612000000000012"/>
    <x v="20"/>
    <n v="0.6"/>
    <x v="15"/>
    <x v="1"/>
    <x v="0"/>
    <n v="7.8449999999999998"/>
    <n v="4.4563106796116497E-2"/>
  </r>
  <r>
    <n v="6.9"/>
    <n v="0.63500000000000001"/>
    <n v="0.17"/>
    <n v="2.4"/>
    <n v="0.24100000000000002"/>
    <n v="6"/>
    <n v="18"/>
    <n v="0.99609999999999999"/>
    <x v="20"/>
    <n v="0.59"/>
    <x v="15"/>
    <x v="1"/>
    <x v="0"/>
    <n v="7.7050000000000001"/>
    <n v="3.6373786407766985E-2"/>
  </r>
  <r>
    <n v="8.3000000000000007"/>
    <n v="0.43"/>
    <n v="0.3"/>
    <n v="3.4"/>
    <n v="7.9000000000000001E-2"/>
    <n v="7"/>
    <n v="34"/>
    <n v="0.99787999999999988"/>
    <x v="6"/>
    <n v="0.61"/>
    <x v="4"/>
    <x v="0"/>
    <x v="0"/>
    <n v="9.0300000000000011"/>
    <n v="2.4980952380952378E-2"/>
  </r>
  <r>
    <n v="7.1"/>
    <n v="0.52"/>
    <n v="0.03"/>
    <n v="2.6"/>
    <n v="7.5999999999999998E-2"/>
    <n v="21"/>
    <n v="92"/>
    <n v="0.99744999999999995"/>
    <x v="23"/>
    <n v="0.6"/>
    <x v="1"/>
    <x v="0"/>
    <x v="0"/>
    <n v="7.6499999999999995"/>
    <n v="3.1836734693877551E-2"/>
  </r>
  <r>
    <n v="7"/>
    <n v="0.56999999999999995"/>
    <n v="0"/>
    <n v="2"/>
    <n v="0.19"/>
    <n v="12"/>
    <n v="45"/>
    <n v="0.99676000000000009"/>
    <x v="33"/>
    <n v="0.6"/>
    <x v="0"/>
    <x v="1"/>
    <x v="0"/>
    <n v="7.57"/>
    <n v="3.638297872340425E-2"/>
  </r>
  <r>
    <n v="6.5"/>
    <n v="0.46"/>
    <n v="0.14000000000000001"/>
    <n v="2.4"/>
    <n v="0.114"/>
    <n v="9"/>
    <n v="37"/>
    <n v="0.9973200000000001"/>
    <x v="83"/>
    <n v="0.65"/>
    <x v="1"/>
    <x v="0"/>
    <x v="0"/>
    <n v="7.1"/>
    <n v="3.0510204081632655E-2"/>
  </r>
  <r>
    <n v="9"/>
    <n v="0.82"/>
    <n v="0.05"/>
    <n v="2.4"/>
    <n v="8.1000000000000003E-2"/>
    <n v="26"/>
    <n v="96"/>
    <n v="0.99813999999999992"/>
    <x v="6"/>
    <n v="0.53"/>
    <x v="2"/>
    <x v="0"/>
    <x v="0"/>
    <n v="9.870000000000001"/>
    <n v="4.3459999999999999E-2"/>
  </r>
  <r>
    <n v="6.5"/>
    <n v="0.46"/>
    <n v="0.14000000000000001"/>
    <n v="2.4"/>
    <n v="0.114"/>
    <n v="9"/>
    <n v="37"/>
    <n v="0.9973200000000001"/>
    <x v="83"/>
    <n v="0.65"/>
    <x v="1"/>
    <x v="0"/>
    <x v="0"/>
    <n v="7.1"/>
    <n v="3.0510204081632655E-2"/>
  </r>
  <r>
    <n v="7.1"/>
    <n v="0.59"/>
    <n v="0.01"/>
    <n v="2.5"/>
    <n v="7.6999999999999999E-2"/>
    <n v="20"/>
    <n v="85"/>
    <n v="0.99746000000000001"/>
    <x v="66"/>
    <n v="0.59"/>
    <x v="1"/>
    <x v="0"/>
    <x v="0"/>
    <n v="7.6999999999999993"/>
    <n v="3.55204081632653E-2"/>
  </r>
  <r>
    <n v="9.9"/>
    <n v="0.35"/>
    <n v="0.41"/>
    <n v="2.2999999999999998"/>
    <n v="8.3000000000000004E-2"/>
    <n v="11"/>
    <n v="61"/>
    <n v="0.99819999999999998"/>
    <x v="25"/>
    <n v="0.5"/>
    <x v="3"/>
    <x v="0"/>
    <x v="0"/>
    <n v="10.66"/>
    <n v="1.8421052631578946E-2"/>
  </r>
  <r>
    <n v="9.9"/>
    <n v="0.35"/>
    <n v="0.41"/>
    <n v="2.2999999999999998"/>
    <n v="8.3000000000000004E-2"/>
    <n v="11"/>
    <n v="61"/>
    <n v="0.99819999999999998"/>
    <x v="25"/>
    <n v="0.5"/>
    <x v="3"/>
    <x v="0"/>
    <x v="0"/>
    <n v="10.66"/>
    <n v="1.8421052631578946E-2"/>
  </r>
  <r>
    <n v="10"/>
    <n v="0.56000000000000005"/>
    <n v="0.24"/>
    <n v="2.2000000000000002"/>
    <n v="7.9000000000000001E-2"/>
    <n v="19"/>
    <n v="58"/>
    <n v="0.99909999999999999"/>
    <x v="64"/>
    <n v="0.56000000000000005"/>
    <x v="11"/>
    <x v="1"/>
    <x v="0"/>
    <n v="10.8"/>
    <n v="3.1049504950495056E-2"/>
  </r>
  <r>
    <n v="10"/>
    <n v="0.56000000000000005"/>
    <n v="0.24"/>
    <n v="2.2000000000000002"/>
    <n v="7.9000000000000001E-2"/>
    <n v="19"/>
    <n v="58"/>
    <n v="0.99909999999999999"/>
    <x v="64"/>
    <n v="0.56000000000000005"/>
    <x v="11"/>
    <x v="1"/>
    <x v="0"/>
    <n v="10.8"/>
    <n v="3.1049504950495056E-2"/>
  </r>
  <r>
    <n v="8.6"/>
    <n v="0.63"/>
    <n v="0.17"/>
    <n v="2.9"/>
    <n v="9.9000000000000005E-2"/>
    <n v="21"/>
    <n v="119"/>
    <n v="0.998"/>
    <x v="75"/>
    <n v="0.52"/>
    <x v="8"/>
    <x v="0"/>
    <x v="0"/>
    <n v="9.4"/>
    <n v="3.5225806451612898E-2"/>
  </r>
  <r>
    <n v="7.4"/>
    <n v="0.37"/>
    <n v="0.43"/>
    <n v="2.6"/>
    <n v="8.199999999999999E-2"/>
    <n v="18"/>
    <n v="82"/>
    <n v="0.99707999999999997"/>
    <x v="24"/>
    <n v="0.68"/>
    <x v="10"/>
    <x v="1"/>
    <x v="0"/>
    <n v="8.2000000000000011"/>
    <n v="2.5938144329896908E-2"/>
  </r>
  <r>
    <n v="8.8000000000000007"/>
    <n v="0.64"/>
    <n v="0.17"/>
    <n v="2.9"/>
    <n v="8.4000000000000005E-2"/>
    <n v="25"/>
    <n v="130"/>
    <n v="0.99817999999999996"/>
    <x v="22"/>
    <n v="0.54"/>
    <x v="13"/>
    <x v="0"/>
    <x v="0"/>
    <n v="9.6100000000000012"/>
    <n v="3.6000000000000004E-2"/>
  </r>
  <r>
    <n v="7.1"/>
    <n v="0.61"/>
    <n v="0.02"/>
    <n v="2.5"/>
    <n v="8.1000000000000003E-2"/>
    <n v="17"/>
    <n v="87"/>
    <n v="0.99744999999999995"/>
    <x v="26"/>
    <n v="0.6"/>
    <x v="10"/>
    <x v="1"/>
    <x v="0"/>
    <n v="7.7299999999999995"/>
    <n v="3.7731958762886597E-2"/>
  </r>
  <r>
    <n v="7.7"/>
    <n v="0.6"/>
    <n v="0"/>
    <n v="2.6"/>
    <n v="5.5E-2"/>
    <n v="7"/>
    <n v="13"/>
    <n v="0.99639"/>
    <x v="12"/>
    <n v="0.56000000000000005"/>
    <x v="14"/>
    <x v="0"/>
    <x v="0"/>
    <n v="8.3000000000000007"/>
    <n v="3.111111111111111E-2"/>
  </r>
  <r>
    <n v="10.1"/>
    <n v="0.27"/>
    <n v="0.54"/>
    <n v="2.2999999999999998"/>
    <n v="6.5000000000000002E-2"/>
    <n v="7"/>
    <n v="26"/>
    <n v="0.99531000000000003"/>
    <x v="10"/>
    <n v="0.53"/>
    <x v="31"/>
    <x v="1"/>
    <x v="0"/>
    <n v="10.91"/>
    <n v="1.1448E-2"/>
  </r>
  <r>
    <n v="10.8"/>
    <n v="0.89"/>
    <n v="0.3"/>
    <n v="2.6"/>
    <n v="0.13200000000000001"/>
    <n v="7"/>
    <n v="60"/>
    <n v="0.99786000000000008"/>
    <x v="67"/>
    <n v="1.18"/>
    <x v="17"/>
    <x v="0"/>
    <x v="0"/>
    <n v="11.990000000000002"/>
    <n v="0.1029607843137255"/>
  </r>
  <r>
    <n v="8.6999999999999993"/>
    <n v="0.46"/>
    <n v="0.31"/>
    <n v="2.5"/>
    <n v="0.126"/>
    <n v="24"/>
    <n v="64"/>
    <n v="0.99746000000000001"/>
    <x v="60"/>
    <n v="0.74"/>
    <x v="13"/>
    <x v="0"/>
    <x v="0"/>
    <n v="9.4700000000000006"/>
    <n v="3.5458333333333342E-2"/>
  </r>
  <r>
    <n v="9.3000000000000007"/>
    <n v="0.37"/>
    <n v="0.44"/>
    <n v="1.6"/>
    <n v="3.7999999999999999E-2"/>
    <n v="21"/>
    <n v="42"/>
    <n v="0.99526000000000003"/>
    <x v="47"/>
    <n v="0.81"/>
    <x v="14"/>
    <x v="2"/>
    <x v="1"/>
    <n v="10.11"/>
    <n v="2.775E-2"/>
  </r>
  <r>
    <n v="9.4"/>
    <n v="0.5"/>
    <n v="0.34"/>
    <n v="3.6"/>
    <n v="8.199999999999999E-2"/>
    <n v="5"/>
    <n v="14"/>
    <n v="0.99870000000000003"/>
    <x v="40"/>
    <n v="0.52"/>
    <x v="19"/>
    <x v="1"/>
    <x v="0"/>
    <n v="10.24"/>
    <n v="2.4299065420560751E-2"/>
  </r>
  <r>
    <n v="9.4"/>
    <n v="0.5"/>
    <n v="0.34"/>
    <n v="3.6"/>
    <n v="8.199999999999999E-2"/>
    <n v="5"/>
    <n v="14"/>
    <n v="0.99870000000000003"/>
    <x v="40"/>
    <n v="0.52"/>
    <x v="19"/>
    <x v="1"/>
    <x v="0"/>
    <n v="10.24"/>
    <n v="2.4299065420560751E-2"/>
  </r>
  <r>
    <n v="7.2"/>
    <n v="0.61"/>
    <n v="0.08"/>
    <n v="4"/>
    <n v="8.199999999999999E-2"/>
    <n v="26"/>
    <n v="108"/>
    <n v="0.99641000000000002"/>
    <x v="28"/>
    <n v="0.51"/>
    <x v="0"/>
    <x v="0"/>
    <x v="0"/>
    <n v="7.8900000000000006"/>
    <n v="3.3095744680851059E-2"/>
  </r>
  <r>
    <n v="8.6"/>
    <n v="0.55000000000000004"/>
    <n v="0.09"/>
    <n v="3.3"/>
    <n v="6.8000000000000005E-2"/>
    <n v="8"/>
    <n v="17"/>
    <n v="0.99734999999999996"/>
    <x v="22"/>
    <n v="0.44"/>
    <x v="2"/>
    <x v="0"/>
    <x v="0"/>
    <n v="9.24"/>
    <n v="2.4200000000000003E-2"/>
  </r>
  <r>
    <n v="5.0999999999999996"/>
    <n v="0.58499999999999996"/>
    <n v="0"/>
    <n v="1.7"/>
    <n v="4.4000000000000004E-2"/>
    <n v="14"/>
    <n v="86"/>
    <n v="0.99263999999999997"/>
    <x v="69"/>
    <n v="0.94"/>
    <x v="20"/>
    <x v="2"/>
    <x v="1"/>
    <n v="5.6849999999999996"/>
    <n v="4.2627906976744179E-2"/>
  </r>
  <r>
    <n v="7.7"/>
    <n v="0.56000000000000005"/>
    <n v="0.08"/>
    <n v="2.5"/>
    <n v="0.114"/>
    <n v="14"/>
    <n v="46"/>
    <n v="0.99709999999999999"/>
    <x v="47"/>
    <n v="0.66"/>
    <x v="13"/>
    <x v="1"/>
    <x v="0"/>
    <n v="8.34"/>
    <n v="3.8500000000000006E-2"/>
  </r>
  <r>
    <n v="8.4"/>
    <n v="0.52"/>
    <n v="0.22"/>
    <n v="2.7"/>
    <n v="8.4000000000000005E-2"/>
    <n v="4"/>
    <n v="18"/>
    <n v="0.99682000000000004"/>
    <x v="2"/>
    <n v="0.56999999999999995"/>
    <x v="6"/>
    <x v="1"/>
    <x v="0"/>
    <n v="9.14"/>
    <n v="2.9939393939393939E-2"/>
  </r>
  <r>
    <n v="8.1999999999999993"/>
    <n v="0.28000000000000003"/>
    <n v="0.4"/>
    <n v="2.4"/>
    <n v="5.2000000000000005E-2"/>
    <n v="4"/>
    <n v="10"/>
    <n v="0.99356"/>
    <x v="24"/>
    <n v="0.7"/>
    <x v="29"/>
    <x v="2"/>
    <x v="1"/>
    <n v="8.879999999999999"/>
    <n v="1.53125E-2"/>
  </r>
  <r>
    <n v="8.4"/>
    <n v="0.25"/>
    <n v="0.39"/>
    <n v="2"/>
    <n v="4.0999999999999995E-2"/>
    <n v="4"/>
    <n v="10"/>
    <n v="0.99386000000000008"/>
    <x v="63"/>
    <n v="0.71"/>
    <x v="31"/>
    <x v="2"/>
    <x v="1"/>
    <n v="9.0400000000000009"/>
    <n v="1.4199999999999999E-2"/>
  </r>
  <r>
    <n v="8.1999999999999993"/>
    <n v="0.28000000000000003"/>
    <n v="0.4"/>
    <n v="2.4"/>
    <n v="5.2000000000000005E-2"/>
    <n v="4"/>
    <n v="10"/>
    <n v="0.99356"/>
    <x v="24"/>
    <n v="0.7"/>
    <x v="29"/>
    <x v="2"/>
    <x v="1"/>
    <n v="8.879999999999999"/>
    <n v="1.53125E-2"/>
  </r>
  <r>
    <n v="7.4"/>
    <n v="0.53"/>
    <n v="0.12"/>
    <n v="1.9"/>
    <n v="0.16500000000000001"/>
    <n v="4"/>
    <n v="12"/>
    <n v="0.99702000000000002"/>
    <x v="2"/>
    <n v="0.86"/>
    <x v="5"/>
    <x v="0"/>
    <x v="0"/>
    <n v="8.0500000000000007"/>
    <n v="4.9543478260869571E-2"/>
  </r>
  <r>
    <n v="7.6"/>
    <n v="0.48"/>
    <n v="0.31"/>
    <n v="2.8"/>
    <n v="7.0000000000000007E-2"/>
    <n v="4"/>
    <n v="15"/>
    <n v="0.99692999999999987"/>
    <x v="49"/>
    <n v="0.55000000000000004"/>
    <x v="15"/>
    <x v="1"/>
    <x v="0"/>
    <n v="8.39"/>
    <n v="2.5631067961165047E-2"/>
  </r>
  <r>
    <n v="7.3"/>
    <n v="0.49"/>
    <n v="0.1"/>
    <n v="2.6"/>
    <n v="6.8000000000000005E-2"/>
    <n v="4"/>
    <n v="14"/>
    <n v="0.99562000000000006"/>
    <x v="4"/>
    <n v="0.47"/>
    <x v="4"/>
    <x v="0"/>
    <x v="0"/>
    <n v="7.89"/>
    <n v="2.1933333333333332E-2"/>
  </r>
  <r>
    <n v="12.9"/>
    <n v="0.5"/>
    <n v="0.55000000000000004"/>
    <n v="2.8"/>
    <n v="7.2000000000000008E-2"/>
    <n v="7"/>
    <n v="24"/>
    <n v="1.0001200000000001"/>
    <x v="75"/>
    <n v="0.68"/>
    <x v="18"/>
    <x v="1"/>
    <x v="0"/>
    <n v="13.950000000000001"/>
    <n v="3.1192660550458717E-2"/>
  </r>
  <r>
    <n v="10.8"/>
    <n v="0.45"/>
    <n v="0.33"/>
    <n v="2.5"/>
    <n v="9.9000000000000005E-2"/>
    <n v="20"/>
    <n v="38"/>
    <n v="0.99817999999999996"/>
    <x v="47"/>
    <n v="0.71"/>
    <x v="14"/>
    <x v="0"/>
    <x v="0"/>
    <n v="11.58"/>
    <n v="2.9583333333333333E-2"/>
  </r>
  <r>
    <n v="6.9"/>
    <n v="0.39"/>
    <n v="0.24"/>
    <n v="2.1"/>
    <n v="0.10199999999999999"/>
    <n v="4"/>
    <n v="7"/>
    <n v="0.99462000000000006"/>
    <x v="32"/>
    <n v="0.57999999999999996"/>
    <x v="25"/>
    <x v="3"/>
    <x v="2"/>
    <n v="7.53"/>
    <n v="1.9842105263157894E-2"/>
  </r>
  <r>
    <n v="12.6"/>
    <n v="0.41"/>
    <n v="0.54"/>
    <n v="2.8"/>
    <n v="0.10300000000000001"/>
    <n v="19"/>
    <n v="41"/>
    <n v="0.99939"/>
    <x v="25"/>
    <n v="0.76"/>
    <x v="33"/>
    <x v="1"/>
    <x v="0"/>
    <n v="13.55"/>
    <n v="2.757522123893805E-2"/>
  </r>
  <r>
    <n v="10.8"/>
    <n v="0.45"/>
    <n v="0.33"/>
    <n v="2.5"/>
    <n v="9.9000000000000005E-2"/>
    <n v="20"/>
    <n v="38"/>
    <n v="0.99817999999999996"/>
    <x v="47"/>
    <n v="0.71"/>
    <x v="14"/>
    <x v="0"/>
    <x v="0"/>
    <n v="11.58"/>
    <n v="2.9583333333333333E-2"/>
  </r>
  <r>
    <n v="9.8000000000000007"/>
    <n v="0.51"/>
    <n v="0.19"/>
    <n v="3.2"/>
    <n v="8.1000000000000003E-2"/>
    <n v="8"/>
    <n v="30"/>
    <n v="0.99839999999999995"/>
    <x v="22"/>
    <n v="0.57999999999999996"/>
    <x v="4"/>
    <x v="1"/>
    <x v="0"/>
    <n v="10.5"/>
    <n v="2.8171428571428573E-2"/>
  </r>
  <r>
    <n v="10.8"/>
    <n v="0.28999999999999998"/>
    <n v="0.42"/>
    <n v="1.6"/>
    <n v="8.4000000000000005E-2"/>
    <n v="19"/>
    <n v="27"/>
    <n v="0.99544999999999995"/>
    <x v="8"/>
    <n v="0.73"/>
    <x v="36"/>
    <x v="1"/>
    <x v="0"/>
    <n v="11.51"/>
    <n v="1.7789915966386551E-2"/>
  </r>
  <r>
    <n v="7.1"/>
    <n v="0.71499999999999997"/>
    <n v="0"/>
    <n v="2.35"/>
    <n v="7.0999999999999994E-2"/>
    <n v="21"/>
    <n v="47"/>
    <n v="0.99632000000000009"/>
    <x v="40"/>
    <n v="0.45"/>
    <x v="0"/>
    <x v="0"/>
    <x v="0"/>
    <n v="7.8149999999999995"/>
    <n v="3.4228723404255312E-2"/>
  </r>
  <r>
    <n v="9.1"/>
    <n v="0.66"/>
    <n v="0.15"/>
    <n v="3.2"/>
    <n v="9.6999999999999989E-2"/>
    <n v="9"/>
    <n v="59"/>
    <n v="0.99975999999999998"/>
    <x v="8"/>
    <n v="0.54"/>
    <x v="13"/>
    <x v="0"/>
    <x v="0"/>
    <n v="9.91"/>
    <n v="3.7125000000000005E-2"/>
  </r>
  <r>
    <n v="7"/>
    <n v="0.68500000000000005"/>
    <n v="0"/>
    <n v="1.9"/>
    <n v="9.9000000000000005E-2"/>
    <n v="9"/>
    <n v="22"/>
    <n v="0.99606000000000006"/>
    <x v="16"/>
    <n v="0.6"/>
    <x v="10"/>
    <x v="0"/>
    <x v="0"/>
    <n v="7.6850000000000005"/>
    <n v="4.237113402061856E-2"/>
  </r>
  <r>
    <n v="4.9000000000000004"/>
    <n v="0.42"/>
    <n v="0"/>
    <n v="2.1"/>
    <n v="4.8000000000000001E-2"/>
    <n v="16"/>
    <n v="42"/>
    <n v="0.99153999999999998"/>
    <x v="84"/>
    <n v="0.74"/>
    <x v="23"/>
    <x v="2"/>
    <x v="1"/>
    <n v="5.32"/>
    <n v="2.2199999999999998E-2"/>
  </r>
  <r>
    <n v="6.7"/>
    <n v="0.54"/>
    <n v="0.13"/>
    <n v="2"/>
    <n v="7.5999999999999998E-2"/>
    <n v="15"/>
    <n v="36"/>
    <n v="0.99729999999999996"/>
    <x v="56"/>
    <n v="0.64"/>
    <x v="1"/>
    <x v="0"/>
    <x v="0"/>
    <n v="7.37"/>
    <n v="3.5265306122448978E-2"/>
  </r>
  <r>
    <n v="6.7"/>
    <n v="0.54"/>
    <n v="0.13"/>
    <n v="2"/>
    <n v="7.5999999999999998E-2"/>
    <n v="15"/>
    <n v="36"/>
    <n v="0.99729999999999996"/>
    <x v="56"/>
    <n v="0.64"/>
    <x v="1"/>
    <x v="0"/>
    <x v="0"/>
    <n v="7.37"/>
    <n v="3.5265306122448978E-2"/>
  </r>
  <r>
    <n v="7.1"/>
    <n v="0.48"/>
    <n v="0.28000000000000003"/>
    <n v="2.8"/>
    <n v="6.8000000000000005E-2"/>
    <n v="6"/>
    <n v="16"/>
    <n v="0.99682000000000004"/>
    <x v="47"/>
    <n v="0.53"/>
    <x v="15"/>
    <x v="0"/>
    <x v="0"/>
    <n v="7.86"/>
    <n v="2.4699029126213592E-2"/>
  </r>
  <r>
    <n v="7.1"/>
    <n v="0.46"/>
    <n v="0.14000000000000001"/>
    <n v="2.8"/>
    <n v="7.5999999999999998E-2"/>
    <n v="15"/>
    <n v="37"/>
    <n v="0.99624000000000001"/>
    <x v="6"/>
    <n v="0.49"/>
    <x v="19"/>
    <x v="0"/>
    <x v="0"/>
    <n v="7.6999999999999993"/>
    <n v="2.1065420560747665E-2"/>
  </r>
  <r>
    <n v="7.5"/>
    <n v="0.27"/>
    <n v="0.34"/>
    <n v="2.2999999999999998"/>
    <n v="0.05"/>
    <n v="4"/>
    <n v="8"/>
    <n v="0.99509999999999998"/>
    <x v="20"/>
    <n v="0.64"/>
    <x v="27"/>
    <x v="2"/>
    <x v="1"/>
    <n v="8.11"/>
    <n v="1.5709090909090909E-2"/>
  </r>
  <r>
    <n v="7.1"/>
    <n v="0.46"/>
    <n v="0.14000000000000001"/>
    <n v="2.8"/>
    <n v="7.5999999999999998E-2"/>
    <n v="15"/>
    <n v="37"/>
    <n v="0.99624000000000001"/>
    <x v="6"/>
    <n v="0.49"/>
    <x v="19"/>
    <x v="0"/>
    <x v="0"/>
    <n v="7.6999999999999993"/>
    <n v="2.1065420560747665E-2"/>
  </r>
  <r>
    <n v="7.8"/>
    <n v="0.56999999999999995"/>
    <n v="0.09"/>
    <n v="2.2999999999999998"/>
    <n v="6.5000000000000002E-2"/>
    <n v="34"/>
    <n v="45"/>
    <n v="0.99417000000000011"/>
    <x v="18"/>
    <n v="0.74"/>
    <x v="46"/>
    <x v="4"/>
    <x v="1"/>
    <n v="8.4599999999999991"/>
    <n v="3.3212598425196846E-2"/>
  </r>
  <r>
    <n v="5.9"/>
    <n v="0.61"/>
    <n v="0.08"/>
    <n v="2.1"/>
    <n v="7.0999999999999994E-2"/>
    <n v="16"/>
    <n v="24"/>
    <n v="0.99376000000000009"/>
    <x v="69"/>
    <n v="0.77"/>
    <x v="42"/>
    <x v="1"/>
    <x v="0"/>
    <n v="6.5900000000000007"/>
    <n v="4.2315315315315315E-2"/>
  </r>
  <r>
    <n v="7.5"/>
    <n v="0.68500000000000005"/>
    <n v="7.0000000000000007E-2"/>
    <n v="2.5"/>
    <n v="5.7999999999999996E-2"/>
    <n v="5"/>
    <n v="9"/>
    <n v="0.99632000000000009"/>
    <x v="12"/>
    <n v="0.55000000000000004"/>
    <x v="18"/>
    <x v="3"/>
    <x v="2"/>
    <n v="8.2550000000000008"/>
    <n v="3.4564220183486247E-2"/>
  </r>
  <r>
    <n v="5.9"/>
    <n v="0.61"/>
    <n v="0.08"/>
    <n v="2.1"/>
    <n v="7.0999999999999994E-2"/>
    <n v="16"/>
    <n v="24"/>
    <n v="0.99376000000000009"/>
    <x v="69"/>
    <n v="0.77"/>
    <x v="42"/>
    <x v="1"/>
    <x v="0"/>
    <n v="6.5900000000000007"/>
    <n v="4.2315315315315315E-2"/>
  </r>
  <r>
    <n v="10.4"/>
    <n v="0.44"/>
    <n v="0.42"/>
    <n v="1.5"/>
    <n v="0.14499999999999999"/>
    <n v="34"/>
    <n v="48"/>
    <n v="0.9983200000000001"/>
    <x v="12"/>
    <n v="0.86"/>
    <x v="6"/>
    <x v="5"/>
    <x v="2"/>
    <n v="11.26"/>
    <n v="3.822222222222222E-2"/>
  </r>
  <r>
    <n v="11.6"/>
    <n v="0.47"/>
    <n v="0.44"/>
    <n v="1.6"/>
    <n v="0.14699999999999999"/>
    <n v="36"/>
    <n v="51"/>
    <n v="0.99836000000000003"/>
    <x v="12"/>
    <n v="0.86"/>
    <x v="6"/>
    <x v="3"/>
    <x v="2"/>
    <n v="12.51"/>
    <n v="4.0828282828282825E-2"/>
  </r>
  <r>
    <n v="8.8000000000000007"/>
    <n v="0.68500000000000005"/>
    <n v="0.26"/>
    <n v="1.6"/>
    <n v="8.8000000000000009E-2"/>
    <n v="16"/>
    <n v="23"/>
    <n v="0.99693999999999994"/>
    <x v="29"/>
    <n v="0.47"/>
    <x v="0"/>
    <x v="0"/>
    <x v="0"/>
    <n v="9.745000000000001"/>
    <n v="3.4250000000000003E-2"/>
  </r>
  <r>
    <n v="7.6"/>
    <n v="0.66500000000000004"/>
    <n v="0.1"/>
    <n v="1.5"/>
    <n v="6.6000000000000003E-2"/>
    <n v="27"/>
    <n v="55"/>
    <n v="0.99655000000000005"/>
    <x v="5"/>
    <n v="0.51"/>
    <x v="8"/>
    <x v="0"/>
    <x v="0"/>
    <n v="8.3650000000000002"/>
    <n v="3.6467741935483869E-2"/>
  </r>
  <r>
    <n v="6.7"/>
    <n v="0.28000000000000003"/>
    <n v="0.28000000000000003"/>
    <n v="2.4"/>
    <n v="1.2E-2"/>
    <n v="36"/>
    <n v="100"/>
    <n v="0.99063999999999997"/>
    <x v="2"/>
    <n v="0.39"/>
    <x v="32"/>
    <x v="2"/>
    <x v="1"/>
    <n v="7.2600000000000007"/>
    <n v="9.3333333333333358E-3"/>
  </r>
  <r>
    <n v="6.7"/>
    <n v="0.28000000000000003"/>
    <n v="0.28000000000000003"/>
    <n v="2.4"/>
    <n v="1.2E-2"/>
    <n v="36"/>
    <n v="100"/>
    <n v="0.99063999999999997"/>
    <x v="2"/>
    <n v="0.39"/>
    <x v="32"/>
    <x v="2"/>
    <x v="1"/>
    <n v="7.2600000000000007"/>
    <n v="9.3333333333333358E-3"/>
  </r>
  <r>
    <n v="10.1"/>
    <n v="0.31"/>
    <n v="0.35"/>
    <n v="1.6"/>
    <n v="7.4999999999999997E-2"/>
    <n v="9"/>
    <n v="28"/>
    <n v="0.99672000000000005"/>
    <x v="47"/>
    <n v="0.83"/>
    <x v="40"/>
    <x v="2"/>
    <x v="1"/>
    <n v="10.76"/>
    <n v="2.2973214285714284E-2"/>
  </r>
  <r>
    <n v="6"/>
    <n v="0.5"/>
    <n v="0.04"/>
    <n v="2.2000000000000002"/>
    <n v="9.1999999999999998E-2"/>
    <n v="13"/>
    <n v="26"/>
    <n v="0.99647000000000008"/>
    <x v="18"/>
    <n v="0.47"/>
    <x v="2"/>
    <x v="0"/>
    <x v="0"/>
    <n v="6.54"/>
    <n v="2.35E-2"/>
  </r>
  <r>
    <n v="11.1"/>
    <n v="0.42"/>
    <n v="0.47"/>
    <n v="2.65"/>
    <n v="8.5000000000000006E-2"/>
    <n v="9"/>
    <n v="34"/>
    <n v="0.99736000000000002"/>
    <x v="47"/>
    <n v="0.77"/>
    <x v="44"/>
    <x v="2"/>
    <x v="1"/>
    <n v="11.99"/>
    <n v="2.6727272727272731E-2"/>
  </r>
  <r>
    <n v="6.6"/>
    <n v="0.66"/>
    <n v="0"/>
    <n v="3"/>
    <n v="0.115"/>
    <n v="21"/>
    <n v="31"/>
    <n v="0.99629000000000001"/>
    <x v="19"/>
    <n v="0.63"/>
    <x v="15"/>
    <x v="0"/>
    <x v="0"/>
    <n v="7.26"/>
    <n v="4.0368932038834952E-2"/>
  </r>
  <r>
    <n v="10.6"/>
    <n v="0.5"/>
    <n v="0.45"/>
    <n v="2.6"/>
    <n v="0.11900000000000001"/>
    <n v="34"/>
    <n v="68"/>
    <n v="0.99707999999999997"/>
    <x v="22"/>
    <n v="0.72"/>
    <x v="18"/>
    <x v="1"/>
    <x v="0"/>
    <n v="11.549999999999999"/>
    <n v="3.3027522935779811E-2"/>
  </r>
  <r>
    <n v="7.1"/>
    <n v="0.68500000000000005"/>
    <n v="0.35"/>
    <n v="2"/>
    <n v="8.8000000000000009E-2"/>
    <n v="9"/>
    <n v="92"/>
    <n v="0.99629999999999996"/>
    <x v="8"/>
    <n v="0.62"/>
    <x v="0"/>
    <x v="0"/>
    <x v="0"/>
    <n v="8.1349999999999998"/>
    <n v="4.518085106382979E-2"/>
  </r>
  <r>
    <n v="9.9"/>
    <n v="0.25"/>
    <n v="0.46"/>
    <n v="1.7"/>
    <n v="6.2E-2"/>
    <n v="26"/>
    <n v="42"/>
    <n v="0.99590000000000001"/>
    <x v="64"/>
    <n v="0.83"/>
    <x v="12"/>
    <x v="1"/>
    <x v="0"/>
    <n v="10.610000000000001"/>
    <n v="1.9575471698113207E-2"/>
  </r>
  <r>
    <n v="6.4"/>
    <n v="0.64"/>
    <n v="0.21"/>
    <n v="1.8"/>
    <n v="8.1000000000000003E-2"/>
    <n v="14"/>
    <n v="31"/>
    <n v="0.99688999999999994"/>
    <x v="52"/>
    <n v="0.66"/>
    <x v="1"/>
    <x v="0"/>
    <x v="0"/>
    <n v="7.25"/>
    <n v="4.3102040816326535E-2"/>
  </r>
  <r>
    <n v="6.4"/>
    <n v="0.64"/>
    <n v="0.21"/>
    <n v="1.8"/>
    <n v="8.1000000000000003E-2"/>
    <n v="14"/>
    <n v="31"/>
    <n v="0.99688999999999994"/>
    <x v="52"/>
    <n v="0.66"/>
    <x v="1"/>
    <x v="0"/>
    <x v="0"/>
    <n v="7.25"/>
    <n v="4.3102040816326535E-2"/>
  </r>
  <r>
    <n v="7.4"/>
    <n v="0.68"/>
    <n v="0.16"/>
    <n v="1.8"/>
    <n v="7.8E-2"/>
    <n v="12"/>
    <n v="39"/>
    <n v="0.99770000000000003"/>
    <x v="23"/>
    <n v="0.7"/>
    <x v="6"/>
    <x v="1"/>
    <x v="0"/>
    <n v="8.24"/>
    <n v="4.8080808080808078E-2"/>
  </r>
  <r>
    <n v="6.4"/>
    <n v="0.64"/>
    <n v="0.21"/>
    <n v="1.8"/>
    <n v="8.1000000000000003E-2"/>
    <n v="14"/>
    <n v="31"/>
    <n v="0.99688999999999994"/>
    <x v="52"/>
    <n v="0.66"/>
    <x v="1"/>
    <x v="0"/>
    <x v="0"/>
    <n v="7.25"/>
    <n v="4.3102040816326535E-2"/>
  </r>
  <r>
    <n v="6.4"/>
    <n v="0.63"/>
    <n v="0.21"/>
    <n v="1.6"/>
    <n v="0.08"/>
    <n v="12"/>
    <n v="32"/>
    <n v="0.99688999999999994"/>
    <x v="9"/>
    <n v="0.66"/>
    <x v="1"/>
    <x v="0"/>
    <x v="0"/>
    <n v="7.24"/>
    <n v="4.2428571428571427E-2"/>
  </r>
  <r>
    <n v="9.3000000000000007"/>
    <n v="0.43"/>
    <n v="0.44"/>
    <n v="1.9"/>
    <n v="8.5000000000000006E-2"/>
    <n v="9"/>
    <n v="22"/>
    <n v="0.99707999999999997"/>
    <x v="8"/>
    <n v="0.55000000000000004"/>
    <x v="3"/>
    <x v="0"/>
    <x v="0"/>
    <n v="10.17"/>
    <n v="2.4894736842105265E-2"/>
  </r>
  <r>
    <n v="9.3000000000000007"/>
    <n v="0.43"/>
    <n v="0.44"/>
    <n v="1.9"/>
    <n v="8.5000000000000006E-2"/>
    <n v="9"/>
    <n v="22"/>
    <n v="0.99707999999999997"/>
    <x v="8"/>
    <n v="0.55000000000000004"/>
    <x v="3"/>
    <x v="0"/>
    <x v="0"/>
    <n v="10.17"/>
    <n v="2.4894736842105265E-2"/>
  </r>
  <r>
    <n v="8"/>
    <n v="0.42"/>
    <n v="0.32"/>
    <n v="2.5"/>
    <n v="0.08"/>
    <n v="26"/>
    <n v="122"/>
    <n v="0.99801000000000006"/>
    <x v="49"/>
    <n v="1.07"/>
    <x v="10"/>
    <x v="0"/>
    <x v="0"/>
    <n v="8.74"/>
    <n v="4.6329896907216499E-2"/>
  </r>
  <r>
    <n v="9.3000000000000007"/>
    <n v="0.36"/>
    <n v="0.39"/>
    <n v="1.5"/>
    <n v="0.08"/>
    <n v="41"/>
    <n v="55"/>
    <n v="0.99652000000000007"/>
    <x v="17"/>
    <n v="0.73"/>
    <x v="18"/>
    <x v="1"/>
    <x v="0"/>
    <n v="10.050000000000001"/>
    <n v="2.4110091743119264E-2"/>
  </r>
  <r>
    <n v="9.3000000000000007"/>
    <n v="0.36"/>
    <n v="0.39"/>
    <n v="1.5"/>
    <n v="0.08"/>
    <n v="41"/>
    <n v="55"/>
    <n v="0.99652000000000007"/>
    <x v="17"/>
    <n v="0.73"/>
    <x v="18"/>
    <x v="1"/>
    <x v="0"/>
    <n v="10.050000000000001"/>
    <n v="2.4110091743119264E-2"/>
  </r>
  <r>
    <n v="7.6"/>
    <n v="0.73499999999999999"/>
    <n v="0.02"/>
    <n v="2.5"/>
    <n v="7.0999999999999994E-2"/>
    <n v="10"/>
    <n v="14"/>
    <n v="0.99537999999999993"/>
    <x v="0"/>
    <n v="0.71"/>
    <x v="32"/>
    <x v="2"/>
    <x v="1"/>
    <n v="8.3549999999999986"/>
    <n v="4.46025641025641E-2"/>
  </r>
  <r>
    <n v="9.3000000000000007"/>
    <n v="0.36"/>
    <n v="0.39"/>
    <n v="1.5"/>
    <n v="0.08"/>
    <n v="41"/>
    <n v="55"/>
    <n v="0.99652000000000007"/>
    <x v="17"/>
    <n v="0.73"/>
    <x v="18"/>
    <x v="1"/>
    <x v="0"/>
    <n v="10.050000000000001"/>
    <n v="2.4110091743119264E-2"/>
  </r>
  <r>
    <n v="8.1999999999999993"/>
    <n v="0.26"/>
    <n v="0.34"/>
    <n v="2.5"/>
    <n v="7.2999999999999995E-2"/>
    <n v="16"/>
    <n v="47"/>
    <n v="0.99593999999999994"/>
    <x v="20"/>
    <n v="0.78"/>
    <x v="33"/>
    <x v="2"/>
    <x v="1"/>
    <n v="8.7999999999999989"/>
    <n v="1.7946902654867255E-2"/>
  </r>
  <r>
    <n v="11.7"/>
    <n v="0.28000000000000003"/>
    <n v="0.47"/>
    <n v="1.7"/>
    <n v="5.4000000000000006E-2"/>
    <n v="17"/>
    <n v="32"/>
    <n v="0.99686000000000008"/>
    <x v="30"/>
    <n v="0.67"/>
    <x v="12"/>
    <x v="2"/>
    <x v="1"/>
    <n v="12.45"/>
    <n v="1.7698113207547172E-2"/>
  </r>
  <r>
    <n v="6.8"/>
    <n v="0.56000000000000005"/>
    <n v="0.22"/>
    <n v="1.8"/>
    <n v="7.400000000000001E-2"/>
    <n v="15"/>
    <n v="24"/>
    <n v="0.99437999999999993"/>
    <x v="20"/>
    <n v="0.82"/>
    <x v="40"/>
    <x v="1"/>
    <x v="0"/>
    <n v="7.5799999999999992"/>
    <n v="4.1000000000000002E-2"/>
  </r>
  <r>
    <n v="7.2"/>
    <n v="0.62"/>
    <n v="0.06"/>
    <n v="2.7"/>
    <n v="7.6999999999999999E-2"/>
    <n v="15"/>
    <n v="85"/>
    <n v="0.99746000000000001"/>
    <x v="0"/>
    <n v="0.54"/>
    <x v="3"/>
    <x v="0"/>
    <x v="0"/>
    <n v="7.88"/>
    <n v="3.5242105263157901E-2"/>
  </r>
  <r>
    <n v="5.8"/>
    <n v="1.01"/>
    <n v="0.66"/>
    <n v="2"/>
    <n v="3.9E-2"/>
    <n v="15"/>
    <n v="88"/>
    <n v="0.99357000000000006"/>
    <x v="83"/>
    <n v="0.6"/>
    <x v="24"/>
    <x v="1"/>
    <x v="0"/>
    <n v="7.47"/>
    <n v="5.2695652173913039E-2"/>
  </r>
  <r>
    <n v="7.5"/>
    <n v="0.42"/>
    <n v="0.32"/>
    <n v="2.7"/>
    <n v="6.7000000000000004E-2"/>
    <n v="7"/>
    <n v="25"/>
    <n v="0.99627999999999994"/>
    <x v="47"/>
    <n v="0.44"/>
    <x v="21"/>
    <x v="0"/>
    <x v="0"/>
    <n v="8.24"/>
    <n v="1.7769230769230766E-2"/>
  </r>
  <r>
    <n v="7.2"/>
    <n v="0.62"/>
    <n v="0.06"/>
    <n v="2.5"/>
    <n v="7.8E-2"/>
    <n v="17"/>
    <n v="84"/>
    <n v="0.99746000000000001"/>
    <x v="0"/>
    <n v="0.53"/>
    <x v="10"/>
    <x v="0"/>
    <x v="0"/>
    <n v="7.88"/>
    <n v="3.3876288659793814E-2"/>
  </r>
  <r>
    <n v="7.2"/>
    <n v="0.62"/>
    <n v="0.06"/>
    <n v="2.7"/>
    <n v="7.6999999999999999E-2"/>
    <n v="15"/>
    <n v="85"/>
    <n v="0.99746000000000001"/>
    <x v="0"/>
    <n v="0.54"/>
    <x v="3"/>
    <x v="0"/>
    <x v="0"/>
    <n v="7.88"/>
    <n v="3.5242105263157901E-2"/>
  </r>
  <r>
    <n v="7.2"/>
    <n v="0.63500000000000001"/>
    <n v="7.0000000000000007E-2"/>
    <n v="2.6"/>
    <n v="7.6999999999999999E-2"/>
    <n v="16"/>
    <n v="86"/>
    <n v="0.99747999999999992"/>
    <x v="0"/>
    <n v="0.54"/>
    <x v="10"/>
    <x v="0"/>
    <x v="0"/>
    <n v="7.9050000000000002"/>
    <n v="3.5350515463917535E-2"/>
  </r>
  <r>
    <n v="6.8"/>
    <n v="0.49"/>
    <n v="0.22"/>
    <n v="2.2999999999999998"/>
    <n v="7.0999999999999994E-2"/>
    <n v="13"/>
    <n v="24"/>
    <n v="0.99437999999999993"/>
    <x v="31"/>
    <n v="0.83"/>
    <x v="33"/>
    <x v="1"/>
    <x v="0"/>
    <n v="7.51"/>
    <n v="3.5991150442477866E-2"/>
  </r>
  <r>
    <n v="6.9"/>
    <n v="0.51"/>
    <n v="0.23"/>
    <n v="2"/>
    <n v="7.2000000000000008E-2"/>
    <n v="13"/>
    <n v="22"/>
    <n v="0.99437999999999993"/>
    <x v="20"/>
    <n v="0.84"/>
    <x v="40"/>
    <x v="1"/>
    <x v="0"/>
    <n v="7.6400000000000006"/>
    <n v="3.8249999999999999E-2"/>
  </r>
  <r>
    <n v="6.8"/>
    <n v="0.56000000000000005"/>
    <n v="0.22"/>
    <n v="1.8"/>
    <n v="7.400000000000001E-2"/>
    <n v="15"/>
    <n v="24"/>
    <n v="0.99437999999999993"/>
    <x v="20"/>
    <n v="0.82"/>
    <x v="40"/>
    <x v="1"/>
    <x v="0"/>
    <n v="7.5799999999999992"/>
    <n v="4.1000000000000002E-2"/>
  </r>
  <r>
    <n v="7.6"/>
    <n v="0.63"/>
    <n v="0.03"/>
    <n v="2"/>
    <n v="0.08"/>
    <n v="27"/>
    <n v="43"/>
    <n v="0.99577999999999989"/>
    <x v="32"/>
    <n v="0.64"/>
    <x v="18"/>
    <x v="1"/>
    <x v="0"/>
    <n v="8.26"/>
    <n v="3.6990825688073395E-2"/>
  </r>
  <r>
    <n v="7.7"/>
    <n v="0.71499999999999997"/>
    <n v="0.01"/>
    <n v="2.1"/>
    <n v="6.4000000000000001E-2"/>
    <n v="31"/>
    <n v="43"/>
    <n v="0.99370999999999998"/>
    <x v="31"/>
    <n v="0.56999999999999995"/>
    <x v="37"/>
    <x v="1"/>
    <x v="0"/>
    <n v="8.4250000000000007"/>
    <n v="3.4538135593220332E-2"/>
  </r>
  <r>
    <n v="6.9"/>
    <n v="0.56000000000000005"/>
    <n v="0.03"/>
    <n v="1.5"/>
    <n v="8.5999999999999993E-2"/>
    <n v="36"/>
    <n v="46"/>
    <n v="0.9952200000000001"/>
    <x v="46"/>
    <n v="0.56999999999999995"/>
    <x v="12"/>
    <x v="0"/>
    <x v="0"/>
    <n v="7.4900000000000011"/>
    <n v="3.0113207547169812E-2"/>
  </r>
  <r>
    <n v="7.3"/>
    <n v="0.35"/>
    <n v="0.24"/>
    <n v="2"/>
    <n v="6.7000000000000004E-2"/>
    <n v="28"/>
    <n v="48"/>
    <n v="0.99576000000000009"/>
    <x v="15"/>
    <n v="0.54"/>
    <x v="2"/>
    <x v="3"/>
    <x v="2"/>
    <n v="7.89"/>
    <n v="1.89E-2"/>
  </r>
  <r>
    <n v="9.1"/>
    <n v="0.21"/>
    <n v="0.37"/>
    <n v="1.6"/>
    <n v="6.7000000000000004E-2"/>
    <n v="6"/>
    <n v="10"/>
    <n v="0.99552000000000007"/>
    <x v="22"/>
    <n v="0.57999999999999996"/>
    <x v="42"/>
    <x v="2"/>
    <x v="1"/>
    <n v="9.68"/>
    <n v="1.0972972972972972E-2"/>
  </r>
  <r>
    <n v="10.4"/>
    <n v="0.38"/>
    <n v="0.46"/>
    <n v="2.1"/>
    <n v="0.10400000000000001"/>
    <n v="6"/>
    <n v="10"/>
    <n v="0.99663999999999997"/>
    <x v="54"/>
    <n v="0.65"/>
    <x v="37"/>
    <x v="2"/>
    <x v="1"/>
    <n v="11.240000000000002"/>
    <n v="2.0932203389830508E-2"/>
  </r>
  <r>
    <n v="8.8000000000000007"/>
    <n v="0.31"/>
    <n v="0.4"/>
    <n v="2.8"/>
    <n v="0.109"/>
    <n v="7"/>
    <n v="16"/>
    <n v="0.99613999999999991"/>
    <x v="33"/>
    <n v="0.79"/>
    <x v="37"/>
    <x v="2"/>
    <x v="1"/>
    <n v="9.5100000000000016"/>
    <n v="2.0754237288135594E-2"/>
  </r>
  <r>
    <n v="7.1"/>
    <n v="0.47"/>
    <n v="0"/>
    <n v="2.2000000000000002"/>
    <n v="6.7000000000000004E-2"/>
    <n v="7"/>
    <n v="14"/>
    <n v="0.99517000000000011"/>
    <x v="20"/>
    <n v="0.57999999999999996"/>
    <x v="18"/>
    <x v="3"/>
    <x v="2"/>
    <n v="7.5699999999999994"/>
    <n v="2.5009174311926601E-2"/>
  </r>
  <r>
    <n v="7.7"/>
    <n v="0.71499999999999997"/>
    <n v="0.01"/>
    <n v="2.1"/>
    <n v="6.4000000000000001E-2"/>
    <n v="31"/>
    <n v="43"/>
    <n v="0.99370999999999998"/>
    <x v="31"/>
    <n v="0.56999999999999995"/>
    <x v="37"/>
    <x v="1"/>
    <x v="0"/>
    <n v="8.4250000000000007"/>
    <n v="3.4538135593220332E-2"/>
  </r>
  <r>
    <n v="8.8000000000000007"/>
    <n v="0.61"/>
    <n v="0.19"/>
    <n v="4"/>
    <n v="9.4E-2"/>
    <n v="30"/>
    <n v="69"/>
    <n v="0.99787000000000003"/>
    <x v="49"/>
    <n v="0.5"/>
    <x v="2"/>
    <x v="1"/>
    <x v="0"/>
    <n v="9.6"/>
    <n v="3.0499999999999999E-2"/>
  </r>
  <r>
    <n v="7.2"/>
    <n v="0.6"/>
    <n v="0.04"/>
    <n v="2.5"/>
    <n v="7.5999999999999998E-2"/>
    <n v="18"/>
    <n v="88"/>
    <n v="0.99744999999999995"/>
    <x v="46"/>
    <n v="0.55000000000000004"/>
    <x v="3"/>
    <x v="0"/>
    <x v="0"/>
    <n v="7.84"/>
    <n v="3.4736842105263156E-2"/>
  </r>
  <r>
    <n v="9.1999999999999993"/>
    <n v="0.56000000000000005"/>
    <n v="0.18"/>
    <n v="1.6"/>
    <n v="7.8E-2"/>
    <n v="10"/>
    <n v="21"/>
    <n v="0.99576000000000009"/>
    <x v="30"/>
    <n v="0.49"/>
    <x v="6"/>
    <x v="0"/>
    <x v="0"/>
    <n v="9.94"/>
    <n v="2.771717171717172E-2"/>
  </r>
  <r>
    <n v="7.6"/>
    <n v="0.71499999999999997"/>
    <n v="0"/>
    <n v="2.1"/>
    <n v="6.8000000000000005E-2"/>
    <n v="30"/>
    <n v="35"/>
    <n v="0.99532999999999994"/>
    <x v="26"/>
    <n v="0.65"/>
    <x v="25"/>
    <x v="1"/>
    <x v="0"/>
    <n v="8.3149999999999995"/>
    <n v="4.0767543859649119E-2"/>
  </r>
  <r>
    <n v="8.4"/>
    <n v="0.31"/>
    <n v="0.28999999999999998"/>
    <n v="3.1"/>
    <n v="0.19399999999999998"/>
    <n v="14"/>
    <n v="26"/>
    <n v="0.99536000000000002"/>
    <x v="49"/>
    <n v="0.78"/>
    <x v="35"/>
    <x v="1"/>
    <x v="0"/>
    <n v="9"/>
    <n v="2.0150000000000001E-2"/>
  </r>
  <r>
    <n v="7.2"/>
    <n v="0.6"/>
    <n v="0.04"/>
    <n v="2.5"/>
    <n v="7.5999999999999998E-2"/>
    <n v="18"/>
    <n v="88"/>
    <n v="0.99744999999999995"/>
    <x v="46"/>
    <n v="0.55000000000000004"/>
    <x v="3"/>
    <x v="0"/>
    <x v="0"/>
    <n v="7.84"/>
    <n v="3.4736842105263156E-2"/>
  </r>
  <r>
    <n v="8.8000000000000007"/>
    <n v="0.61"/>
    <n v="0.19"/>
    <n v="4"/>
    <n v="9.4E-2"/>
    <n v="30"/>
    <n v="69"/>
    <n v="0.99787000000000003"/>
    <x v="49"/>
    <n v="0.5"/>
    <x v="2"/>
    <x v="1"/>
    <x v="0"/>
    <n v="9.6"/>
    <n v="3.0499999999999999E-2"/>
  </r>
  <r>
    <n v="8.9"/>
    <n v="0.75"/>
    <n v="0.14000000000000001"/>
    <n v="2.5"/>
    <n v="8.5999999999999993E-2"/>
    <n v="9"/>
    <n v="30"/>
    <n v="0.99824000000000002"/>
    <x v="16"/>
    <n v="0.64"/>
    <x v="4"/>
    <x v="0"/>
    <x v="0"/>
    <n v="9.7900000000000009"/>
    <n v="4.5714285714285714E-2"/>
  </r>
  <r>
    <n v="9"/>
    <n v="0.8"/>
    <n v="0.12"/>
    <n v="2.4"/>
    <n v="8.3000000000000004E-2"/>
    <n v="8"/>
    <n v="28"/>
    <n v="0.99836000000000003"/>
    <x v="24"/>
    <n v="0.65"/>
    <x v="21"/>
    <x v="1"/>
    <x v="0"/>
    <n v="9.92"/>
    <n v="0.05"/>
  </r>
  <r>
    <n v="10.7"/>
    <n v="0.52"/>
    <n v="0.38"/>
    <n v="2.6"/>
    <n v="6.6000000000000003E-2"/>
    <n v="29"/>
    <n v="56"/>
    <n v="0.99577000000000004"/>
    <x v="30"/>
    <n v="0.79"/>
    <x v="44"/>
    <x v="2"/>
    <x v="1"/>
    <n v="11.6"/>
    <n v="3.3950413223140498E-2"/>
  </r>
  <r>
    <n v="6.8"/>
    <n v="0.56999999999999995"/>
    <n v="0"/>
    <n v="2.5"/>
    <n v="7.2000000000000008E-2"/>
    <n v="32"/>
    <n v="64"/>
    <n v="0.99491000000000007"/>
    <x v="15"/>
    <n v="0.56000000000000005"/>
    <x v="40"/>
    <x v="1"/>
    <x v="0"/>
    <n v="7.37"/>
    <n v="2.8500000000000001E-2"/>
  </r>
  <r>
    <n v="10.7"/>
    <n v="0.9"/>
    <n v="0.34"/>
    <n v="6.6"/>
    <n v="0.11199999999999999"/>
    <n v="23"/>
    <n v="99"/>
    <n v="1.0028900000000001"/>
    <x v="49"/>
    <n v="0.68"/>
    <x v="8"/>
    <x v="0"/>
    <x v="0"/>
    <n v="11.94"/>
    <n v="6.580645161290323E-2"/>
  </r>
  <r>
    <n v="7.2"/>
    <n v="0.34"/>
    <n v="0.24"/>
    <n v="2"/>
    <n v="7.0999999999999994E-2"/>
    <n v="30"/>
    <n v="52"/>
    <n v="0.99576000000000009"/>
    <x v="32"/>
    <n v="0.57999999999999996"/>
    <x v="11"/>
    <x v="0"/>
    <x v="0"/>
    <n v="7.78"/>
    <n v="1.9524752475247528E-2"/>
  </r>
  <r>
    <n v="7.2"/>
    <n v="0.66"/>
    <n v="0.03"/>
    <n v="2.2999999999999998"/>
    <n v="7.8E-2"/>
    <n v="16"/>
    <n v="86"/>
    <n v="0.99742999999999993"/>
    <x v="46"/>
    <n v="0.56999999999999995"/>
    <x v="10"/>
    <x v="0"/>
    <x v="0"/>
    <n v="7.8900000000000006"/>
    <n v="3.8783505154639179E-2"/>
  </r>
  <r>
    <n v="10.1"/>
    <n v="0.45"/>
    <n v="0.23"/>
    <n v="1.9"/>
    <n v="8.199999999999999E-2"/>
    <n v="10"/>
    <n v="18"/>
    <n v="0.99773999999999996"/>
    <x v="49"/>
    <n v="0.65"/>
    <x v="8"/>
    <x v="1"/>
    <x v="0"/>
    <n v="10.78"/>
    <n v="3.145161290322581E-2"/>
  </r>
  <r>
    <n v="7.2"/>
    <n v="0.66"/>
    <n v="0.03"/>
    <n v="2.2999999999999998"/>
    <n v="7.8E-2"/>
    <n v="16"/>
    <n v="86"/>
    <n v="0.99742999999999993"/>
    <x v="46"/>
    <n v="0.56999999999999995"/>
    <x v="10"/>
    <x v="0"/>
    <x v="0"/>
    <n v="7.8900000000000006"/>
    <n v="3.8783505154639179E-2"/>
  </r>
  <r>
    <n v="7.2"/>
    <n v="0.63"/>
    <n v="0.03"/>
    <n v="2.2000000000000002"/>
    <n v="0.08"/>
    <n v="17"/>
    <n v="88"/>
    <n v="0.99744999999999995"/>
    <x v="46"/>
    <n v="0.57999999999999996"/>
    <x v="1"/>
    <x v="1"/>
    <x v="0"/>
    <n v="7.86"/>
    <n v="3.7285714285714283E-2"/>
  </r>
  <r>
    <n v="7.1"/>
    <n v="0.59"/>
    <n v="0.01"/>
    <n v="2.2999999999999998"/>
    <n v="0.08"/>
    <n v="27"/>
    <n v="43"/>
    <n v="0.99550000000000005"/>
    <x v="21"/>
    <n v="0.57999999999999996"/>
    <x v="19"/>
    <x v="1"/>
    <x v="0"/>
    <n v="7.6999999999999993"/>
    <n v="3.1981308411214951E-2"/>
  </r>
  <r>
    <n v="8.3000000000000007"/>
    <n v="0.31"/>
    <n v="0.39"/>
    <n v="2.4"/>
    <n v="7.8E-2"/>
    <n v="17"/>
    <n v="43"/>
    <n v="0.99443999999999999"/>
    <x v="33"/>
    <n v="0.77"/>
    <x v="31"/>
    <x v="2"/>
    <x v="1"/>
    <n v="9.0000000000000018"/>
    <n v="1.9095999999999998E-2"/>
  </r>
  <r>
    <n v="7.1"/>
    <n v="0.59"/>
    <n v="0.01"/>
    <n v="2.2999999999999998"/>
    <n v="0.08"/>
    <n v="27"/>
    <n v="43"/>
    <n v="0.99550000000000005"/>
    <x v="21"/>
    <n v="0.57999999999999996"/>
    <x v="19"/>
    <x v="1"/>
    <x v="0"/>
    <n v="7.6999999999999993"/>
    <n v="3.1981308411214951E-2"/>
  </r>
  <r>
    <n v="8.3000000000000007"/>
    <n v="0.31"/>
    <n v="0.39"/>
    <n v="2.4"/>
    <n v="7.8E-2"/>
    <n v="17"/>
    <n v="43"/>
    <n v="0.99443999999999999"/>
    <x v="33"/>
    <n v="0.77"/>
    <x v="31"/>
    <x v="2"/>
    <x v="1"/>
    <n v="9.0000000000000018"/>
    <n v="1.9095999999999998E-2"/>
  </r>
  <r>
    <n v="8.3000000000000007"/>
    <n v="1.02"/>
    <n v="0.02"/>
    <n v="3.4"/>
    <n v="8.4000000000000005E-2"/>
    <n v="6"/>
    <n v="11"/>
    <n v="0.99892000000000003"/>
    <x v="26"/>
    <n v="0.49"/>
    <x v="27"/>
    <x v="5"/>
    <x v="2"/>
    <n v="9.34"/>
    <n v="4.5436363636363636E-2"/>
  </r>
  <r>
    <n v="8.9"/>
    <n v="0.31"/>
    <n v="0.36"/>
    <n v="2.6"/>
    <n v="5.5999999999999994E-2"/>
    <n v="10"/>
    <n v="39"/>
    <n v="0.99562000000000006"/>
    <x v="20"/>
    <n v="0.69"/>
    <x v="37"/>
    <x v="0"/>
    <x v="0"/>
    <n v="9.57"/>
    <n v="1.8127118644067793E-2"/>
  </r>
  <r>
    <n v="7.4"/>
    <n v="0.63500000000000001"/>
    <n v="0.1"/>
    <n v="2.4"/>
    <n v="0.08"/>
    <n v="16"/>
    <n v="33"/>
    <n v="0.99736000000000002"/>
    <x v="9"/>
    <n v="0.69"/>
    <x v="14"/>
    <x v="2"/>
    <x v="1"/>
    <n v="8.1349999999999998"/>
    <n v="4.0569444444444443E-2"/>
  </r>
  <r>
    <n v="7.4"/>
    <n v="0.63500000000000001"/>
    <n v="0.1"/>
    <n v="2.4"/>
    <n v="0.08"/>
    <n v="16"/>
    <n v="33"/>
    <n v="0.99736000000000002"/>
    <x v="9"/>
    <n v="0.69"/>
    <x v="14"/>
    <x v="2"/>
    <x v="1"/>
    <n v="8.1349999999999998"/>
    <n v="4.0569444444444443E-2"/>
  </r>
  <r>
    <n v="6.8"/>
    <n v="0.59"/>
    <n v="0.06"/>
    <n v="6"/>
    <n v="0.06"/>
    <n v="11"/>
    <n v="18"/>
    <n v="0.99619999999999997"/>
    <x v="31"/>
    <n v="0.59"/>
    <x v="14"/>
    <x v="2"/>
    <x v="1"/>
    <n v="7.4499999999999993"/>
    <n v="3.2231481481481479E-2"/>
  </r>
  <r>
    <n v="6.8"/>
    <n v="0.59"/>
    <n v="0.06"/>
    <n v="6"/>
    <n v="0.06"/>
    <n v="11"/>
    <n v="18"/>
    <n v="0.99619999999999997"/>
    <x v="31"/>
    <n v="0.59"/>
    <x v="14"/>
    <x v="2"/>
    <x v="1"/>
    <n v="7.4499999999999993"/>
    <n v="3.2231481481481479E-2"/>
  </r>
  <r>
    <n v="9.1999999999999993"/>
    <n v="0.57999999999999996"/>
    <n v="0.2"/>
    <n v="3"/>
    <n v="8.1000000000000003E-2"/>
    <n v="15"/>
    <n v="115"/>
    <n v="0.998"/>
    <x v="22"/>
    <n v="0.59"/>
    <x v="3"/>
    <x v="0"/>
    <x v="0"/>
    <n v="9.9799999999999986"/>
    <n v="3.602105263157894E-2"/>
  </r>
  <r>
    <n v="7.2"/>
    <n v="0.54"/>
    <n v="0.27"/>
    <n v="2.6"/>
    <n v="8.4000000000000005E-2"/>
    <n v="12"/>
    <n v="78"/>
    <n v="0.99639999999999995"/>
    <x v="5"/>
    <n v="0.71"/>
    <x v="27"/>
    <x v="0"/>
    <x v="0"/>
    <n v="8.01"/>
    <n v="3.4854545454545457E-2"/>
  </r>
  <r>
    <n v="6.1"/>
    <n v="0.56000000000000005"/>
    <n v="0"/>
    <n v="2.2000000000000002"/>
    <n v="7.9000000000000001E-2"/>
    <n v="6"/>
    <n v="9"/>
    <n v="0.99480000000000002"/>
    <x v="52"/>
    <n v="0.54"/>
    <x v="24"/>
    <x v="1"/>
    <x v="0"/>
    <n v="6.66"/>
    <n v="2.629565217391305E-2"/>
  </r>
  <r>
    <n v="7.4"/>
    <n v="0.52"/>
    <n v="0.13"/>
    <n v="2.4"/>
    <n v="7.8E-2"/>
    <n v="34"/>
    <n v="61"/>
    <n v="0.99527999999999994"/>
    <x v="15"/>
    <n v="0.59"/>
    <x v="14"/>
    <x v="1"/>
    <x v="0"/>
    <n v="8.0500000000000007"/>
    <n v="2.8407407407407406E-2"/>
  </r>
  <r>
    <n v="7.3"/>
    <n v="0.30499999999999999"/>
    <n v="0.39"/>
    <n v="1.2"/>
    <n v="5.9000000000000004E-2"/>
    <n v="7"/>
    <n v="11"/>
    <n v="0.99331000000000003"/>
    <x v="40"/>
    <n v="0.52"/>
    <x v="24"/>
    <x v="1"/>
    <x v="0"/>
    <n v="7.9949999999999992"/>
    <n v="1.3791304347826086E-2"/>
  </r>
  <r>
    <n v="9.3000000000000007"/>
    <n v="0.38"/>
    <n v="0.48"/>
    <n v="3.8"/>
    <n v="0.13200000000000001"/>
    <n v="3"/>
    <n v="11"/>
    <n v="0.99577000000000004"/>
    <x v="22"/>
    <n v="0.56999999999999995"/>
    <x v="48"/>
    <x v="1"/>
    <x v="0"/>
    <n v="10.160000000000002"/>
    <n v="1.6409090909090908E-2"/>
  </r>
  <r>
    <n v="9.1"/>
    <n v="0.28000000000000003"/>
    <n v="0.46"/>
    <n v="9"/>
    <n v="0.114"/>
    <n v="3"/>
    <n v="9"/>
    <n v="0.99901000000000006"/>
    <x v="64"/>
    <n v="0.6"/>
    <x v="18"/>
    <x v="1"/>
    <x v="0"/>
    <n v="9.84"/>
    <n v="1.5412844036697248E-2"/>
  </r>
  <r>
    <n v="10"/>
    <n v="0.46"/>
    <n v="0.44"/>
    <n v="2.9"/>
    <n v="6.5000000000000002E-2"/>
    <n v="4"/>
    <n v="8"/>
    <n v="0.99673999999999996"/>
    <x v="24"/>
    <n v="0.62"/>
    <x v="28"/>
    <x v="1"/>
    <x v="0"/>
    <n v="10.9"/>
    <n v="2.3377049180327871E-2"/>
  </r>
  <r>
    <n v="9.4"/>
    <n v="0.39500000000000002"/>
    <n v="0.46"/>
    <n v="4.5999999999999996"/>
    <n v="9.4E-2"/>
    <n v="3"/>
    <n v="10"/>
    <n v="0.99639"/>
    <x v="63"/>
    <n v="0.64"/>
    <x v="28"/>
    <x v="2"/>
    <x v="1"/>
    <n v="10.255000000000001"/>
    <n v="2.0721311475409839E-2"/>
  </r>
  <r>
    <n v="7.3"/>
    <n v="0.30499999999999999"/>
    <n v="0.39"/>
    <n v="1.2"/>
    <n v="5.9000000000000004E-2"/>
    <n v="7"/>
    <n v="11"/>
    <n v="0.99331000000000003"/>
    <x v="40"/>
    <n v="0.52"/>
    <x v="24"/>
    <x v="1"/>
    <x v="0"/>
    <n v="7.9949999999999992"/>
    <n v="1.3791304347826086E-2"/>
  </r>
  <r>
    <n v="8.6"/>
    <n v="0.315"/>
    <n v="0.4"/>
    <n v="2.2000000000000002"/>
    <n v="7.9000000000000001E-2"/>
    <n v="3"/>
    <n v="6"/>
    <n v="0.99512000000000012"/>
    <x v="63"/>
    <n v="0.67"/>
    <x v="36"/>
    <x v="1"/>
    <x v="0"/>
    <n v="9.3149999999999995"/>
    <n v="1.7735294117647061E-2"/>
  </r>
  <r>
    <n v="5.3"/>
    <n v="0.71499999999999997"/>
    <n v="0.19"/>
    <n v="1.5"/>
    <n v="0.161"/>
    <n v="7"/>
    <n v="62"/>
    <n v="0.99395"/>
    <x v="71"/>
    <n v="0.61"/>
    <x v="27"/>
    <x v="0"/>
    <x v="0"/>
    <n v="6.2050000000000001"/>
    <n v="3.9649999999999998E-2"/>
  </r>
  <r>
    <n v="6.8"/>
    <n v="0.41"/>
    <n v="0.31"/>
    <n v="8.8000000000000007"/>
    <n v="8.4000000000000005E-2"/>
    <n v="26"/>
    <n v="45"/>
    <n v="0.99824000000000002"/>
    <x v="12"/>
    <n v="0.64"/>
    <x v="11"/>
    <x v="1"/>
    <x v="0"/>
    <n v="7.52"/>
    <n v="2.5980198019801979E-2"/>
  </r>
  <r>
    <n v="8.4"/>
    <n v="0.36"/>
    <n v="0.32"/>
    <n v="2.2000000000000002"/>
    <n v="8.1000000000000003E-2"/>
    <n v="32"/>
    <n v="79"/>
    <n v="0.99639999999999995"/>
    <x v="4"/>
    <n v="0.72"/>
    <x v="27"/>
    <x v="1"/>
    <x v="0"/>
    <n v="9.08"/>
    <n v="2.3563636363636363E-2"/>
  </r>
  <r>
    <n v="8.4"/>
    <n v="0.62"/>
    <n v="0.12"/>
    <n v="1.8"/>
    <n v="7.2000000000000008E-2"/>
    <n v="38"/>
    <n v="46"/>
    <n v="0.99503999999999992"/>
    <x v="12"/>
    <n v="0.89"/>
    <x v="37"/>
    <x v="1"/>
    <x v="0"/>
    <n v="9.1399999999999988"/>
    <n v="4.6762711864406774E-2"/>
  </r>
  <r>
    <n v="9.6"/>
    <n v="0.41"/>
    <n v="0.37"/>
    <n v="2.2999999999999998"/>
    <n v="9.0999999999999998E-2"/>
    <n v="10"/>
    <n v="23"/>
    <n v="0.99786000000000008"/>
    <x v="47"/>
    <n v="0.56000000000000005"/>
    <x v="4"/>
    <x v="0"/>
    <x v="0"/>
    <n v="10.379999999999999"/>
    <n v="2.1866666666666666E-2"/>
  </r>
  <r>
    <n v="8.4"/>
    <n v="0.36"/>
    <n v="0.32"/>
    <n v="2.2000000000000002"/>
    <n v="8.1000000000000003E-2"/>
    <n v="32"/>
    <n v="79"/>
    <n v="0.99639999999999995"/>
    <x v="4"/>
    <n v="0.72"/>
    <x v="27"/>
    <x v="1"/>
    <x v="0"/>
    <n v="9.08"/>
    <n v="2.3563636363636363E-2"/>
  </r>
  <r>
    <n v="8.4"/>
    <n v="0.62"/>
    <n v="0.12"/>
    <n v="1.8"/>
    <n v="7.2000000000000008E-2"/>
    <n v="38"/>
    <n v="46"/>
    <n v="0.99503999999999992"/>
    <x v="12"/>
    <n v="0.89"/>
    <x v="37"/>
    <x v="1"/>
    <x v="0"/>
    <n v="9.1399999999999988"/>
    <n v="4.6762711864406774E-2"/>
  </r>
  <r>
    <n v="6.8"/>
    <n v="0.41"/>
    <n v="0.31"/>
    <n v="8.8000000000000007"/>
    <n v="8.4000000000000005E-2"/>
    <n v="26"/>
    <n v="45"/>
    <n v="0.99824000000000002"/>
    <x v="12"/>
    <n v="0.64"/>
    <x v="11"/>
    <x v="1"/>
    <x v="0"/>
    <n v="7.52"/>
    <n v="2.5980198019801979E-2"/>
  </r>
  <r>
    <n v="8.6"/>
    <n v="0.47"/>
    <n v="0.27"/>
    <n v="2.2999999999999998"/>
    <n v="5.5E-2"/>
    <n v="14"/>
    <n v="28"/>
    <n v="0.99516000000000004"/>
    <x v="64"/>
    <n v="0.8"/>
    <x v="40"/>
    <x v="0"/>
    <x v="0"/>
    <n v="9.34"/>
    <n v="3.3571428571428572E-2"/>
  </r>
  <r>
    <n v="8.6"/>
    <n v="0.22"/>
    <n v="0.36"/>
    <n v="1.9"/>
    <n v="6.4000000000000001E-2"/>
    <n v="53"/>
    <n v="77"/>
    <n v="0.99603999999999993"/>
    <x v="17"/>
    <n v="0.87"/>
    <x v="27"/>
    <x v="2"/>
    <x v="1"/>
    <n v="9.18"/>
    <n v="1.7399999999999999E-2"/>
  </r>
  <r>
    <n v="9.4"/>
    <n v="0.24"/>
    <n v="0.33"/>
    <n v="2.2999999999999998"/>
    <n v="6.0999999999999999E-2"/>
    <n v="52"/>
    <n v="73"/>
    <n v="0.99786000000000008"/>
    <x v="17"/>
    <n v="0.9"/>
    <x v="17"/>
    <x v="1"/>
    <x v="0"/>
    <n v="9.9700000000000006"/>
    <n v="2.1176470588235297E-2"/>
  </r>
  <r>
    <n v="8.4"/>
    <n v="0.67"/>
    <n v="0.19"/>
    <n v="2.2000000000000002"/>
    <n v="9.3000000000000013E-2"/>
    <n v="11"/>
    <n v="75"/>
    <n v="0.99736000000000002"/>
    <x v="1"/>
    <n v="0.59"/>
    <x v="5"/>
    <x v="3"/>
    <x v="2"/>
    <n v="9.26"/>
    <n v="4.2967391304347825E-2"/>
  </r>
  <r>
    <n v="8.6"/>
    <n v="0.47"/>
    <n v="0.27"/>
    <n v="2.2999999999999998"/>
    <n v="5.5E-2"/>
    <n v="14"/>
    <n v="28"/>
    <n v="0.99516000000000004"/>
    <x v="64"/>
    <n v="0.8"/>
    <x v="40"/>
    <x v="0"/>
    <x v="0"/>
    <n v="9.34"/>
    <n v="3.3571428571428572E-2"/>
  </r>
  <r>
    <n v="8.6999999999999993"/>
    <n v="0.33"/>
    <n v="0.38"/>
    <n v="3.3"/>
    <n v="6.3E-2"/>
    <n v="10"/>
    <n v="19"/>
    <n v="0.9946799999999999"/>
    <x v="4"/>
    <n v="0.73"/>
    <x v="35"/>
    <x v="2"/>
    <x v="1"/>
    <n v="9.41"/>
    <n v="2.0074999999999999E-2"/>
  </r>
  <r>
    <n v="6.6"/>
    <n v="0.61"/>
    <n v="0.01"/>
    <n v="1.9"/>
    <n v="0.08"/>
    <n v="8"/>
    <n v="25"/>
    <n v="0.99746000000000001"/>
    <x v="59"/>
    <n v="0.73"/>
    <x v="4"/>
    <x v="0"/>
    <x v="0"/>
    <n v="7.22"/>
    <n v="4.2409523809523807E-2"/>
  </r>
  <r>
    <n v="7.4"/>
    <n v="0.61"/>
    <n v="0.01"/>
    <n v="2"/>
    <n v="7.400000000000001E-2"/>
    <n v="13"/>
    <n v="38"/>
    <n v="0.99747999999999992"/>
    <x v="26"/>
    <n v="0.65"/>
    <x v="1"/>
    <x v="0"/>
    <x v="0"/>
    <n v="8.02"/>
    <n v="4.0459183673469387E-2"/>
  </r>
  <r>
    <n v="7.6"/>
    <n v="0.4"/>
    <n v="0.28999999999999998"/>
    <n v="1.9"/>
    <n v="7.8E-2"/>
    <n v="29"/>
    <n v="66"/>
    <n v="0.99709999999999999"/>
    <x v="19"/>
    <n v="0.59"/>
    <x v="3"/>
    <x v="1"/>
    <x v="0"/>
    <n v="8.2899999999999991"/>
    <n v="2.4842105263157895E-2"/>
  </r>
  <r>
    <n v="7.4"/>
    <n v="0.61"/>
    <n v="0.01"/>
    <n v="2"/>
    <n v="7.400000000000001E-2"/>
    <n v="13"/>
    <n v="38"/>
    <n v="0.99747999999999992"/>
    <x v="26"/>
    <n v="0.65"/>
    <x v="1"/>
    <x v="0"/>
    <x v="0"/>
    <n v="8.02"/>
    <n v="4.0459183673469387E-2"/>
  </r>
  <r>
    <n v="6.6"/>
    <n v="0.61"/>
    <n v="0.01"/>
    <n v="1.9"/>
    <n v="0.08"/>
    <n v="8"/>
    <n v="25"/>
    <n v="0.99746000000000001"/>
    <x v="59"/>
    <n v="0.73"/>
    <x v="4"/>
    <x v="0"/>
    <x v="0"/>
    <n v="7.22"/>
    <n v="4.2409523809523807E-2"/>
  </r>
  <r>
    <n v="8.8000000000000007"/>
    <n v="0.3"/>
    <n v="0.38"/>
    <n v="2.2999999999999998"/>
    <n v="0.06"/>
    <n v="19"/>
    <n v="72"/>
    <n v="0.99542999999999993"/>
    <x v="5"/>
    <n v="0.72"/>
    <x v="37"/>
    <x v="1"/>
    <x v="0"/>
    <n v="9.4800000000000022"/>
    <n v="1.8305084745762711E-2"/>
  </r>
  <r>
    <n v="8.8000000000000007"/>
    <n v="0.3"/>
    <n v="0.38"/>
    <n v="2.2999999999999998"/>
    <n v="0.06"/>
    <n v="19"/>
    <n v="72"/>
    <n v="0.99542999999999993"/>
    <x v="5"/>
    <n v="0.72"/>
    <x v="37"/>
    <x v="1"/>
    <x v="0"/>
    <n v="9.4800000000000022"/>
    <n v="1.8305084745762711E-2"/>
  </r>
  <r>
    <n v="12"/>
    <n v="0.63"/>
    <n v="0.5"/>
    <n v="1.4"/>
    <n v="7.0999999999999994E-2"/>
    <n v="6"/>
    <n v="26"/>
    <n v="0.99791000000000007"/>
    <x v="44"/>
    <n v="0.6"/>
    <x v="21"/>
    <x v="3"/>
    <x v="2"/>
    <n v="13.13"/>
    <n v="3.6346153846153847E-2"/>
  </r>
  <r>
    <n v="7.2"/>
    <n v="0.38"/>
    <n v="0.38"/>
    <n v="2.8"/>
    <n v="6.8000000000000005E-2"/>
    <n v="23"/>
    <n v="42"/>
    <n v="0.99356"/>
    <x v="16"/>
    <n v="0.72"/>
    <x v="20"/>
    <x v="2"/>
    <x v="1"/>
    <n v="7.96"/>
    <n v="2.1209302325581394E-2"/>
  </r>
  <r>
    <n v="6.2"/>
    <n v="0.46"/>
    <n v="0.17"/>
    <n v="1.6"/>
    <n v="7.2999999999999995E-2"/>
    <n v="7"/>
    <n v="11"/>
    <n v="0.99424999999999997"/>
    <x v="56"/>
    <n v="0.54"/>
    <x v="25"/>
    <x v="0"/>
    <x v="0"/>
    <n v="6.83"/>
    <n v="2.1789473684210529E-2"/>
  </r>
  <r>
    <n v="9.6"/>
    <n v="0.33"/>
    <n v="0.52"/>
    <n v="2.2000000000000002"/>
    <n v="7.400000000000001E-2"/>
    <n v="13"/>
    <n v="25"/>
    <n v="0.99508999999999992"/>
    <x v="6"/>
    <n v="0.76"/>
    <x v="26"/>
    <x v="2"/>
    <x v="1"/>
    <n v="10.45"/>
    <n v="2.0225806451612906E-2"/>
  </r>
  <r>
    <n v="9.9"/>
    <n v="0.27"/>
    <n v="0.49"/>
    <n v="5"/>
    <n v="8.199999999999999E-2"/>
    <n v="9"/>
    <n v="17"/>
    <n v="0.99483999999999995"/>
    <x v="43"/>
    <n v="0.52"/>
    <x v="31"/>
    <x v="2"/>
    <x v="1"/>
    <n v="10.66"/>
    <n v="1.1232000000000002E-2"/>
  </r>
  <r>
    <n v="10.1"/>
    <n v="0.43"/>
    <n v="0.4"/>
    <n v="2.6"/>
    <n v="9.1999999999999998E-2"/>
    <n v="13"/>
    <n v="52"/>
    <n v="0.99834000000000001"/>
    <x v="49"/>
    <n v="0.64"/>
    <x v="2"/>
    <x v="2"/>
    <x v="1"/>
    <n v="10.93"/>
    <n v="2.7519999999999999E-2"/>
  </r>
  <r>
    <n v="9.8000000000000007"/>
    <n v="0.5"/>
    <n v="0.34"/>
    <n v="2.2999999999999998"/>
    <n v="9.4E-2"/>
    <n v="10"/>
    <n v="45"/>
    <n v="0.99863999999999997"/>
    <x v="47"/>
    <n v="0.6"/>
    <x v="10"/>
    <x v="2"/>
    <x v="1"/>
    <n v="10.64"/>
    <n v="3.0927835051546393E-2"/>
  </r>
  <r>
    <n v="8.3000000000000007"/>
    <n v="0.3"/>
    <n v="0.49"/>
    <n v="3.8"/>
    <n v="0.09"/>
    <n v="11"/>
    <n v="24"/>
    <n v="0.99497999999999998"/>
    <x v="63"/>
    <n v="0.64"/>
    <x v="44"/>
    <x v="2"/>
    <x v="1"/>
    <n v="9.0900000000000016"/>
    <n v="1.5867768595041323E-2"/>
  </r>
  <r>
    <n v="10.199999999999999"/>
    <n v="0.44"/>
    <n v="0.42"/>
    <n v="2"/>
    <n v="7.0999999999999994E-2"/>
    <n v="7"/>
    <n v="20"/>
    <n v="0.99565999999999999"/>
    <x v="37"/>
    <n v="0.79"/>
    <x v="42"/>
    <x v="2"/>
    <x v="1"/>
    <n v="11.059999999999999"/>
    <n v="3.1315315315315319E-2"/>
  </r>
  <r>
    <n v="10.199999999999999"/>
    <n v="0.44"/>
    <n v="0.57999999999999996"/>
    <n v="4.0999999999999996"/>
    <n v="9.1999999999999998E-2"/>
    <n v="11"/>
    <n v="24"/>
    <n v="0.99744999999999995"/>
    <x v="40"/>
    <n v="0.99"/>
    <x v="35"/>
    <x v="2"/>
    <x v="1"/>
    <n v="11.219999999999999"/>
    <n v="3.6299999999999999E-2"/>
  </r>
  <r>
    <n v="8.3000000000000007"/>
    <n v="0.28000000000000003"/>
    <n v="0.48"/>
    <n v="2.1"/>
    <n v="9.3000000000000013E-2"/>
    <n v="6"/>
    <n v="12"/>
    <n v="0.99407999999999996"/>
    <x v="2"/>
    <n v="0.62"/>
    <x v="26"/>
    <x v="2"/>
    <x v="1"/>
    <n v="9.06"/>
    <n v="1.4E-2"/>
  </r>
  <r>
    <n v="8.9"/>
    <n v="0.12"/>
    <n v="0.45"/>
    <n v="1.8"/>
    <n v="7.4999999999999997E-2"/>
    <n v="10"/>
    <n v="21"/>
    <n v="0.99552000000000007"/>
    <x v="31"/>
    <n v="0.76"/>
    <x v="36"/>
    <x v="2"/>
    <x v="1"/>
    <n v="9.4699999999999989"/>
    <n v="7.6638655462184877E-3"/>
  </r>
  <r>
    <n v="8.9"/>
    <n v="0.12"/>
    <n v="0.45"/>
    <n v="1.8"/>
    <n v="7.4999999999999997E-2"/>
    <n v="10"/>
    <n v="21"/>
    <n v="0.99552000000000007"/>
    <x v="31"/>
    <n v="0.76"/>
    <x v="36"/>
    <x v="2"/>
    <x v="1"/>
    <n v="9.4699999999999989"/>
    <n v="7.6638655462184877E-3"/>
  </r>
  <r>
    <n v="8.9"/>
    <n v="0.12"/>
    <n v="0.45"/>
    <n v="1.8"/>
    <n v="7.4999999999999997E-2"/>
    <n v="10"/>
    <n v="21"/>
    <n v="0.99552000000000007"/>
    <x v="31"/>
    <n v="0.76"/>
    <x v="36"/>
    <x v="2"/>
    <x v="1"/>
    <n v="9.4699999999999989"/>
    <n v="7.6638655462184877E-3"/>
  </r>
  <r>
    <n v="8.3000000000000007"/>
    <n v="0.28000000000000003"/>
    <n v="0.48"/>
    <n v="2.1"/>
    <n v="9.3000000000000013E-2"/>
    <n v="6"/>
    <n v="12"/>
    <n v="0.99407999999999996"/>
    <x v="2"/>
    <n v="0.62"/>
    <x v="26"/>
    <x v="2"/>
    <x v="1"/>
    <n v="9.06"/>
    <n v="1.4E-2"/>
  </r>
  <r>
    <n v="8.1999999999999993"/>
    <n v="0.31"/>
    <n v="0.4"/>
    <n v="2.2000000000000002"/>
    <n v="5.7999999999999996E-2"/>
    <n v="6"/>
    <n v="10"/>
    <n v="0.99536000000000002"/>
    <x v="33"/>
    <n v="0.68"/>
    <x v="40"/>
    <x v="2"/>
    <x v="1"/>
    <n v="8.91"/>
    <n v="1.8821428571428572E-2"/>
  </r>
  <r>
    <n v="10.199999999999999"/>
    <n v="0.34"/>
    <n v="0.48"/>
    <n v="2.1"/>
    <n v="5.2000000000000005E-2"/>
    <n v="5"/>
    <n v="9"/>
    <n v="0.99457999999999991"/>
    <x v="1"/>
    <n v="0.69"/>
    <x v="44"/>
    <x v="2"/>
    <x v="1"/>
    <n v="11.02"/>
    <n v="1.9388429752066116E-2"/>
  </r>
  <r>
    <n v="7.6"/>
    <n v="0.43"/>
    <n v="0.4"/>
    <n v="2.7"/>
    <n v="8.199999999999999E-2"/>
    <n v="6"/>
    <n v="11"/>
    <n v="0.99537999999999993"/>
    <x v="32"/>
    <n v="0.54"/>
    <x v="28"/>
    <x v="1"/>
    <x v="0"/>
    <n v="8.43"/>
    <n v="1.9032786885245904E-2"/>
  </r>
  <r>
    <n v="8.5"/>
    <n v="0.21"/>
    <n v="0.52"/>
    <n v="1.9"/>
    <n v="0.09"/>
    <n v="9"/>
    <n v="23"/>
    <n v="0.99647999999999992"/>
    <x v="6"/>
    <n v="0.67"/>
    <x v="21"/>
    <x v="0"/>
    <x v="0"/>
    <n v="9.23"/>
    <n v="1.3528846153846153E-2"/>
  </r>
  <r>
    <n v="9"/>
    <n v="0.36"/>
    <n v="0.52"/>
    <n v="2.1"/>
    <n v="0.111"/>
    <n v="5"/>
    <n v="10"/>
    <n v="0.9956799999999999"/>
    <x v="33"/>
    <n v="0.62"/>
    <x v="33"/>
    <x v="1"/>
    <x v="0"/>
    <n v="9.879999999999999"/>
    <n v="1.9752212389380529E-2"/>
  </r>
  <r>
    <n v="9.5"/>
    <n v="0.37"/>
    <n v="0.52"/>
    <n v="2"/>
    <n v="8.8000000000000009E-2"/>
    <n v="12"/>
    <n v="51"/>
    <n v="0.99612999999999996"/>
    <x v="40"/>
    <n v="0.57999999999999996"/>
    <x v="42"/>
    <x v="1"/>
    <x v="0"/>
    <n v="10.389999999999999"/>
    <n v="1.9333333333333334E-2"/>
  </r>
  <r>
    <n v="6.4"/>
    <n v="0.56999999999999995"/>
    <n v="0.12"/>
    <n v="2.2999999999999998"/>
    <n v="0.12"/>
    <n v="25"/>
    <n v="36"/>
    <n v="0.99519000000000002"/>
    <x v="17"/>
    <n v="0.71"/>
    <x v="33"/>
    <x v="2"/>
    <x v="1"/>
    <n v="7.0900000000000007"/>
    <n v="3.5814159292035394E-2"/>
  </r>
  <r>
    <n v="8"/>
    <n v="0.59"/>
    <n v="0.05"/>
    <n v="2"/>
    <n v="8.900000000000001E-2"/>
    <n v="12"/>
    <n v="32"/>
    <n v="0.99734999999999996"/>
    <x v="6"/>
    <n v="0.61"/>
    <x v="2"/>
    <x v="0"/>
    <x v="0"/>
    <n v="8.64"/>
    <n v="3.5990000000000001E-2"/>
  </r>
  <r>
    <n v="8.5"/>
    <n v="0.47"/>
    <n v="0.27"/>
    <n v="1.9"/>
    <n v="5.7999999999999996E-2"/>
    <n v="18"/>
    <n v="38"/>
    <n v="0.99517999999999995"/>
    <x v="3"/>
    <n v="0.85"/>
    <x v="42"/>
    <x v="1"/>
    <x v="0"/>
    <n v="9.24"/>
    <n v="3.5990990990990991E-2"/>
  </r>
  <r>
    <n v="7.1"/>
    <n v="0.56000000000000005"/>
    <n v="0.14000000000000001"/>
    <n v="1.6"/>
    <n v="7.8E-2"/>
    <n v="7"/>
    <n v="18"/>
    <n v="0.99592000000000003"/>
    <x v="63"/>
    <n v="0.62"/>
    <x v="8"/>
    <x v="0"/>
    <x v="0"/>
    <n v="7.8"/>
    <n v="3.7333333333333329E-2"/>
  </r>
  <r>
    <n v="6.6"/>
    <n v="0.56999999999999995"/>
    <n v="0.02"/>
    <n v="2.1"/>
    <n v="0.115"/>
    <n v="6"/>
    <n v="16"/>
    <n v="0.99653999999999998"/>
    <x v="12"/>
    <n v="0.69"/>
    <x v="3"/>
    <x v="0"/>
    <x v="0"/>
    <n v="7.1899999999999995"/>
    <n v="4.1399999999999992E-2"/>
  </r>
  <r>
    <n v="8.8000000000000007"/>
    <n v="0.27"/>
    <n v="0.39"/>
    <n v="2"/>
    <n v="0.1"/>
    <n v="20"/>
    <n v="27"/>
    <n v="0.99546000000000001"/>
    <x v="30"/>
    <n v="0.69"/>
    <x v="40"/>
    <x v="1"/>
    <x v="0"/>
    <n v="9.4600000000000009"/>
    <n v="1.663392857142857E-2"/>
  </r>
  <r>
    <n v="8.5"/>
    <n v="0.47"/>
    <n v="0.27"/>
    <n v="1.9"/>
    <n v="5.7999999999999996E-2"/>
    <n v="18"/>
    <n v="38"/>
    <n v="0.99517999999999995"/>
    <x v="3"/>
    <n v="0.85"/>
    <x v="42"/>
    <x v="1"/>
    <x v="0"/>
    <n v="9.24"/>
    <n v="3.5990990990990991E-2"/>
  </r>
  <r>
    <n v="8.3000000000000007"/>
    <n v="0.34"/>
    <n v="0.4"/>
    <n v="2.4"/>
    <n v="6.5000000000000002E-2"/>
    <n v="24"/>
    <n v="48"/>
    <n v="0.99553999999999998"/>
    <x v="16"/>
    <n v="0.86"/>
    <x v="27"/>
    <x v="1"/>
    <x v="0"/>
    <n v="9.0400000000000009"/>
    <n v="2.6581818181818182E-2"/>
  </r>
  <r>
    <n v="9"/>
    <n v="0.38"/>
    <n v="0.41"/>
    <n v="2.4"/>
    <n v="0.10300000000000001"/>
    <n v="6"/>
    <n v="10"/>
    <n v="0.99603999999999993"/>
    <x v="35"/>
    <n v="0.57999999999999996"/>
    <x v="36"/>
    <x v="2"/>
    <x v="1"/>
    <n v="9.7900000000000009"/>
    <n v="1.8521008403361343E-2"/>
  </r>
  <r>
    <n v="8.5"/>
    <n v="0.66"/>
    <n v="0.2"/>
    <n v="2.1"/>
    <n v="9.6999999999999989E-2"/>
    <n v="23"/>
    <n v="113"/>
    <n v="0.99732999999999994"/>
    <x v="35"/>
    <n v="0.48"/>
    <x v="5"/>
    <x v="0"/>
    <x v="0"/>
    <n v="9.36"/>
    <n v="3.443478260869566E-2"/>
  </r>
  <r>
    <n v="9"/>
    <n v="0.4"/>
    <n v="0.43"/>
    <n v="2.4"/>
    <n v="6.8000000000000005E-2"/>
    <n v="29"/>
    <n v="46"/>
    <n v="0.99429999999999996"/>
    <x v="1"/>
    <n v="0.6"/>
    <x v="28"/>
    <x v="1"/>
    <x v="0"/>
    <n v="9.83"/>
    <n v="1.9672131147540985E-2"/>
  </r>
  <r>
    <n v="6.7"/>
    <n v="0.56000000000000005"/>
    <n v="0.09"/>
    <n v="2.9"/>
    <n v="7.9000000000000001E-2"/>
    <n v="7"/>
    <n v="22"/>
    <n v="0.99668999999999996"/>
    <x v="18"/>
    <n v="0.61"/>
    <x v="17"/>
    <x v="0"/>
    <x v="0"/>
    <n v="7.35"/>
    <n v="3.3490196078431379E-2"/>
  </r>
  <r>
    <n v="10.4"/>
    <n v="0.26"/>
    <n v="0.48"/>
    <n v="1.9"/>
    <n v="6.6000000000000003E-2"/>
    <n v="6"/>
    <n v="10"/>
    <n v="0.99724000000000002"/>
    <x v="24"/>
    <n v="0.87"/>
    <x v="18"/>
    <x v="1"/>
    <x v="0"/>
    <n v="11.14"/>
    <n v="2.075229357798165E-2"/>
  </r>
  <r>
    <n v="10.4"/>
    <n v="0.26"/>
    <n v="0.48"/>
    <n v="1.9"/>
    <n v="6.6000000000000003E-2"/>
    <n v="6"/>
    <n v="10"/>
    <n v="0.99724000000000002"/>
    <x v="24"/>
    <n v="0.87"/>
    <x v="18"/>
    <x v="1"/>
    <x v="0"/>
    <n v="11.14"/>
    <n v="2.075229357798165E-2"/>
  </r>
  <r>
    <n v="10.1"/>
    <n v="0.38"/>
    <n v="0.5"/>
    <n v="2.4"/>
    <n v="0.10400000000000001"/>
    <n v="6"/>
    <n v="13"/>
    <n v="0.99642999999999993"/>
    <x v="49"/>
    <n v="0.65"/>
    <x v="41"/>
    <x v="2"/>
    <x v="1"/>
    <n v="10.98"/>
    <n v="2.1293103448275865E-2"/>
  </r>
  <r>
    <n v="8.5"/>
    <n v="0.34"/>
    <n v="0.44"/>
    <n v="1.7"/>
    <n v="7.9000000000000001E-2"/>
    <n v="6"/>
    <n v="12"/>
    <n v="0.99604999999999999"/>
    <x v="14"/>
    <n v="0.63"/>
    <x v="19"/>
    <x v="0"/>
    <x v="0"/>
    <n v="9.2799999999999994"/>
    <n v="2.001869158878505E-2"/>
  </r>
  <r>
    <n v="8.8000000000000007"/>
    <n v="0.33"/>
    <n v="0.41"/>
    <n v="5.9"/>
    <n v="7.2999999999999995E-2"/>
    <n v="7"/>
    <n v="13"/>
    <n v="0.99657999999999991"/>
    <x v="4"/>
    <n v="0.62"/>
    <x v="44"/>
    <x v="2"/>
    <x v="1"/>
    <n v="9.5400000000000009"/>
    <n v="1.6909090909090908E-2"/>
  </r>
  <r>
    <n v="7.2"/>
    <n v="0.41"/>
    <n v="0.3"/>
    <n v="2.1"/>
    <n v="8.3000000000000004E-2"/>
    <n v="35"/>
    <n v="72"/>
    <n v="0.997"/>
    <x v="32"/>
    <n v="0.52"/>
    <x v="0"/>
    <x v="0"/>
    <x v="0"/>
    <n v="7.91"/>
    <n v="2.2680851063829787E-2"/>
  </r>
  <r>
    <n v="7.2"/>
    <n v="0.41"/>
    <n v="0.3"/>
    <n v="2.1"/>
    <n v="8.3000000000000004E-2"/>
    <n v="35"/>
    <n v="72"/>
    <n v="0.997"/>
    <x v="32"/>
    <n v="0.52"/>
    <x v="0"/>
    <x v="0"/>
    <x v="0"/>
    <n v="7.91"/>
    <n v="2.2680851063829787E-2"/>
  </r>
  <r>
    <n v="8.4"/>
    <n v="0.59"/>
    <n v="0.28999999999999998"/>
    <n v="2.6"/>
    <n v="0.109"/>
    <n v="31"/>
    <n v="119"/>
    <n v="0.99801000000000006"/>
    <x v="30"/>
    <n v="0.5"/>
    <x v="7"/>
    <x v="0"/>
    <x v="0"/>
    <n v="9.2799999999999994"/>
    <n v="3.241758241758242E-2"/>
  </r>
  <r>
    <n v="7"/>
    <n v="0.4"/>
    <n v="0.32"/>
    <n v="3.6"/>
    <n v="6.0999999999999999E-2"/>
    <n v="9"/>
    <n v="29"/>
    <n v="0.99416000000000004"/>
    <x v="8"/>
    <n v="0.49"/>
    <x v="33"/>
    <x v="2"/>
    <x v="1"/>
    <n v="7.7200000000000006"/>
    <n v="1.7345132743362832E-2"/>
  </r>
  <r>
    <n v="12.2"/>
    <n v="0.45"/>
    <n v="0.49"/>
    <n v="1.4"/>
    <n v="7.4999999999999997E-2"/>
    <n v="3"/>
    <n v="6"/>
    <n v="0.99690000000000001"/>
    <x v="35"/>
    <n v="0.63"/>
    <x v="21"/>
    <x v="0"/>
    <x v="0"/>
    <n v="13.139999999999999"/>
    <n v="2.7259615384615386E-2"/>
  </r>
  <r>
    <n v="9.1"/>
    <n v="0.5"/>
    <n v="0.3"/>
    <n v="1.9"/>
    <n v="6.5000000000000002E-2"/>
    <n v="8"/>
    <n v="17"/>
    <n v="0.99773999999999996"/>
    <x v="29"/>
    <n v="0.71"/>
    <x v="4"/>
    <x v="1"/>
    <x v="0"/>
    <n v="9.9"/>
    <n v="3.380952380952381E-2"/>
  </r>
  <r>
    <n v="9.5"/>
    <n v="0.86"/>
    <n v="0.26"/>
    <n v="1.9"/>
    <n v="7.9000000000000001E-2"/>
    <n v="13"/>
    <n v="28"/>
    <n v="0.99712000000000012"/>
    <x v="28"/>
    <n v="0.62"/>
    <x v="2"/>
    <x v="0"/>
    <x v="0"/>
    <n v="10.62"/>
    <n v="5.3319999999999999E-2"/>
  </r>
  <r>
    <n v="7.3"/>
    <n v="0.52"/>
    <n v="0.32"/>
    <n v="2.1"/>
    <n v="7.0000000000000007E-2"/>
    <n v="51"/>
    <n v="70"/>
    <n v="0.99417999999999995"/>
    <x v="16"/>
    <n v="0.82"/>
    <x v="20"/>
    <x v="1"/>
    <x v="0"/>
    <n v="8.14"/>
    <n v="3.3054263565891473E-2"/>
  </r>
  <r>
    <n v="9.1"/>
    <n v="0.5"/>
    <n v="0.3"/>
    <n v="1.9"/>
    <n v="6.5000000000000002E-2"/>
    <n v="8"/>
    <n v="17"/>
    <n v="0.99773999999999996"/>
    <x v="29"/>
    <n v="0.71"/>
    <x v="4"/>
    <x v="1"/>
    <x v="0"/>
    <n v="9.9"/>
    <n v="3.380952380952381E-2"/>
  </r>
  <r>
    <n v="12.2"/>
    <n v="0.45"/>
    <n v="0.49"/>
    <n v="1.4"/>
    <n v="7.4999999999999997E-2"/>
    <n v="3"/>
    <n v="6"/>
    <n v="0.99690000000000001"/>
    <x v="35"/>
    <n v="0.63"/>
    <x v="21"/>
    <x v="0"/>
    <x v="0"/>
    <n v="13.139999999999999"/>
    <n v="2.7259615384615386E-2"/>
  </r>
  <r>
    <n v="7.4"/>
    <n v="0.57999999999999996"/>
    <n v="0"/>
    <n v="2"/>
    <n v="6.4000000000000001E-2"/>
    <n v="7"/>
    <n v="11"/>
    <n v="0.99562000000000006"/>
    <x v="19"/>
    <n v="0.57999999999999996"/>
    <x v="33"/>
    <x v="1"/>
    <x v="0"/>
    <n v="7.98"/>
    <n v="2.9769911504424776E-2"/>
  </r>
  <r>
    <n v="9.8000000000000007"/>
    <n v="0.34"/>
    <n v="0.39"/>
    <n v="1.4"/>
    <n v="6.6000000000000003E-2"/>
    <n v="3"/>
    <n v="7"/>
    <n v="0.99470000000000003"/>
    <x v="43"/>
    <n v="0.55000000000000004"/>
    <x v="25"/>
    <x v="2"/>
    <x v="1"/>
    <n v="10.530000000000001"/>
    <n v="1.6403508771929826E-2"/>
  </r>
  <r>
    <n v="7.1"/>
    <n v="0.36"/>
    <n v="0.3"/>
    <n v="1.6"/>
    <n v="0.08"/>
    <n v="35"/>
    <n v="70"/>
    <n v="0.99692999999999987"/>
    <x v="32"/>
    <n v="0.5"/>
    <x v="0"/>
    <x v="0"/>
    <x v="0"/>
    <n v="7.76"/>
    <n v="1.9148936170212766E-2"/>
  </r>
  <r>
    <n v="7.7"/>
    <n v="0.39"/>
    <n v="0.12"/>
    <n v="1.7"/>
    <n v="9.6999999999999989E-2"/>
    <n v="19"/>
    <n v="27"/>
    <n v="0.99596000000000007"/>
    <x v="3"/>
    <n v="0.49"/>
    <x v="0"/>
    <x v="0"/>
    <x v="0"/>
    <n v="8.2099999999999991"/>
    <n v="2.0329787234042551E-2"/>
  </r>
  <r>
    <n v="9.6999999999999993"/>
    <n v="0.29499999999999998"/>
    <n v="0.4"/>
    <n v="1.5"/>
    <n v="7.2999999999999995E-2"/>
    <n v="14"/>
    <n v="21"/>
    <n v="0.99556"/>
    <x v="37"/>
    <n v="0.51"/>
    <x v="18"/>
    <x v="1"/>
    <x v="0"/>
    <n v="10.395"/>
    <n v="1.3802752293577981E-2"/>
  </r>
  <r>
    <n v="7.7"/>
    <n v="0.39"/>
    <n v="0.12"/>
    <n v="1.7"/>
    <n v="9.6999999999999989E-2"/>
    <n v="19"/>
    <n v="27"/>
    <n v="0.99596000000000007"/>
    <x v="3"/>
    <n v="0.49"/>
    <x v="0"/>
    <x v="0"/>
    <x v="0"/>
    <n v="8.2099999999999991"/>
    <n v="2.0329787234042551E-2"/>
  </r>
  <r>
    <n v="7.1"/>
    <n v="0.34"/>
    <n v="0.28000000000000003"/>
    <n v="2"/>
    <n v="8.199999999999999E-2"/>
    <n v="31"/>
    <n v="68"/>
    <n v="0.99693999999999994"/>
    <x v="19"/>
    <n v="0.48"/>
    <x v="0"/>
    <x v="0"/>
    <x v="0"/>
    <n v="7.72"/>
    <n v="1.7361702127659574E-2"/>
  </r>
  <r>
    <n v="6.5"/>
    <n v="0.4"/>
    <n v="0.1"/>
    <n v="2"/>
    <n v="7.5999999999999998E-2"/>
    <n v="30"/>
    <n v="47"/>
    <n v="0.99553999999999998"/>
    <x v="6"/>
    <n v="0.48"/>
    <x v="0"/>
    <x v="1"/>
    <x v="0"/>
    <n v="7"/>
    <n v="2.0425531914893616E-2"/>
  </r>
  <r>
    <n v="7.1"/>
    <n v="0.34"/>
    <n v="0.28000000000000003"/>
    <n v="2"/>
    <n v="8.199999999999999E-2"/>
    <n v="31"/>
    <n v="68"/>
    <n v="0.99693999999999994"/>
    <x v="19"/>
    <n v="0.48"/>
    <x v="0"/>
    <x v="0"/>
    <x v="0"/>
    <n v="7.72"/>
    <n v="1.7361702127659574E-2"/>
  </r>
  <r>
    <n v="10"/>
    <n v="0.35"/>
    <n v="0.45"/>
    <n v="2.5"/>
    <n v="9.1999999999999998E-2"/>
    <n v="20"/>
    <n v="88"/>
    <n v="0.99917999999999996"/>
    <x v="30"/>
    <n v="0.43"/>
    <x v="0"/>
    <x v="0"/>
    <x v="0"/>
    <n v="10.799999999999999"/>
    <n v="1.6010638297872339E-2"/>
  </r>
  <r>
    <n v="7.7"/>
    <n v="0.6"/>
    <n v="0.06"/>
    <n v="2"/>
    <n v="7.9000000000000001E-2"/>
    <n v="19"/>
    <n v="41"/>
    <n v="0.99697000000000002"/>
    <x v="5"/>
    <n v="0.62"/>
    <x v="11"/>
    <x v="1"/>
    <x v="0"/>
    <n v="8.3600000000000012"/>
    <n v="3.683168316831683E-2"/>
  </r>
  <r>
    <n v="5.6"/>
    <n v="0.66"/>
    <n v="0"/>
    <n v="2.2000000000000002"/>
    <n v="8.6999999999999994E-2"/>
    <n v="3"/>
    <n v="11"/>
    <n v="0.99377999999999989"/>
    <x v="84"/>
    <n v="0.63"/>
    <x v="29"/>
    <x v="2"/>
    <x v="1"/>
    <n v="6.26"/>
    <n v="3.2484374999999996E-2"/>
  </r>
  <r>
    <n v="5.6"/>
    <n v="0.66"/>
    <n v="0"/>
    <n v="2.2000000000000002"/>
    <n v="8.6999999999999994E-2"/>
    <n v="3"/>
    <n v="11"/>
    <n v="0.99377999999999989"/>
    <x v="84"/>
    <n v="0.63"/>
    <x v="29"/>
    <x v="2"/>
    <x v="1"/>
    <n v="6.26"/>
    <n v="3.2484374999999996E-2"/>
  </r>
  <r>
    <n v="8.9"/>
    <n v="0.84"/>
    <n v="0.34"/>
    <n v="1.4"/>
    <n v="0.05"/>
    <n v="4"/>
    <n v="10"/>
    <n v="0.99553999999999998"/>
    <x v="54"/>
    <n v="0.48"/>
    <x v="7"/>
    <x v="1"/>
    <x v="0"/>
    <n v="10.08"/>
    <n v="4.4307692307692305E-2"/>
  </r>
  <r>
    <n v="6.4"/>
    <n v="0.69"/>
    <n v="0"/>
    <n v="1.65"/>
    <n v="5.5E-2"/>
    <n v="7"/>
    <n v="12"/>
    <n v="0.99162000000000006"/>
    <x v="17"/>
    <n v="0.53"/>
    <x v="20"/>
    <x v="1"/>
    <x v="0"/>
    <n v="7.09"/>
    <n v="2.8348837209302324E-2"/>
  </r>
  <r>
    <n v="7.5"/>
    <n v="0.43"/>
    <n v="0.3"/>
    <n v="2.2000000000000002"/>
    <n v="6.2E-2"/>
    <n v="6"/>
    <n v="12"/>
    <n v="0.99495"/>
    <x v="32"/>
    <n v="0.72"/>
    <x v="24"/>
    <x v="2"/>
    <x v="1"/>
    <n v="8.23"/>
    <n v="2.6921739130434781E-2"/>
  </r>
  <r>
    <n v="9.9"/>
    <n v="0.35"/>
    <n v="0.38"/>
    <n v="1.5"/>
    <n v="5.7999999999999996E-2"/>
    <n v="31"/>
    <n v="47"/>
    <n v="0.99676000000000009"/>
    <x v="2"/>
    <n v="0.82"/>
    <x v="12"/>
    <x v="2"/>
    <x v="1"/>
    <n v="10.63"/>
    <n v="2.7075471698113206E-2"/>
  </r>
  <r>
    <n v="9.1"/>
    <n v="0.28999999999999998"/>
    <n v="0.33"/>
    <n v="2.0499999999999998"/>
    <n v="6.3E-2"/>
    <n v="13"/>
    <n v="27"/>
    <n v="0.99516000000000004"/>
    <x v="2"/>
    <n v="0.84"/>
    <x v="32"/>
    <x v="2"/>
    <x v="1"/>
    <n v="9.7199999999999989"/>
    <n v="2.082051282051282E-2"/>
  </r>
  <r>
    <n v="6.8"/>
    <n v="0.36"/>
    <n v="0.32"/>
    <n v="1.8"/>
    <n v="6.7000000000000004E-2"/>
    <n v="4"/>
    <n v="8"/>
    <n v="0.99280000000000002"/>
    <x v="6"/>
    <n v="0.55000000000000004"/>
    <x v="29"/>
    <x v="2"/>
    <x v="1"/>
    <n v="7.48"/>
    <n v="1.546875E-2"/>
  </r>
  <r>
    <n v="8.1999999999999993"/>
    <n v="0.43"/>
    <n v="0.28999999999999998"/>
    <n v="1.6"/>
    <n v="8.1000000000000003E-2"/>
    <n v="27"/>
    <n v="45"/>
    <n v="0.99602999999999997"/>
    <x v="28"/>
    <n v="0.54"/>
    <x v="15"/>
    <x v="0"/>
    <x v="0"/>
    <n v="8.9199999999999982"/>
    <n v="2.254368932038835E-2"/>
  </r>
  <r>
    <n v="6.8"/>
    <n v="0.36"/>
    <n v="0.32"/>
    <n v="1.8"/>
    <n v="6.7000000000000004E-2"/>
    <n v="4"/>
    <n v="8"/>
    <n v="0.99280000000000002"/>
    <x v="6"/>
    <n v="0.55000000000000004"/>
    <x v="29"/>
    <x v="2"/>
    <x v="1"/>
    <n v="7.48"/>
    <n v="1.546875E-2"/>
  </r>
  <r>
    <n v="9.1"/>
    <n v="0.28999999999999998"/>
    <n v="0.33"/>
    <n v="2.0499999999999998"/>
    <n v="6.3E-2"/>
    <n v="13"/>
    <n v="27"/>
    <n v="0.99516000000000004"/>
    <x v="2"/>
    <n v="0.84"/>
    <x v="32"/>
    <x v="2"/>
    <x v="1"/>
    <n v="9.7199999999999989"/>
    <n v="2.082051282051282E-2"/>
  </r>
  <r>
    <n v="9.1"/>
    <n v="0.3"/>
    <n v="0.34"/>
    <n v="2"/>
    <n v="6.4000000000000001E-2"/>
    <n v="12"/>
    <n v="25"/>
    <n v="0.99516000000000004"/>
    <x v="2"/>
    <n v="0.84"/>
    <x v="32"/>
    <x v="2"/>
    <x v="1"/>
    <n v="9.74"/>
    <n v="2.1538461538461541E-2"/>
  </r>
  <r>
    <n v="8.9"/>
    <n v="0.35"/>
    <n v="0.4"/>
    <n v="3.6"/>
    <n v="0.11"/>
    <n v="12"/>
    <n v="24"/>
    <n v="0.99548999999999999"/>
    <x v="22"/>
    <n v="0.7"/>
    <x v="35"/>
    <x v="2"/>
    <x v="1"/>
    <n v="9.65"/>
    <n v="2.0416666666666663E-2"/>
  </r>
  <r>
    <n v="9.6"/>
    <n v="0.5"/>
    <n v="0.36"/>
    <n v="2.8"/>
    <n v="0.11599999999999999"/>
    <n v="26"/>
    <n v="55"/>
    <n v="0.99722000000000011"/>
    <x v="64"/>
    <n v="0.68"/>
    <x v="18"/>
    <x v="0"/>
    <x v="0"/>
    <n v="10.459999999999999"/>
    <n v="3.1192660550458717E-2"/>
  </r>
  <r>
    <n v="8.9"/>
    <n v="0.28000000000000003"/>
    <n v="0.45"/>
    <n v="1.7"/>
    <n v="6.7000000000000004E-2"/>
    <n v="7"/>
    <n v="12"/>
    <n v="0.99353999999999998"/>
    <x v="28"/>
    <n v="0.55000000000000004"/>
    <x v="34"/>
    <x v="2"/>
    <x v="1"/>
    <n v="9.629999999999999"/>
    <n v="1.2520325203252034E-2"/>
  </r>
  <r>
    <n v="8.9"/>
    <n v="0.32"/>
    <n v="0.31"/>
    <n v="2"/>
    <n v="8.8000000000000009E-2"/>
    <n v="12"/>
    <n v="19"/>
    <n v="0.99570000000000003"/>
    <x v="10"/>
    <n v="0.55000000000000004"/>
    <x v="21"/>
    <x v="1"/>
    <x v="0"/>
    <n v="9.5300000000000011"/>
    <n v="1.6923076923076923E-2"/>
  </r>
  <r>
    <n v="7.7"/>
    <n v="1.0049999999999999"/>
    <n v="0.15"/>
    <n v="2.1"/>
    <n v="0.10199999999999999"/>
    <n v="11"/>
    <n v="32"/>
    <n v="0.99603999999999993"/>
    <x v="22"/>
    <n v="0.48"/>
    <x v="2"/>
    <x v="0"/>
    <x v="0"/>
    <n v="8.8550000000000004"/>
    <n v="4.8239999999999991E-2"/>
  </r>
  <r>
    <n v="7.5"/>
    <n v="0.71"/>
    <n v="0"/>
    <n v="1.6"/>
    <n v="9.1999999999999998E-2"/>
    <n v="22"/>
    <n v="31"/>
    <n v="0.99634999999999996"/>
    <x v="12"/>
    <n v="0.57999999999999996"/>
    <x v="2"/>
    <x v="1"/>
    <x v="0"/>
    <n v="8.2100000000000009"/>
    <n v="4.1179999999999994E-2"/>
  </r>
  <r>
    <n v="8"/>
    <n v="0.57999999999999996"/>
    <n v="0.16"/>
    <n v="2"/>
    <n v="0.12"/>
    <n v="3"/>
    <n v="7"/>
    <n v="0.99453999999999998"/>
    <x v="49"/>
    <n v="0.57999999999999996"/>
    <x v="40"/>
    <x v="1"/>
    <x v="0"/>
    <n v="8.74"/>
    <n v="3.0035714285714287E-2"/>
  </r>
  <r>
    <n v="10.5"/>
    <n v="0.39"/>
    <n v="0.46"/>
    <n v="2.2000000000000002"/>
    <n v="7.4999999999999997E-2"/>
    <n v="14"/>
    <n v="27"/>
    <n v="0.99597999999999998"/>
    <x v="57"/>
    <n v="0.84"/>
    <x v="25"/>
    <x v="1"/>
    <x v="0"/>
    <n v="11.350000000000001"/>
    <n v="2.8736842105263158E-2"/>
  </r>
  <r>
    <n v="8.9"/>
    <n v="0.38"/>
    <n v="0.4"/>
    <n v="2.2000000000000002"/>
    <n v="6.8000000000000005E-2"/>
    <n v="12"/>
    <n v="28"/>
    <n v="0.99486000000000008"/>
    <x v="63"/>
    <n v="0.75"/>
    <x v="30"/>
    <x v="2"/>
    <x v="1"/>
    <n v="9.6800000000000015"/>
    <n v="2.2619047619047622E-2"/>
  </r>
  <r>
    <n v="8"/>
    <n v="0.18"/>
    <n v="0.37"/>
    <n v="0.9"/>
    <n v="4.9000000000000002E-2"/>
    <n v="36"/>
    <n v="109"/>
    <n v="0.99007000000000012"/>
    <x v="81"/>
    <n v="0.44"/>
    <x v="46"/>
    <x v="1"/>
    <x v="0"/>
    <n v="8.5499999999999989"/>
    <n v="6.2362204724409447E-3"/>
  </r>
  <r>
    <n v="8"/>
    <n v="0.18"/>
    <n v="0.37"/>
    <n v="0.9"/>
    <n v="4.9000000000000002E-2"/>
    <n v="36"/>
    <n v="109"/>
    <n v="0.99007000000000012"/>
    <x v="81"/>
    <n v="0.44"/>
    <x v="46"/>
    <x v="1"/>
    <x v="0"/>
    <n v="8.5499999999999989"/>
    <n v="6.2362204724409447E-3"/>
  </r>
  <r>
    <n v="7"/>
    <n v="0.5"/>
    <n v="0.14000000000000001"/>
    <n v="1.8"/>
    <n v="7.8E-2"/>
    <n v="10"/>
    <n v="23"/>
    <n v="0.99636000000000002"/>
    <x v="46"/>
    <n v="0.61"/>
    <x v="21"/>
    <x v="0"/>
    <x v="0"/>
    <n v="7.64"/>
    <n v="2.9326923076923077E-2"/>
  </r>
  <r>
    <n v="11.3"/>
    <n v="0.36"/>
    <n v="0.66"/>
    <n v="2.4"/>
    <n v="0.12300000000000001"/>
    <n v="3"/>
    <n v="8"/>
    <n v="0.99642000000000008"/>
    <x v="1"/>
    <n v="0.53"/>
    <x v="36"/>
    <x v="1"/>
    <x v="0"/>
    <n v="12.32"/>
    <n v="1.603361344537815E-2"/>
  </r>
  <r>
    <n v="11.3"/>
    <n v="0.36"/>
    <n v="0.66"/>
    <n v="2.4"/>
    <n v="0.12300000000000001"/>
    <n v="3"/>
    <n v="8"/>
    <n v="0.99642000000000008"/>
    <x v="1"/>
    <n v="0.53"/>
    <x v="36"/>
    <x v="1"/>
    <x v="0"/>
    <n v="12.32"/>
    <n v="1.603361344537815E-2"/>
  </r>
  <r>
    <n v="7"/>
    <n v="0.51"/>
    <n v="0.09"/>
    <n v="2.1"/>
    <n v="6.2E-2"/>
    <n v="4"/>
    <n v="9"/>
    <n v="0.99583999999999995"/>
    <x v="7"/>
    <n v="0.54"/>
    <x v="4"/>
    <x v="0"/>
    <x v="0"/>
    <n v="7.6"/>
    <n v="2.6228571428571431E-2"/>
  </r>
  <r>
    <n v="8.1999999999999993"/>
    <n v="0.32"/>
    <n v="0.42"/>
    <n v="2.2999999999999998"/>
    <n v="9.8000000000000004E-2"/>
    <n v="3"/>
    <n v="9"/>
    <n v="0.99506000000000006"/>
    <x v="63"/>
    <n v="0.55000000000000004"/>
    <x v="34"/>
    <x v="1"/>
    <x v="0"/>
    <n v="8.94"/>
    <n v="1.4308943089430894E-2"/>
  </r>
  <r>
    <n v="7.7"/>
    <n v="0.57999999999999996"/>
    <n v="0.01"/>
    <n v="1.8"/>
    <n v="8.8000000000000009E-2"/>
    <n v="12"/>
    <n v="18"/>
    <n v="0.9956799999999999"/>
    <x v="29"/>
    <n v="0.56000000000000005"/>
    <x v="4"/>
    <x v="2"/>
    <x v="1"/>
    <n v="8.2899999999999991"/>
    <n v="3.0933333333333337E-2"/>
  </r>
  <r>
    <n v="8.6"/>
    <n v="0.83"/>
    <n v="0"/>
    <n v="2.8"/>
    <n v="9.5000000000000001E-2"/>
    <n v="17"/>
    <n v="43"/>
    <n v="0.99822000000000011"/>
    <x v="24"/>
    <n v="0.6"/>
    <x v="21"/>
    <x v="1"/>
    <x v="0"/>
    <n v="9.43"/>
    <n v="4.788461538461538E-2"/>
  </r>
  <r>
    <n v="7.9"/>
    <n v="0.31"/>
    <n v="0.32"/>
    <n v="1.9"/>
    <n v="6.6000000000000003E-2"/>
    <n v="14"/>
    <n v="36"/>
    <n v="0.99363999999999997"/>
    <x v="31"/>
    <n v="0.56000000000000005"/>
    <x v="30"/>
    <x v="1"/>
    <x v="0"/>
    <n v="8.5300000000000011"/>
    <n v="1.3777777777777778E-2"/>
  </r>
  <r>
    <n v="6.4"/>
    <n v="0.79500000000000004"/>
    <n v="0"/>
    <n v="2.2000000000000002"/>
    <n v="6.5000000000000002E-2"/>
    <n v="28"/>
    <n v="52"/>
    <n v="0.99377999999999989"/>
    <x v="45"/>
    <n v="0.52"/>
    <x v="41"/>
    <x v="0"/>
    <x v="0"/>
    <n v="7.1950000000000003"/>
    <n v="3.5637931034482762E-2"/>
  </r>
  <r>
    <n v="7.2"/>
    <n v="0.34"/>
    <n v="0.21"/>
    <n v="2.5"/>
    <n v="7.4999999999999997E-2"/>
    <n v="41"/>
    <n v="68"/>
    <n v="0.99586000000000008"/>
    <x v="42"/>
    <n v="0.54"/>
    <x v="11"/>
    <x v="1"/>
    <x v="0"/>
    <n v="7.75"/>
    <n v="1.817821782178218E-2"/>
  </r>
  <r>
    <n v="7.7"/>
    <n v="0.57999999999999996"/>
    <n v="0.01"/>
    <n v="1.8"/>
    <n v="8.8000000000000009E-2"/>
    <n v="12"/>
    <n v="18"/>
    <n v="0.9956799999999999"/>
    <x v="29"/>
    <n v="0.56000000000000005"/>
    <x v="4"/>
    <x v="2"/>
    <x v="1"/>
    <n v="8.2899999999999991"/>
    <n v="3.0933333333333337E-2"/>
  </r>
  <r>
    <n v="7.1"/>
    <n v="0.59"/>
    <n v="0"/>
    <n v="2.1"/>
    <n v="9.0999999999999998E-2"/>
    <n v="9"/>
    <n v="14"/>
    <n v="0.99487999999999988"/>
    <x v="21"/>
    <n v="0.55000000000000004"/>
    <x v="24"/>
    <x v="2"/>
    <x v="1"/>
    <n v="7.6899999999999995"/>
    <n v="2.8217391304347826E-2"/>
  </r>
  <r>
    <n v="7.3"/>
    <n v="0.55000000000000004"/>
    <n v="0.01"/>
    <n v="1.8"/>
    <n v="9.3000000000000013E-2"/>
    <n v="9"/>
    <n v="15"/>
    <n v="0.99513999999999991"/>
    <x v="7"/>
    <n v="0.57999999999999996"/>
    <x v="27"/>
    <x v="2"/>
    <x v="1"/>
    <n v="7.8599999999999994"/>
    <n v="2.9000000000000001E-2"/>
  </r>
  <r>
    <n v="8.1"/>
    <n v="0.82"/>
    <n v="0"/>
    <n v="4.0999999999999996"/>
    <n v="9.5000000000000001E-2"/>
    <n v="5"/>
    <n v="14"/>
    <n v="0.99853999999999998"/>
    <x v="6"/>
    <n v="0.53"/>
    <x v="13"/>
    <x v="0"/>
    <x v="0"/>
    <n v="8.92"/>
    <n v="4.5270833333333337E-2"/>
  </r>
  <r>
    <n v="7.5"/>
    <n v="0.56999999999999995"/>
    <n v="0.08"/>
    <n v="2.6"/>
    <n v="8.900000000000001E-2"/>
    <n v="14"/>
    <n v="27"/>
    <n v="0.99592000000000003"/>
    <x v="4"/>
    <n v="0.59"/>
    <x v="21"/>
    <x v="1"/>
    <x v="0"/>
    <n v="8.15"/>
    <n v="3.2336538461538451E-2"/>
  </r>
  <r>
    <n v="8.9"/>
    <n v="0.745"/>
    <n v="0.18"/>
    <n v="2.5"/>
    <n v="7.6999999999999999E-2"/>
    <n v="15"/>
    <n v="48"/>
    <n v="0.99739"/>
    <x v="1"/>
    <n v="0.47"/>
    <x v="10"/>
    <x v="1"/>
    <x v="0"/>
    <n v="9.8249999999999993"/>
    <n v="3.6097938144329898E-2"/>
  </r>
  <r>
    <n v="10.1"/>
    <n v="0.37"/>
    <n v="0.34"/>
    <n v="2.4"/>
    <n v="8.5000000000000006E-2"/>
    <n v="5"/>
    <n v="17"/>
    <n v="0.99682999999999988"/>
    <x v="10"/>
    <n v="0.65"/>
    <x v="12"/>
    <x v="2"/>
    <x v="1"/>
    <n v="10.809999999999999"/>
    <n v="2.2688679245283019E-2"/>
  </r>
  <r>
    <n v="7.6"/>
    <n v="0.31"/>
    <n v="0.34"/>
    <n v="2.5"/>
    <n v="8.199999999999999E-2"/>
    <n v="26"/>
    <n v="35"/>
    <n v="0.99356"/>
    <x v="49"/>
    <n v="0.59"/>
    <x v="31"/>
    <x v="2"/>
    <x v="1"/>
    <n v="8.25"/>
    <n v="1.4631999999999999E-2"/>
  </r>
  <r>
    <n v="7.3"/>
    <n v="0.91"/>
    <n v="0.1"/>
    <n v="1.8"/>
    <n v="7.400000000000001E-2"/>
    <n v="20"/>
    <n v="56"/>
    <n v="0.99672000000000005"/>
    <x v="7"/>
    <n v="0.56000000000000005"/>
    <x v="5"/>
    <x v="0"/>
    <x v="0"/>
    <n v="8.3099999999999987"/>
    <n v="5.5391304347826097E-2"/>
  </r>
  <r>
    <n v="8.6999999999999993"/>
    <n v="0.41"/>
    <n v="0.41"/>
    <n v="6.2"/>
    <n v="7.8E-2"/>
    <n v="25"/>
    <n v="42"/>
    <n v="0.99529999999999996"/>
    <x v="47"/>
    <n v="0.77"/>
    <x v="30"/>
    <x v="2"/>
    <x v="1"/>
    <n v="9.52"/>
    <n v="2.5055555555555553E-2"/>
  </r>
  <r>
    <n v="8.9"/>
    <n v="0.5"/>
    <n v="0.21"/>
    <n v="2.2000000000000002"/>
    <n v="8.8000000000000009E-2"/>
    <n v="21"/>
    <n v="39"/>
    <n v="0.99692000000000003"/>
    <x v="24"/>
    <n v="0.83"/>
    <x v="42"/>
    <x v="1"/>
    <x v="0"/>
    <n v="9.6100000000000012"/>
    <n v="3.7387387387387387E-2"/>
  </r>
  <r>
    <n v="7.4"/>
    <n v="0.96499999999999997"/>
    <n v="0"/>
    <n v="2.2000000000000002"/>
    <n v="8.8000000000000009E-2"/>
    <n v="16"/>
    <n v="32"/>
    <n v="0.99756"/>
    <x v="9"/>
    <n v="0.67"/>
    <x v="17"/>
    <x v="0"/>
    <x v="0"/>
    <n v="8.3650000000000002"/>
    <n v="6.3387254901960802E-2"/>
  </r>
  <r>
    <n v="6.9"/>
    <n v="0.49"/>
    <n v="0.19"/>
    <n v="1.7"/>
    <n v="7.9000000000000001E-2"/>
    <n v="13"/>
    <n v="26"/>
    <n v="0.99547000000000008"/>
    <x v="12"/>
    <n v="0.64"/>
    <x v="1"/>
    <x v="1"/>
    <x v="0"/>
    <n v="7.580000000000001"/>
    <n v="3.1999999999999994E-2"/>
  </r>
  <r>
    <n v="8.9"/>
    <n v="0.5"/>
    <n v="0.21"/>
    <n v="2.2000000000000002"/>
    <n v="8.8000000000000009E-2"/>
    <n v="21"/>
    <n v="39"/>
    <n v="0.99692000000000003"/>
    <x v="24"/>
    <n v="0.83"/>
    <x v="42"/>
    <x v="1"/>
    <x v="0"/>
    <n v="9.6100000000000012"/>
    <n v="3.7387387387387387E-2"/>
  </r>
  <r>
    <n v="9.5"/>
    <n v="0.39"/>
    <n v="0.41"/>
    <n v="8.9"/>
    <n v="6.9000000000000006E-2"/>
    <n v="18"/>
    <n v="39"/>
    <n v="0.99858999999999998"/>
    <x v="40"/>
    <n v="0.81"/>
    <x v="18"/>
    <x v="2"/>
    <x v="1"/>
    <n v="10.3"/>
    <n v="2.8981651376146788E-2"/>
  </r>
  <r>
    <n v="6.4"/>
    <n v="0.39"/>
    <n v="0.33"/>
    <n v="3.3"/>
    <n v="4.5999999999999999E-2"/>
    <n v="12"/>
    <n v="53"/>
    <n v="0.99293999999999993"/>
    <x v="6"/>
    <n v="0.62"/>
    <x v="28"/>
    <x v="1"/>
    <x v="0"/>
    <n v="7.12"/>
    <n v="1.9819672131147544E-2"/>
  </r>
  <r>
    <n v="6.9"/>
    <n v="0.44"/>
    <n v="0"/>
    <n v="1.4"/>
    <n v="7.0000000000000007E-2"/>
    <n v="32"/>
    <n v="38"/>
    <n v="0.99437999999999993"/>
    <x v="29"/>
    <n v="0.57999999999999996"/>
    <x v="25"/>
    <x v="1"/>
    <x v="0"/>
    <n v="7.3400000000000007"/>
    <n v="2.23859649122807E-2"/>
  </r>
  <r>
    <n v="7.6"/>
    <n v="0.78"/>
    <n v="0"/>
    <n v="1.7"/>
    <n v="7.5999999999999998E-2"/>
    <n v="33"/>
    <n v="45"/>
    <n v="0.99612000000000012"/>
    <x v="33"/>
    <n v="0.62"/>
    <x v="19"/>
    <x v="1"/>
    <x v="0"/>
    <n v="8.379999999999999"/>
    <n v="4.5196261682243E-2"/>
  </r>
  <r>
    <n v="7.1"/>
    <n v="0.43"/>
    <n v="0.17"/>
    <n v="1.8"/>
    <n v="8.199999999999999E-2"/>
    <n v="27"/>
    <n v="51"/>
    <n v="0.99634"/>
    <x v="45"/>
    <n v="0.64"/>
    <x v="21"/>
    <x v="0"/>
    <x v="0"/>
    <n v="7.6999999999999993"/>
    <n v="2.646153846153846E-2"/>
  </r>
  <r>
    <n v="9.3000000000000007"/>
    <n v="0.49"/>
    <n v="0.36"/>
    <n v="1.7"/>
    <n v="8.1000000000000003E-2"/>
    <n v="3"/>
    <n v="14"/>
    <n v="0.99702000000000002"/>
    <x v="63"/>
    <n v="0.78"/>
    <x v="18"/>
    <x v="1"/>
    <x v="0"/>
    <n v="10.15"/>
    <n v="3.5064220183486233E-2"/>
  </r>
  <r>
    <n v="9.3000000000000007"/>
    <n v="0.5"/>
    <n v="0.36"/>
    <n v="1.8"/>
    <n v="8.4000000000000005E-2"/>
    <n v="6"/>
    <n v="17"/>
    <n v="0.99703999999999993"/>
    <x v="63"/>
    <n v="0.77"/>
    <x v="14"/>
    <x v="1"/>
    <x v="0"/>
    <n v="10.16"/>
    <n v="3.5648148148148144E-2"/>
  </r>
  <r>
    <n v="7.1"/>
    <n v="0.43"/>
    <n v="0.17"/>
    <n v="1.8"/>
    <n v="8.199999999999999E-2"/>
    <n v="27"/>
    <n v="51"/>
    <n v="0.99634"/>
    <x v="45"/>
    <n v="0.64"/>
    <x v="21"/>
    <x v="0"/>
    <x v="0"/>
    <n v="7.6999999999999993"/>
    <n v="2.646153846153846E-2"/>
  </r>
  <r>
    <n v="8.5"/>
    <n v="0.46"/>
    <n v="0.59"/>
    <n v="1.4"/>
    <n v="0.41399999999999998"/>
    <n v="16"/>
    <n v="45"/>
    <n v="0.99702000000000002"/>
    <x v="70"/>
    <n v="1.34"/>
    <x v="5"/>
    <x v="0"/>
    <x v="0"/>
    <n v="9.5500000000000007"/>
    <n v="6.7000000000000018E-2"/>
  </r>
  <r>
    <n v="5.6"/>
    <n v="0.60499999999999998"/>
    <n v="0.05"/>
    <n v="2.4"/>
    <n v="7.2999999999999995E-2"/>
    <n v="19"/>
    <n v="25"/>
    <n v="0.99257999999999991"/>
    <x v="69"/>
    <n v="0.55000000000000004"/>
    <x v="20"/>
    <x v="0"/>
    <x v="0"/>
    <n v="6.2549999999999999"/>
    <n v="2.579457364341085E-2"/>
  </r>
  <r>
    <n v="8.3000000000000007"/>
    <n v="0.33"/>
    <n v="0.42"/>
    <n v="2.2999999999999998"/>
    <n v="7.0000000000000007E-2"/>
    <n v="9"/>
    <n v="20"/>
    <n v="0.99426000000000003"/>
    <x v="12"/>
    <n v="0.77"/>
    <x v="46"/>
    <x v="2"/>
    <x v="1"/>
    <n v="9.0500000000000007"/>
    <n v="2.0007874015748033E-2"/>
  </r>
  <r>
    <n v="8.1999999999999993"/>
    <n v="0.64"/>
    <n v="0.27"/>
    <n v="2"/>
    <n v="9.5000000000000001E-2"/>
    <n v="5"/>
    <n v="77"/>
    <n v="0.99747000000000008"/>
    <x v="35"/>
    <n v="0.62"/>
    <x v="7"/>
    <x v="1"/>
    <x v="0"/>
    <n v="9.11"/>
    <n v="4.3604395604395607E-2"/>
  </r>
  <r>
    <n v="8.1999999999999993"/>
    <n v="0.64"/>
    <n v="0.27"/>
    <n v="2"/>
    <n v="9.5000000000000001E-2"/>
    <n v="5"/>
    <n v="77"/>
    <n v="0.99747000000000008"/>
    <x v="35"/>
    <n v="0.62"/>
    <x v="7"/>
    <x v="1"/>
    <x v="0"/>
    <n v="9.11"/>
    <n v="4.3604395604395607E-2"/>
  </r>
  <r>
    <n v="8.9"/>
    <n v="0.48"/>
    <n v="0.53"/>
    <n v="4"/>
    <n v="0.10099999999999999"/>
    <n v="3"/>
    <n v="10"/>
    <n v="0.99586000000000008"/>
    <x v="25"/>
    <n v="0.59"/>
    <x v="44"/>
    <x v="2"/>
    <x v="1"/>
    <n v="9.91"/>
    <n v="2.3404958677685946E-2"/>
  </r>
  <r>
    <n v="7.6"/>
    <n v="0.42"/>
    <n v="0.25"/>
    <n v="3.9"/>
    <n v="0.10400000000000001"/>
    <n v="28"/>
    <n v="90"/>
    <n v="0.99783999999999995"/>
    <x v="30"/>
    <n v="0.56999999999999995"/>
    <x v="7"/>
    <x v="0"/>
    <x v="0"/>
    <n v="8.27"/>
    <n v="2.6307692307692306E-2"/>
  </r>
  <r>
    <n v="9.9"/>
    <n v="0.53"/>
    <n v="0.56999999999999995"/>
    <n v="2.4"/>
    <n v="9.3000000000000013E-2"/>
    <n v="30"/>
    <n v="52"/>
    <n v="0.99709999999999999"/>
    <x v="43"/>
    <n v="0.76"/>
    <x v="41"/>
    <x v="2"/>
    <x v="1"/>
    <n v="11"/>
    <n v="3.4724137931034488E-2"/>
  </r>
  <r>
    <n v="8.9"/>
    <n v="0.48"/>
    <n v="0.53"/>
    <n v="4"/>
    <n v="0.10099999999999999"/>
    <n v="3"/>
    <n v="10"/>
    <n v="0.99586000000000008"/>
    <x v="25"/>
    <n v="0.59"/>
    <x v="44"/>
    <x v="2"/>
    <x v="1"/>
    <n v="9.91"/>
    <n v="2.3404958677685946E-2"/>
  </r>
  <r>
    <n v="11.6"/>
    <n v="0.23"/>
    <n v="0.56999999999999995"/>
    <n v="1.8"/>
    <n v="7.400000000000001E-2"/>
    <n v="3"/>
    <n v="8"/>
    <n v="0.99809999999999999"/>
    <x v="37"/>
    <n v="0.7"/>
    <x v="6"/>
    <x v="1"/>
    <x v="0"/>
    <n v="12.4"/>
    <n v="1.6262626262626263E-2"/>
  </r>
  <r>
    <n v="9.1"/>
    <n v="0.4"/>
    <n v="0.5"/>
    <n v="1.8"/>
    <n v="7.0999999999999994E-2"/>
    <n v="7"/>
    <n v="16"/>
    <n v="0.99462000000000006"/>
    <x v="25"/>
    <n v="0.69"/>
    <x v="31"/>
    <x v="4"/>
    <x v="1"/>
    <n v="10"/>
    <n v="2.2079999999999999E-2"/>
  </r>
  <r>
    <n v="8"/>
    <n v="0.38"/>
    <n v="0.44"/>
    <n v="1.9"/>
    <n v="9.8000000000000004E-2"/>
    <n v="6"/>
    <n v="15"/>
    <n v="0.99560000000000004"/>
    <x v="4"/>
    <n v="0.64"/>
    <x v="25"/>
    <x v="1"/>
    <x v="0"/>
    <n v="8.82"/>
    <n v="2.1333333333333333E-2"/>
  </r>
  <r>
    <n v="10.199999999999999"/>
    <n v="0.28999999999999998"/>
    <n v="0.65"/>
    <n v="2.4"/>
    <n v="7.4999999999999997E-2"/>
    <n v="6"/>
    <n v="17"/>
    <n v="0.99565000000000003"/>
    <x v="49"/>
    <n v="0.63"/>
    <x v="37"/>
    <x v="1"/>
    <x v="0"/>
    <n v="11.139999999999999"/>
    <n v="1.5483050847457627E-2"/>
  </r>
  <r>
    <n v="8.1999999999999993"/>
    <n v="0.74"/>
    <n v="0.09"/>
    <n v="2"/>
    <n v="6.7000000000000004E-2"/>
    <n v="5"/>
    <n v="10"/>
    <n v="0.99417999999999995"/>
    <x v="8"/>
    <n v="0.56999999999999995"/>
    <x v="37"/>
    <x v="1"/>
    <x v="0"/>
    <n v="9.0299999999999994"/>
    <n v="3.5745762711864401E-2"/>
  </r>
  <r>
    <n v="7.7"/>
    <n v="0.61"/>
    <n v="0.18"/>
    <n v="2.4"/>
    <n v="8.3000000000000004E-2"/>
    <n v="6"/>
    <n v="20"/>
    <n v="0.99629999999999996"/>
    <x v="40"/>
    <n v="0.6"/>
    <x v="17"/>
    <x v="1"/>
    <x v="0"/>
    <n v="8.49"/>
    <n v="3.5882352941176469E-2"/>
  </r>
  <r>
    <n v="6.6"/>
    <n v="0.52"/>
    <n v="0.08"/>
    <n v="2.4"/>
    <n v="7.0000000000000007E-2"/>
    <n v="13"/>
    <n v="26"/>
    <n v="0.99357999999999991"/>
    <x v="20"/>
    <n v="0.72"/>
    <x v="31"/>
    <x v="2"/>
    <x v="1"/>
    <n v="7.1999999999999993"/>
    <n v="2.9951999999999999E-2"/>
  </r>
  <r>
    <n v="11.1"/>
    <n v="0.31"/>
    <n v="0.53"/>
    <n v="2.2000000000000002"/>
    <n v="0.06"/>
    <n v="3"/>
    <n v="10"/>
    <n v="0.99572000000000005"/>
    <x v="65"/>
    <n v="0.83"/>
    <x v="18"/>
    <x v="2"/>
    <x v="1"/>
    <n v="11.94"/>
    <n v="2.3605504587155959E-2"/>
  </r>
  <r>
    <n v="11.1"/>
    <n v="0.31"/>
    <n v="0.53"/>
    <n v="2.2000000000000002"/>
    <n v="0.06"/>
    <n v="3"/>
    <n v="10"/>
    <n v="0.99572000000000005"/>
    <x v="65"/>
    <n v="0.83"/>
    <x v="18"/>
    <x v="2"/>
    <x v="1"/>
    <n v="11.94"/>
    <n v="2.3605504587155959E-2"/>
  </r>
  <r>
    <n v="8"/>
    <n v="0.62"/>
    <n v="0.35"/>
    <n v="2.8"/>
    <n v="8.5999999999999993E-2"/>
    <n v="28"/>
    <n v="52"/>
    <n v="0.997"/>
    <x v="33"/>
    <n v="0.62"/>
    <x v="14"/>
    <x v="0"/>
    <x v="0"/>
    <n v="8.9699999999999989"/>
    <n v="3.5592592592592592E-2"/>
  </r>
  <r>
    <n v="9.3000000000000007"/>
    <n v="0.33"/>
    <n v="0.45"/>
    <n v="1.5"/>
    <n v="5.7000000000000002E-2"/>
    <n v="19"/>
    <n v="37"/>
    <n v="0.99497999999999998"/>
    <x v="64"/>
    <n v="0.89"/>
    <x v="42"/>
    <x v="2"/>
    <x v="1"/>
    <n v="10.08"/>
    <n v="2.6459459459459461E-2"/>
  </r>
  <r>
    <n v="7.5"/>
    <n v="0.77"/>
    <n v="0.2"/>
    <n v="8.1"/>
    <n v="9.8000000000000004E-2"/>
    <n v="30"/>
    <n v="92"/>
    <n v="0.99892000000000003"/>
    <x v="1"/>
    <n v="0.57999999999999996"/>
    <x v="5"/>
    <x v="0"/>
    <x v="0"/>
    <n v="8.4699999999999989"/>
    <n v="4.854347826086957E-2"/>
  </r>
  <r>
    <n v="7.2"/>
    <n v="0.35"/>
    <n v="0.26"/>
    <n v="1.8"/>
    <n v="8.3000000000000004E-2"/>
    <n v="33"/>
    <n v="75"/>
    <n v="0.99680000000000002"/>
    <x v="20"/>
    <n v="0.57999999999999996"/>
    <x v="3"/>
    <x v="1"/>
    <x v="0"/>
    <n v="7.81"/>
    <n v="2.1368421052631578E-2"/>
  </r>
  <r>
    <n v="8"/>
    <n v="0.62"/>
    <n v="0.33"/>
    <n v="2.7"/>
    <n v="8.8000000000000009E-2"/>
    <n v="16"/>
    <n v="37"/>
    <n v="0.99719999999999998"/>
    <x v="33"/>
    <n v="0.57999999999999996"/>
    <x v="19"/>
    <x v="1"/>
    <x v="0"/>
    <n v="8.9499999999999993"/>
    <n v="3.3607476635514021E-2"/>
  </r>
  <r>
    <n v="7.5"/>
    <n v="0.77"/>
    <n v="0.2"/>
    <n v="8.1"/>
    <n v="9.8000000000000004E-2"/>
    <n v="30"/>
    <n v="92"/>
    <n v="0.99892000000000003"/>
    <x v="1"/>
    <n v="0.57999999999999996"/>
    <x v="5"/>
    <x v="0"/>
    <x v="0"/>
    <n v="8.4699999999999989"/>
    <n v="4.854347826086957E-2"/>
  </r>
  <r>
    <n v="9.1"/>
    <n v="0.25"/>
    <n v="0.34"/>
    <n v="2"/>
    <n v="7.0999999999999994E-2"/>
    <n v="45"/>
    <n v="67"/>
    <n v="0.99768999999999997"/>
    <x v="32"/>
    <n v="0.86"/>
    <x v="17"/>
    <x v="2"/>
    <x v="1"/>
    <n v="9.69"/>
    <n v="2.1078431372549021E-2"/>
  </r>
  <r>
    <n v="9.9"/>
    <n v="0.32"/>
    <n v="0.56000000000000005"/>
    <n v="2"/>
    <n v="7.2999999999999995E-2"/>
    <n v="3"/>
    <n v="8"/>
    <n v="0.99534"/>
    <x v="30"/>
    <n v="0.73"/>
    <x v="25"/>
    <x v="1"/>
    <x v="0"/>
    <n v="10.780000000000001"/>
    <n v="2.0491228070175439E-2"/>
  </r>
  <r>
    <n v="8.6"/>
    <n v="0.37"/>
    <n v="0.65"/>
    <n v="6.4"/>
    <n v="0.08"/>
    <n v="3"/>
    <n v="8"/>
    <n v="0.99817000000000011"/>
    <x v="63"/>
    <n v="0.57999999999999996"/>
    <x v="27"/>
    <x v="0"/>
    <x v="0"/>
    <n v="9.6199999999999992"/>
    <n v="1.9509090909090906E-2"/>
  </r>
  <r>
    <n v="8.6"/>
    <n v="0.37"/>
    <n v="0.65"/>
    <n v="6.4"/>
    <n v="0.08"/>
    <n v="3"/>
    <n v="8"/>
    <n v="0.99817000000000011"/>
    <x v="63"/>
    <n v="0.57999999999999996"/>
    <x v="27"/>
    <x v="0"/>
    <x v="0"/>
    <n v="9.6199999999999992"/>
    <n v="1.9509090909090906E-2"/>
  </r>
  <r>
    <n v="7.9"/>
    <n v="0.3"/>
    <n v="0.68"/>
    <n v="8.3000000000000007"/>
    <n v="0.05"/>
    <n v="38"/>
    <n v="278"/>
    <n v="0.99316000000000004"/>
    <x v="68"/>
    <n v="0.51"/>
    <x v="34"/>
    <x v="2"/>
    <x v="1"/>
    <n v="8.8800000000000008"/>
    <n v="1.2439024390243901E-2"/>
  </r>
  <r>
    <n v="10.3"/>
    <n v="0.27"/>
    <n v="0.56000000000000005"/>
    <n v="1.4"/>
    <n v="4.7E-2"/>
    <n v="3"/>
    <n v="8"/>
    <n v="0.99470999999999998"/>
    <x v="3"/>
    <n v="0.51"/>
    <x v="37"/>
    <x v="1"/>
    <x v="0"/>
    <n v="11.13"/>
    <n v="1.1669491525423729E-2"/>
  </r>
  <r>
    <n v="7.9"/>
    <n v="0.3"/>
    <n v="0.68"/>
    <n v="8.3000000000000007"/>
    <n v="0.05"/>
    <n v="38"/>
    <n v="289"/>
    <n v="0.99316000000000004"/>
    <x v="68"/>
    <n v="0.51"/>
    <x v="34"/>
    <x v="2"/>
    <x v="1"/>
    <n v="8.8800000000000008"/>
    <n v="1.2439024390243901E-2"/>
  </r>
  <r>
    <n v="7.2"/>
    <n v="0.38"/>
    <n v="0.3"/>
    <n v="1.8"/>
    <n v="7.2999999999999995E-2"/>
    <n v="31"/>
    <n v="70"/>
    <n v="0.99685000000000001"/>
    <x v="21"/>
    <n v="0.59"/>
    <x v="3"/>
    <x v="1"/>
    <x v="0"/>
    <n v="7.88"/>
    <n v="2.3599999999999999E-2"/>
  </r>
  <r>
    <n v="8.6999999999999993"/>
    <n v="0.42"/>
    <n v="0.45"/>
    <n v="2.4"/>
    <n v="7.2000000000000008E-2"/>
    <n v="32"/>
    <n v="59"/>
    <n v="0.99617000000000011"/>
    <x v="24"/>
    <n v="0.77"/>
    <x v="35"/>
    <x v="1"/>
    <x v="0"/>
    <n v="9.5699999999999985"/>
    <n v="2.6950000000000002E-2"/>
  </r>
  <r>
    <n v="7.2"/>
    <n v="0.38"/>
    <n v="0.3"/>
    <n v="1.8"/>
    <n v="7.2999999999999995E-2"/>
    <n v="31"/>
    <n v="70"/>
    <n v="0.99685000000000001"/>
    <x v="21"/>
    <n v="0.59"/>
    <x v="3"/>
    <x v="1"/>
    <x v="0"/>
    <n v="7.88"/>
    <n v="2.3599999999999999E-2"/>
  </r>
  <r>
    <n v="6.8"/>
    <n v="0.48"/>
    <n v="0.08"/>
    <n v="1.8"/>
    <n v="7.400000000000001E-2"/>
    <n v="40"/>
    <n v="64"/>
    <n v="0.99529000000000001"/>
    <x v="54"/>
    <n v="0.49"/>
    <x v="13"/>
    <x v="0"/>
    <x v="0"/>
    <n v="7.3599999999999994"/>
    <n v="2.4500000000000001E-2"/>
  </r>
  <r>
    <n v="8.5"/>
    <n v="0.34"/>
    <n v="0.4"/>
    <n v="4.7"/>
    <n v="5.5E-2"/>
    <n v="3"/>
    <n v="9"/>
    <n v="0.99737999999999993"/>
    <x v="12"/>
    <n v="0.66"/>
    <x v="41"/>
    <x v="2"/>
    <x v="1"/>
    <n v="9.24"/>
    <n v="1.9344827586206897E-2"/>
  </r>
  <r>
    <n v="7.9"/>
    <n v="0.19"/>
    <n v="0.42"/>
    <n v="1.6"/>
    <n v="5.7000000000000002E-2"/>
    <n v="18"/>
    <n v="30"/>
    <n v="0.99400000000000011"/>
    <x v="40"/>
    <n v="0.69"/>
    <x v="40"/>
    <x v="1"/>
    <x v="0"/>
    <n v="8.51"/>
    <n v="1.1705357142857142E-2"/>
  </r>
  <r>
    <n v="11.6"/>
    <n v="0.41"/>
    <n v="0.54"/>
    <n v="1.5"/>
    <n v="9.5000000000000001E-2"/>
    <n v="22"/>
    <n v="41"/>
    <n v="0.99734999999999996"/>
    <x v="65"/>
    <n v="0.76"/>
    <x v="6"/>
    <x v="2"/>
    <x v="1"/>
    <n v="12.55"/>
    <n v="3.1474747474747475E-2"/>
  </r>
  <r>
    <n v="11.6"/>
    <n v="0.41"/>
    <n v="0.54"/>
    <n v="1.5"/>
    <n v="9.5000000000000001E-2"/>
    <n v="22"/>
    <n v="41"/>
    <n v="0.99734999999999996"/>
    <x v="65"/>
    <n v="0.76"/>
    <x v="6"/>
    <x v="2"/>
    <x v="1"/>
    <n v="12.55"/>
    <n v="3.1474747474747475E-2"/>
  </r>
  <r>
    <n v="10"/>
    <n v="0.26"/>
    <n v="0.54"/>
    <n v="1.9"/>
    <n v="8.3000000000000004E-2"/>
    <n v="42"/>
    <n v="74"/>
    <n v="0.99451000000000001"/>
    <x v="74"/>
    <n v="0.63"/>
    <x v="37"/>
    <x v="4"/>
    <x v="1"/>
    <n v="10.8"/>
    <n v="1.3881355932203389E-2"/>
  </r>
  <r>
    <n v="7.9"/>
    <n v="0.34"/>
    <n v="0.42"/>
    <n v="2"/>
    <n v="8.5999999999999993E-2"/>
    <n v="8"/>
    <n v="19"/>
    <n v="0.99546000000000001"/>
    <x v="7"/>
    <n v="0.6"/>
    <x v="25"/>
    <x v="1"/>
    <x v="0"/>
    <n v="8.66"/>
    <n v="1.7894736842105265E-2"/>
  </r>
  <r>
    <n v="7"/>
    <n v="0.54"/>
    <n v="0.09"/>
    <n v="2"/>
    <n v="8.1000000000000003E-2"/>
    <n v="10"/>
    <n v="16"/>
    <n v="0.99478999999999995"/>
    <x v="15"/>
    <n v="0.59"/>
    <x v="24"/>
    <x v="1"/>
    <x v="0"/>
    <n v="7.63"/>
    <n v="2.7704347826086956E-2"/>
  </r>
  <r>
    <n v="9.1999999999999993"/>
    <n v="0.31"/>
    <n v="0.36"/>
    <n v="2.2000000000000002"/>
    <n v="7.9000000000000001E-2"/>
    <n v="11"/>
    <n v="31"/>
    <n v="0.99614999999999998"/>
    <x v="24"/>
    <n v="0.86"/>
    <x v="35"/>
    <x v="2"/>
    <x v="1"/>
    <n v="9.8699999999999992"/>
    <n v="2.2216666666666666E-2"/>
  </r>
  <r>
    <n v="6.6"/>
    <n v="0.72499999999999998"/>
    <n v="0.09"/>
    <n v="5.5"/>
    <n v="0.11699999999999999"/>
    <n v="9"/>
    <n v="17"/>
    <n v="0.99655000000000005"/>
    <x v="7"/>
    <n v="0.49"/>
    <x v="14"/>
    <x v="1"/>
    <x v="0"/>
    <n v="7.4149999999999991"/>
    <n v="3.2893518518518516E-2"/>
  </r>
  <r>
    <n v="9.4"/>
    <n v="0.4"/>
    <n v="0.47"/>
    <n v="2.5"/>
    <n v="8.6999999999999994E-2"/>
    <n v="6"/>
    <n v="20"/>
    <n v="0.99772000000000005"/>
    <x v="30"/>
    <n v="0.5"/>
    <x v="4"/>
    <x v="0"/>
    <x v="0"/>
    <n v="10.270000000000001"/>
    <n v="1.9047619047619049E-2"/>
  </r>
  <r>
    <n v="6.6"/>
    <n v="0.72499999999999998"/>
    <n v="0.09"/>
    <n v="5.5"/>
    <n v="0.11699999999999999"/>
    <n v="9"/>
    <n v="17"/>
    <n v="0.99655000000000005"/>
    <x v="7"/>
    <n v="0.49"/>
    <x v="14"/>
    <x v="1"/>
    <x v="0"/>
    <n v="7.4149999999999991"/>
    <n v="3.2893518518518516E-2"/>
  </r>
  <r>
    <n v="8.6"/>
    <n v="0.52"/>
    <n v="0.38"/>
    <n v="1.5"/>
    <n v="9.6000000000000002E-2"/>
    <n v="5"/>
    <n v="18"/>
    <n v="0.99665999999999999"/>
    <x v="1"/>
    <n v="0.52"/>
    <x v="0"/>
    <x v="0"/>
    <x v="0"/>
    <n v="9.5"/>
    <n v="2.8765957446808512E-2"/>
  </r>
  <r>
    <n v="8"/>
    <n v="0.31"/>
    <n v="0.45"/>
    <n v="2.1"/>
    <n v="0.21600000000000003"/>
    <n v="5"/>
    <n v="16"/>
    <n v="0.99357999999999991"/>
    <x v="30"/>
    <n v="0.81"/>
    <x v="31"/>
    <x v="2"/>
    <x v="1"/>
    <n v="8.76"/>
    <n v="2.0087999999999998E-2"/>
  </r>
  <r>
    <n v="8.6"/>
    <n v="0.52"/>
    <n v="0.38"/>
    <n v="1.5"/>
    <n v="9.6000000000000002E-2"/>
    <n v="5"/>
    <n v="18"/>
    <n v="0.99665999999999999"/>
    <x v="1"/>
    <n v="0.52"/>
    <x v="0"/>
    <x v="0"/>
    <x v="0"/>
    <n v="9.5"/>
    <n v="2.8765957446808512E-2"/>
  </r>
  <r>
    <n v="8.4"/>
    <n v="0.34"/>
    <n v="0.42"/>
    <n v="2.1"/>
    <n v="7.2000000000000008E-2"/>
    <n v="23"/>
    <n v="36"/>
    <n v="0.99392000000000003"/>
    <x v="11"/>
    <n v="0.78"/>
    <x v="26"/>
    <x v="1"/>
    <x v="0"/>
    <n v="9.16"/>
    <n v="2.1387096774193551E-2"/>
  </r>
  <r>
    <n v="7.4"/>
    <n v="0.49"/>
    <n v="0.27"/>
    <n v="2.1"/>
    <n v="7.0999999999999994E-2"/>
    <n v="14"/>
    <n v="25"/>
    <n v="0.99387999999999987"/>
    <x v="7"/>
    <n v="0.63"/>
    <x v="35"/>
    <x v="1"/>
    <x v="0"/>
    <n v="8.16"/>
    <n v="2.5724999999999998E-2"/>
  </r>
  <r>
    <n v="6.1"/>
    <n v="0.48"/>
    <n v="0.09"/>
    <n v="1.7"/>
    <n v="7.8E-2"/>
    <n v="18"/>
    <n v="30"/>
    <n v="0.99402000000000013"/>
    <x v="19"/>
    <n v="0.54"/>
    <x v="40"/>
    <x v="1"/>
    <x v="0"/>
    <n v="6.67"/>
    <n v="2.3142857142857142E-2"/>
  </r>
  <r>
    <n v="7.4"/>
    <n v="0.49"/>
    <n v="0.27"/>
    <n v="2.1"/>
    <n v="7.0999999999999994E-2"/>
    <n v="14"/>
    <n v="25"/>
    <n v="0.99387999999999987"/>
    <x v="7"/>
    <n v="0.63"/>
    <x v="35"/>
    <x v="1"/>
    <x v="0"/>
    <n v="8.16"/>
    <n v="2.5724999999999998E-2"/>
  </r>
  <r>
    <n v="8"/>
    <n v="0.48"/>
    <n v="0.34"/>
    <n v="2.2000000000000002"/>
    <n v="7.2999999999999995E-2"/>
    <n v="16"/>
    <n v="25"/>
    <n v="0.99360000000000004"/>
    <x v="8"/>
    <n v="0.66"/>
    <x v="26"/>
    <x v="1"/>
    <x v="0"/>
    <n v="8.82"/>
    <n v="2.5548387096774195E-2"/>
  </r>
  <r>
    <n v="6.3"/>
    <n v="0.56999999999999995"/>
    <n v="0.28000000000000003"/>
    <n v="2.1"/>
    <n v="4.8000000000000001E-2"/>
    <n v="13"/>
    <n v="49"/>
    <n v="0.99373999999999996"/>
    <x v="31"/>
    <n v="0.6"/>
    <x v="29"/>
    <x v="0"/>
    <x v="0"/>
    <n v="7.15"/>
    <n v="2.6718749999999996E-2"/>
  </r>
  <r>
    <n v="8.1999999999999993"/>
    <n v="0.23"/>
    <n v="0.42"/>
    <n v="1.9"/>
    <n v="6.9000000000000006E-2"/>
    <n v="9"/>
    <n v="17"/>
    <n v="0.99376000000000009"/>
    <x v="25"/>
    <n v="0.54"/>
    <x v="34"/>
    <x v="1"/>
    <x v="0"/>
    <n v="8.85"/>
    <n v="1.0097560975609756E-2"/>
  </r>
  <r>
    <n v="9.1"/>
    <n v="0.3"/>
    <n v="0.41"/>
    <n v="2"/>
    <n v="6.8000000000000005E-2"/>
    <n v="10"/>
    <n v="24"/>
    <n v="0.99522999999999995"/>
    <x v="63"/>
    <n v="0.85"/>
    <x v="32"/>
    <x v="2"/>
    <x v="1"/>
    <n v="9.81"/>
    <n v="2.1794871794871797E-2"/>
  </r>
  <r>
    <n v="8.1"/>
    <n v="0.78"/>
    <n v="0.1"/>
    <n v="3.3"/>
    <n v="0.09"/>
    <n v="4"/>
    <n v="13"/>
    <n v="0.99855000000000005"/>
    <x v="6"/>
    <n v="0.49"/>
    <x v="3"/>
    <x v="0"/>
    <x v="0"/>
    <n v="8.9799999999999986"/>
    <n v="4.0231578947368417E-2"/>
  </r>
  <r>
    <n v="10.8"/>
    <n v="0.47"/>
    <n v="0.43"/>
    <n v="2.1"/>
    <n v="0.17100000000000001"/>
    <n v="27"/>
    <n v="66"/>
    <n v="0.99819999999999998"/>
    <x v="10"/>
    <n v="0.76"/>
    <x v="14"/>
    <x v="1"/>
    <x v="0"/>
    <n v="11.700000000000001"/>
    <n v="3.3074074074074068E-2"/>
  </r>
  <r>
    <n v="8.3000000000000007"/>
    <n v="0.53"/>
    <n v="0"/>
    <n v="1.4"/>
    <n v="7.0000000000000007E-2"/>
    <n v="6"/>
    <n v="14"/>
    <n v="0.99592999999999998"/>
    <x v="28"/>
    <n v="0.64"/>
    <x v="2"/>
    <x v="1"/>
    <x v="0"/>
    <n v="8.83"/>
    <n v="3.3919999999999999E-2"/>
  </r>
  <r>
    <n v="5.4"/>
    <n v="0.42"/>
    <n v="0.27"/>
    <n v="2"/>
    <n v="9.1999999999999998E-2"/>
    <n v="23"/>
    <n v="55"/>
    <n v="0.99470999999999998"/>
    <x v="85"/>
    <n v="0.64"/>
    <x v="34"/>
    <x v="2"/>
    <x v="1"/>
    <n v="6.09"/>
    <n v="2.1853658536585364E-2"/>
  </r>
  <r>
    <n v="7.9"/>
    <n v="0.33"/>
    <n v="0.41"/>
    <n v="1.5"/>
    <n v="5.5999999999999994E-2"/>
    <n v="6"/>
    <n v="35"/>
    <n v="0.99396000000000007"/>
    <x v="40"/>
    <n v="0.71"/>
    <x v="27"/>
    <x v="1"/>
    <x v="0"/>
    <n v="8.64"/>
    <n v="2.1299999999999999E-2"/>
  </r>
  <r>
    <n v="8.9"/>
    <n v="0.24"/>
    <n v="0.39"/>
    <n v="1.6"/>
    <n v="7.400000000000001E-2"/>
    <n v="3"/>
    <n v="10"/>
    <n v="0.99697999999999998"/>
    <x v="54"/>
    <n v="0.59"/>
    <x v="3"/>
    <x v="1"/>
    <x v="0"/>
    <n v="9.5300000000000011"/>
    <n v="1.4905263157894734E-2"/>
  </r>
  <r>
    <n v="5"/>
    <n v="0.4"/>
    <n v="0.5"/>
    <n v="4.3"/>
    <n v="4.5999999999999999E-2"/>
    <n v="29"/>
    <n v="80"/>
    <n v="0.99019999999999997"/>
    <x v="45"/>
    <n v="0.66"/>
    <x v="49"/>
    <x v="1"/>
    <x v="0"/>
    <n v="5.9"/>
    <n v="1.9411764705882354E-2"/>
  </r>
  <r>
    <n v="7"/>
    <n v="0.69"/>
    <n v="7.0000000000000007E-2"/>
    <n v="2.5"/>
    <n v="9.0999999999999998E-2"/>
    <n v="15"/>
    <n v="21"/>
    <n v="0.99572000000000005"/>
    <x v="12"/>
    <n v="0.6"/>
    <x v="33"/>
    <x v="1"/>
    <x v="0"/>
    <n v="7.76"/>
    <n v="3.6637168141592916E-2"/>
  </r>
  <r>
    <n v="7"/>
    <n v="0.69"/>
    <n v="7.0000000000000007E-2"/>
    <n v="2.5"/>
    <n v="9.0999999999999998E-2"/>
    <n v="15"/>
    <n v="21"/>
    <n v="0.99572000000000005"/>
    <x v="12"/>
    <n v="0.6"/>
    <x v="33"/>
    <x v="1"/>
    <x v="0"/>
    <n v="7.76"/>
    <n v="3.6637168141592916E-2"/>
  </r>
  <r>
    <n v="7"/>
    <n v="0.69"/>
    <n v="7.0000000000000007E-2"/>
    <n v="2.5"/>
    <n v="9.0999999999999998E-2"/>
    <n v="15"/>
    <n v="21"/>
    <n v="0.99572000000000005"/>
    <x v="12"/>
    <n v="0.6"/>
    <x v="33"/>
    <x v="1"/>
    <x v="0"/>
    <n v="7.76"/>
    <n v="3.6637168141592916E-2"/>
  </r>
  <r>
    <n v="7.1"/>
    <n v="0.39"/>
    <n v="0.12"/>
    <n v="2.1"/>
    <n v="6.5000000000000002E-2"/>
    <n v="14"/>
    <n v="24"/>
    <n v="0.99252000000000007"/>
    <x v="4"/>
    <n v="0.53"/>
    <x v="39"/>
    <x v="1"/>
    <x v="0"/>
    <n v="7.6099999999999994"/>
    <n v="1.5541353383458648E-2"/>
  </r>
  <r>
    <n v="5.6"/>
    <n v="0.66"/>
    <n v="0"/>
    <n v="2.5"/>
    <n v="6.6000000000000003E-2"/>
    <n v="7"/>
    <n v="15"/>
    <n v="0.99256"/>
    <x v="14"/>
    <n v="0.57999999999999996"/>
    <x v="20"/>
    <x v="0"/>
    <x v="0"/>
    <n v="6.26"/>
    <n v="2.967441860465116E-2"/>
  </r>
  <r>
    <n v="7.9"/>
    <n v="0.54"/>
    <n v="0.34"/>
    <n v="2.5"/>
    <n v="7.5999999999999998E-2"/>
    <n v="8"/>
    <n v="17"/>
    <n v="0.99234999999999995"/>
    <x v="1"/>
    <n v="0.72"/>
    <x v="16"/>
    <x v="4"/>
    <x v="1"/>
    <n v="8.7800000000000011"/>
    <n v="2.9679389312977103E-2"/>
  </r>
  <r>
    <n v="6.6"/>
    <n v="0.5"/>
    <n v="0"/>
    <n v="1.8"/>
    <n v="6.2E-2"/>
    <n v="21"/>
    <n v="28"/>
    <n v="0.99352000000000007"/>
    <x v="32"/>
    <n v="0.55000000000000004"/>
    <x v="34"/>
    <x v="1"/>
    <x v="0"/>
    <n v="7.1"/>
    <n v="2.2357723577235773E-2"/>
  </r>
  <r>
    <n v="6.3"/>
    <n v="0.47"/>
    <n v="0"/>
    <n v="1.4"/>
    <n v="5.5E-2"/>
    <n v="27"/>
    <n v="33"/>
    <n v="0.99219999999999997"/>
    <x v="19"/>
    <n v="0.48"/>
    <x v="34"/>
    <x v="1"/>
    <x v="0"/>
    <n v="6.77"/>
    <n v="1.8341463414634142E-2"/>
  </r>
  <r>
    <n v="10.7"/>
    <n v="0.4"/>
    <n v="0.37"/>
    <n v="1.9"/>
    <n v="8.1000000000000003E-2"/>
    <n v="17"/>
    <n v="29"/>
    <n v="0.99673999999999996"/>
    <x v="54"/>
    <n v="0.65"/>
    <x v="40"/>
    <x v="1"/>
    <x v="0"/>
    <n v="11.469999999999999"/>
    <n v="2.3214285714285715E-2"/>
  </r>
  <r>
    <n v="6.5"/>
    <n v="0.57999999999999996"/>
    <n v="0"/>
    <n v="2.2000000000000002"/>
    <n v="9.6000000000000002E-2"/>
    <n v="3"/>
    <n v="13"/>
    <n v="0.99557000000000007"/>
    <x v="71"/>
    <n v="0.62"/>
    <x v="24"/>
    <x v="3"/>
    <x v="2"/>
    <n v="7.08"/>
    <n v="3.1269565217391306E-2"/>
  </r>
  <r>
    <n v="8.8000000000000007"/>
    <n v="0.24"/>
    <n v="0.35"/>
    <n v="1.7"/>
    <n v="5.5E-2"/>
    <n v="13"/>
    <n v="27"/>
    <n v="0.99393999999999993"/>
    <x v="37"/>
    <n v="0.59"/>
    <x v="33"/>
    <x v="2"/>
    <x v="1"/>
    <n v="9.39"/>
    <n v="1.2530973451327431E-2"/>
  </r>
  <r>
    <n v="5.8"/>
    <n v="0.28999999999999998"/>
    <n v="0.26"/>
    <n v="1.7"/>
    <n v="6.3E-2"/>
    <n v="3"/>
    <n v="11"/>
    <n v="0.99150000000000005"/>
    <x v="5"/>
    <n v="0.54"/>
    <x v="50"/>
    <x v="1"/>
    <x v="0"/>
    <n v="6.35"/>
    <n v="1.1599999999999999E-2"/>
  </r>
  <r>
    <n v="6.3"/>
    <n v="0.76"/>
    <n v="0"/>
    <n v="2.9"/>
    <n v="7.2000000000000008E-2"/>
    <n v="26"/>
    <n v="52"/>
    <n v="0.99378999999999995"/>
    <x v="0"/>
    <n v="0.6"/>
    <x v="24"/>
    <x v="1"/>
    <x v="0"/>
    <n v="7.06"/>
    <n v="3.9652173913043473E-2"/>
  </r>
  <r>
    <n v="10"/>
    <n v="0.43"/>
    <n v="0.33"/>
    <n v="2.7"/>
    <n v="9.5000000000000001E-2"/>
    <n v="28"/>
    <n v="89"/>
    <n v="0.99839999999999995"/>
    <x v="49"/>
    <n v="0.68"/>
    <x v="2"/>
    <x v="0"/>
    <x v="0"/>
    <n v="10.76"/>
    <n v="2.9239999999999999E-2"/>
  </r>
  <r>
    <n v="10.5"/>
    <n v="0.43"/>
    <n v="0.35"/>
    <n v="3.3"/>
    <n v="9.1999999999999998E-2"/>
    <n v="24"/>
    <n v="70"/>
    <n v="0.99797999999999998"/>
    <x v="25"/>
    <n v="0.69"/>
    <x v="4"/>
    <x v="1"/>
    <x v="0"/>
    <n v="11.28"/>
    <n v="2.8257142857142852E-2"/>
  </r>
  <r>
    <n v="9.1"/>
    <n v="0.6"/>
    <n v="0"/>
    <n v="1.9"/>
    <n v="5.7999999999999996E-2"/>
    <n v="5"/>
    <n v="10"/>
    <n v="0.99770000000000003"/>
    <x v="64"/>
    <n v="0.63"/>
    <x v="21"/>
    <x v="1"/>
    <x v="0"/>
    <n v="9.6999999999999993"/>
    <n v="3.6346153846153847E-2"/>
  </r>
  <r>
    <n v="5.9"/>
    <n v="0.19"/>
    <n v="0.21"/>
    <n v="1.7"/>
    <n v="4.4999999999999998E-2"/>
    <n v="57"/>
    <n v="135"/>
    <n v="0.99341000000000002"/>
    <x v="29"/>
    <n v="0.44"/>
    <x v="3"/>
    <x v="0"/>
    <x v="0"/>
    <n v="6.3000000000000007"/>
    <n v="8.8000000000000005E-3"/>
  </r>
  <r>
    <n v="7.4"/>
    <n v="0.36"/>
    <n v="0.34"/>
    <n v="1.8"/>
    <n v="7.4999999999999997E-2"/>
    <n v="18"/>
    <n v="38"/>
    <n v="0.99329999999999996"/>
    <x v="12"/>
    <n v="0.88"/>
    <x v="49"/>
    <x v="2"/>
    <x v="1"/>
    <n v="8.1000000000000014"/>
    <n v="2.3294117647058823E-2"/>
  </r>
  <r>
    <n v="7.2"/>
    <n v="0.48"/>
    <n v="7.0000000000000007E-2"/>
    <n v="5.5"/>
    <n v="8.900000000000001E-2"/>
    <n v="10"/>
    <n v="18"/>
    <n v="0.99683999999999995"/>
    <x v="42"/>
    <n v="0.68"/>
    <x v="40"/>
    <x v="2"/>
    <x v="1"/>
    <n v="7.75"/>
    <n v="2.9142857142857147E-2"/>
  </r>
  <r>
    <n v="8.5"/>
    <n v="0.28000000000000003"/>
    <n v="0.35"/>
    <n v="1.7"/>
    <n v="6.0999999999999999E-2"/>
    <n v="6"/>
    <n v="15"/>
    <n v="0.99524000000000001"/>
    <x v="4"/>
    <n v="0.74"/>
    <x v="37"/>
    <x v="2"/>
    <x v="1"/>
    <n v="9.129999999999999"/>
    <n v="1.7559322033898307E-2"/>
  </r>
  <r>
    <n v="8"/>
    <n v="0.25"/>
    <n v="0.43"/>
    <n v="1.7"/>
    <n v="6.7000000000000004E-2"/>
    <n v="22"/>
    <n v="50"/>
    <n v="0.99460000000000004"/>
    <x v="12"/>
    <n v="0.6"/>
    <x v="36"/>
    <x v="1"/>
    <x v="0"/>
    <n v="8.68"/>
    <n v="1.2605042016806721E-2"/>
  </r>
  <r>
    <n v="10.4"/>
    <n v="0.52"/>
    <n v="0.45"/>
    <n v="2"/>
    <n v="0.08"/>
    <n v="6"/>
    <n v="13"/>
    <n v="0.99773999999999996"/>
    <x v="49"/>
    <n v="0.76"/>
    <x v="25"/>
    <x v="1"/>
    <x v="0"/>
    <n v="11.37"/>
    <n v="3.4666666666666665E-2"/>
  </r>
  <r>
    <n v="10.4"/>
    <n v="0.52"/>
    <n v="0.45"/>
    <n v="2"/>
    <n v="0.08"/>
    <n v="6"/>
    <n v="13"/>
    <n v="0.99773999999999996"/>
    <x v="49"/>
    <n v="0.76"/>
    <x v="25"/>
    <x v="1"/>
    <x v="0"/>
    <n v="11.37"/>
    <n v="3.4666666666666665E-2"/>
  </r>
  <r>
    <n v="7.5"/>
    <n v="0.41"/>
    <n v="0.15"/>
    <n v="3.7"/>
    <n v="0.10400000000000001"/>
    <n v="29"/>
    <n v="94"/>
    <n v="0.99786000000000008"/>
    <x v="37"/>
    <n v="0.57999999999999996"/>
    <x v="7"/>
    <x v="0"/>
    <x v="0"/>
    <n v="8.06"/>
    <n v="2.6131868131868127E-2"/>
  </r>
  <r>
    <n v="8.1999999999999993"/>
    <n v="0.51"/>
    <n v="0.24"/>
    <n v="2"/>
    <n v="7.9000000000000001E-2"/>
    <n v="16"/>
    <n v="86"/>
    <n v="0.99763999999999997"/>
    <x v="16"/>
    <n v="0.64"/>
    <x v="3"/>
    <x v="1"/>
    <x v="0"/>
    <n v="8.9499999999999993"/>
    <n v="3.4357894736842108E-2"/>
  </r>
  <r>
    <n v="7.3"/>
    <n v="0.4"/>
    <n v="0.3"/>
    <n v="1.7"/>
    <n v="0.08"/>
    <n v="33"/>
    <n v="79"/>
    <n v="0.99690000000000001"/>
    <x v="31"/>
    <n v="0.65"/>
    <x v="3"/>
    <x v="1"/>
    <x v="0"/>
    <n v="8"/>
    <n v="2.736842105263158E-2"/>
  </r>
  <r>
    <n v="8.1999999999999993"/>
    <n v="0.38"/>
    <n v="0.32"/>
    <n v="2.5"/>
    <n v="0.08"/>
    <n v="24"/>
    <n v="71"/>
    <n v="0.99624000000000001"/>
    <x v="63"/>
    <n v="0.85"/>
    <x v="27"/>
    <x v="1"/>
    <x v="0"/>
    <n v="8.9"/>
    <n v="2.9363636363636366E-2"/>
  </r>
  <r>
    <n v="6.9"/>
    <n v="0.45"/>
    <n v="0.11"/>
    <n v="2.4"/>
    <n v="4.2999999999999997E-2"/>
    <n v="6"/>
    <n v="12"/>
    <n v="0.99353999999999998"/>
    <x v="4"/>
    <n v="0.65"/>
    <x v="25"/>
    <x v="1"/>
    <x v="0"/>
    <n v="7.4600000000000009"/>
    <n v="2.5657894736842109E-2"/>
  </r>
  <r>
    <n v="7"/>
    <n v="0.22"/>
    <n v="0.3"/>
    <n v="1.8"/>
    <n v="6.5000000000000002E-2"/>
    <n v="16"/>
    <n v="20"/>
    <n v="0.99672000000000005"/>
    <x v="56"/>
    <n v="0.82"/>
    <x v="2"/>
    <x v="1"/>
    <x v="0"/>
    <n v="7.52"/>
    <n v="1.8039999999999997E-2"/>
  </r>
  <r>
    <n v="7.3"/>
    <n v="0.32"/>
    <n v="0.23"/>
    <n v="2.2999999999999998"/>
    <n v="6.6000000000000003E-2"/>
    <n v="35"/>
    <n v="70"/>
    <n v="0.99587999999999988"/>
    <x v="15"/>
    <n v="0.62"/>
    <x v="11"/>
    <x v="0"/>
    <x v="0"/>
    <n v="7.8500000000000005"/>
    <n v="1.9643564356435644E-2"/>
  </r>
  <r>
    <n v="8.1999999999999993"/>
    <n v="0.2"/>
    <n v="0.43"/>
    <n v="2.5"/>
    <n v="7.5999999999999998E-2"/>
    <n v="31"/>
    <n v="51"/>
    <n v="0.99672000000000005"/>
    <x v="46"/>
    <n v="0.81"/>
    <x v="21"/>
    <x v="1"/>
    <x v="0"/>
    <n v="8.8299999999999983"/>
    <n v="1.557692307692308E-2"/>
  </r>
  <r>
    <n v="7.8"/>
    <n v="0.5"/>
    <n v="0.12"/>
    <n v="1.8"/>
    <n v="0.17800000000000002"/>
    <n v="6"/>
    <n v="21"/>
    <n v="0.996"/>
    <x v="8"/>
    <n v="0.87"/>
    <x v="1"/>
    <x v="1"/>
    <x v="0"/>
    <n v="8.42"/>
    <n v="4.4387755102040814E-2"/>
  </r>
  <r>
    <n v="10"/>
    <n v="0.41"/>
    <n v="0.45"/>
    <n v="6.2"/>
    <n v="7.0999999999999994E-2"/>
    <n v="6"/>
    <n v="14"/>
    <n v="0.99702000000000002"/>
    <x v="25"/>
    <n v="0.49"/>
    <x v="37"/>
    <x v="2"/>
    <x v="1"/>
    <n v="10.86"/>
    <n v="1.7025423728813559E-2"/>
  </r>
  <r>
    <n v="7.8"/>
    <n v="0.39"/>
    <n v="0.42"/>
    <n v="2"/>
    <n v="8.5999999999999993E-2"/>
    <n v="9"/>
    <n v="21"/>
    <n v="0.99526000000000003"/>
    <x v="5"/>
    <n v="0.66"/>
    <x v="41"/>
    <x v="1"/>
    <x v="0"/>
    <n v="8.61"/>
    <n v="2.2189655172413794E-2"/>
  </r>
  <r>
    <n v="10"/>
    <n v="0.35"/>
    <n v="0.47"/>
    <n v="2"/>
    <n v="6.0999999999999999E-2"/>
    <n v="6"/>
    <n v="11"/>
    <n v="0.99585000000000001"/>
    <x v="22"/>
    <n v="0.52"/>
    <x v="35"/>
    <x v="1"/>
    <x v="0"/>
    <n v="10.82"/>
    <n v="1.5166666666666667E-2"/>
  </r>
  <r>
    <n v="8.1999999999999993"/>
    <n v="0.33"/>
    <n v="0.32"/>
    <n v="2.8"/>
    <n v="6.7000000000000004E-2"/>
    <n v="4"/>
    <n v="12"/>
    <n v="0.99472999999999989"/>
    <x v="4"/>
    <n v="0.76"/>
    <x v="29"/>
    <x v="2"/>
    <x v="1"/>
    <n v="8.85"/>
    <n v="1.959375E-2"/>
  </r>
  <r>
    <n v="6.1"/>
    <n v="0.57999999999999996"/>
    <n v="0.23"/>
    <n v="2.5"/>
    <n v="4.4000000000000004E-2"/>
    <n v="16"/>
    <n v="70"/>
    <n v="0.99352000000000007"/>
    <x v="18"/>
    <n v="0.65"/>
    <x v="31"/>
    <x v="1"/>
    <x v="0"/>
    <n v="6.91"/>
    <n v="3.0159999999999999E-2"/>
  </r>
  <r>
    <n v="8.3000000000000007"/>
    <n v="0.6"/>
    <n v="0.25"/>
    <n v="2.2000000000000002"/>
    <n v="0.11800000000000001"/>
    <n v="9"/>
    <n v="38"/>
    <n v="0.99616000000000005"/>
    <x v="30"/>
    <n v="0.53"/>
    <x v="1"/>
    <x v="0"/>
    <x v="0"/>
    <n v="9.15"/>
    <n v="3.2448979591836735E-2"/>
  </r>
  <r>
    <n v="9.6"/>
    <n v="0.42"/>
    <n v="0.35"/>
    <n v="2.1"/>
    <n v="8.3000000000000004E-2"/>
    <n v="17"/>
    <n v="38"/>
    <n v="0.99622000000000011"/>
    <x v="22"/>
    <n v="0.66"/>
    <x v="42"/>
    <x v="1"/>
    <x v="0"/>
    <n v="10.37"/>
    <n v="2.4972972972972973E-2"/>
  </r>
  <r>
    <n v="6.6"/>
    <n v="0.57999999999999996"/>
    <n v="0"/>
    <n v="2.2000000000000002"/>
    <n v="0.1"/>
    <n v="50"/>
    <n v="63"/>
    <n v="0.99543999999999999"/>
    <x v="52"/>
    <n v="0.68"/>
    <x v="25"/>
    <x v="1"/>
    <x v="0"/>
    <n v="7.18"/>
    <n v="3.4596491228070174E-2"/>
  </r>
  <r>
    <n v="8.3000000000000007"/>
    <n v="0.6"/>
    <n v="0.25"/>
    <n v="2.2000000000000002"/>
    <n v="0.11800000000000001"/>
    <n v="9"/>
    <n v="38"/>
    <n v="0.99616000000000005"/>
    <x v="30"/>
    <n v="0.53"/>
    <x v="1"/>
    <x v="0"/>
    <x v="0"/>
    <n v="9.15"/>
    <n v="3.2448979591836735E-2"/>
  </r>
  <r>
    <n v="8.5"/>
    <n v="0.18"/>
    <n v="0.51"/>
    <n v="1.75"/>
    <n v="7.0999999999999994E-2"/>
    <n v="45"/>
    <n v="88"/>
    <n v="0.99524000000000001"/>
    <x v="24"/>
    <n v="0.76"/>
    <x v="37"/>
    <x v="2"/>
    <x v="1"/>
    <n v="9.19"/>
    <n v="1.1593220338983051E-2"/>
  </r>
  <r>
    <n v="5.0999999999999996"/>
    <n v="0.51"/>
    <n v="0.18"/>
    <n v="2.1"/>
    <n v="4.2000000000000003E-2"/>
    <n v="16"/>
    <n v="101"/>
    <n v="0.99239999999999995"/>
    <x v="18"/>
    <n v="0.87"/>
    <x v="20"/>
    <x v="2"/>
    <x v="1"/>
    <n v="5.7899999999999991"/>
    <n v="3.4395348837209301E-2"/>
  </r>
  <r>
    <n v="6.7"/>
    <n v="0.41"/>
    <n v="0.43"/>
    <n v="2.8"/>
    <n v="7.5999999999999998E-2"/>
    <n v="22"/>
    <n v="54"/>
    <n v="0.99572000000000005"/>
    <x v="21"/>
    <n v="1.1599999999999999"/>
    <x v="12"/>
    <x v="1"/>
    <x v="0"/>
    <n v="7.54"/>
    <n v="4.4867924528301878E-2"/>
  </r>
  <r>
    <n v="10.199999999999999"/>
    <n v="0.41"/>
    <n v="0.43"/>
    <n v="2.2000000000000002"/>
    <n v="0.11"/>
    <n v="11"/>
    <n v="37"/>
    <n v="0.99727999999999994"/>
    <x v="3"/>
    <n v="0.67"/>
    <x v="14"/>
    <x v="0"/>
    <x v="0"/>
    <n v="11.04"/>
    <n v="2.5435185185185182E-2"/>
  </r>
  <r>
    <n v="10.6"/>
    <n v="0.36"/>
    <n v="0.56999999999999995"/>
    <n v="2.2999999999999998"/>
    <n v="8.6999999999999994E-2"/>
    <n v="6"/>
    <n v="20"/>
    <n v="0.99676000000000009"/>
    <x v="37"/>
    <n v="0.72"/>
    <x v="42"/>
    <x v="2"/>
    <x v="1"/>
    <n v="11.53"/>
    <n v="2.335135135135135E-2"/>
  </r>
  <r>
    <n v="8.8000000000000007"/>
    <n v="0.45"/>
    <n v="0.43"/>
    <n v="1.4"/>
    <n v="7.5999999999999998E-2"/>
    <n v="12"/>
    <n v="21"/>
    <n v="0.99551000000000001"/>
    <x v="25"/>
    <n v="0.75"/>
    <x v="17"/>
    <x v="1"/>
    <x v="0"/>
    <n v="9.68"/>
    <n v="3.3088235294117654E-2"/>
  </r>
  <r>
    <n v="8.5"/>
    <n v="0.32"/>
    <n v="0.42"/>
    <n v="2.2999999999999998"/>
    <n v="7.4999999999999997E-2"/>
    <n v="12"/>
    <n v="19"/>
    <n v="0.99434"/>
    <x v="37"/>
    <n v="0.71"/>
    <x v="37"/>
    <x v="2"/>
    <x v="1"/>
    <n v="9.24"/>
    <n v="1.9254237288135592E-2"/>
  </r>
  <r>
    <n v="9"/>
    <n v="0.78500000000000003"/>
    <n v="0.24"/>
    <n v="1.7"/>
    <n v="7.8E-2"/>
    <n v="10"/>
    <n v="21"/>
    <n v="0.99692000000000003"/>
    <x v="40"/>
    <n v="0.67"/>
    <x v="2"/>
    <x v="0"/>
    <x v="0"/>
    <n v="10.025"/>
    <n v="5.2595000000000003E-2"/>
  </r>
  <r>
    <n v="9"/>
    <n v="0.78500000000000003"/>
    <n v="0.24"/>
    <n v="1.7"/>
    <n v="7.8E-2"/>
    <n v="10"/>
    <n v="21"/>
    <n v="0.99692000000000003"/>
    <x v="40"/>
    <n v="0.67"/>
    <x v="2"/>
    <x v="0"/>
    <x v="0"/>
    <n v="10.025"/>
    <n v="5.2595000000000003E-2"/>
  </r>
  <r>
    <n v="8.5"/>
    <n v="0.44"/>
    <n v="0.5"/>
    <n v="1.9"/>
    <n v="0.36899999999999999"/>
    <n v="15"/>
    <n v="38"/>
    <n v="0.99634"/>
    <x v="68"/>
    <n v="1.1000000000000001"/>
    <x v="0"/>
    <x v="0"/>
    <x v="0"/>
    <n v="9.44"/>
    <n v="5.1489361702127659E-2"/>
  </r>
  <r>
    <n v="9.9"/>
    <n v="0.54"/>
    <n v="0.26"/>
    <n v="2"/>
    <n v="0.111"/>
    <n v="7"/>
    <n v="60"/>
    <n v="0.99708999999999992"/>
    <x v="82"/>
    <n v="0.98"/>
    <x v="17"/>
    <x v="0"/>
    <x v="0"/>
    <n v="10.700000000000001"/>
    <n v="5.1882352941176477E-2"/>
  </r>
  <r>
    <n v="8.1999999999999993"/>
    <n v="0.33"/>
    <n v="0.39"/>
    <n v="2.5"/>
    <n v="7.400000000000001E-2"/>
    <n v="29"/>
    <n v="48"/>
    <n v="0.99527999999999994"/>
    <x v="29"/>
    <n v="0.88"/>
    <x v="26"/>
    <x v="2"/>
    <x v="1"/>
    <n v="8.92"/>
    <n v="2.3419354838709674E-2"/>
  </r>
  <r>
    <n v="6.5"/>
    <n v="0.34"/>
    <n v="0.27"/>
    <n v="2.8"/>
    <n v="6.7000000000000004E-2"/>
    <n v="8"/>
    <n v="44"/>
    <n v="0.99383999999999995"/>
    <x v="25"/>
    <n v="0.56000000000000005"/>
    <x v="35"/>
    <x v="1"/>
    <x v="0"/>
    <n v="7.1099999999999994"/>
    <n v="1.5866666666666671E-2"/>
  </r>
  <r>
    <n v="7.6"/>
    <n v="0.5"/>
    <n v="0.28999999999999998"/>
    <n v="2.2999999999999998"/>
    <n v="8.5999999999999993E-2"/>
    <n v="5"/>
    <n v="14"/>
    <n v="0.99502000000000013"/>
    <x v="29"/>
    <n v="0.62"/>
    <x v="24"/>
    <x v="1"/>
    <x v="0"/>
    <n v="8.3899999999999988"/>
    <n v="2.6956521739130435E-2"/>
  </r>
  <r>
    <n v="9.1999999999999993"/>
    <n v="0.36"/>
    <n v="0.34"/>
    <n v="1.6"/>
    <n v="6.2E-2"/>
    <n v="5"/>
    <n v="12"/>
    <n v="0.99667000000000006"/>
    <x v="1"/>
    <n v="0.67"/>
    <x v="4"/>
    <x v="1"/>
    <x v="0"/>
    <n v="9.8999999999999986"/>
    <n v="2.297142857142857E-2"/>
  </r>
  <r>
    <n v="7.1"/>
    <n v="0.59"/>
    <n v="0"/>
    <n v="2.2000000000000002"/>
    <n v="7.8E-2"/>
    <n v="26"/>
    <n v="44"/>
    <n v="0.9952200000000001"/>
    <x v="21"/>
    <n v="0.68"/>
    <x v="14"/>
    <x v="1"/>
    <x v="0"/>
    <n v="7.6899999999999995"/>
    <n v="3.7148148148148145E-2"/>
  </r>
  <r>
    <n v="9.6999999999999993"/>
    <n v="0.42"/>
    <n v="0.46"/>
    <n v="2.1"/>
    <n v="7.400000000000001E-2"/>
    <n v="5"/>
    <n v="16"/>
    <n v="0.99648999999999999"/>
    <x v="63"/>
    <n v="0.74"/>
    <x v="34"/>
    <x v="1"/>
    <x v="0"/>
    <n v="10.58"/>
    <n v="2.5268292682926824E-2"/>
  </r>
  <r>
    <n v="7.6"/>
    <n v="0.36"/>
    <n v="0.31"/>
    <n v="1.7"/>
    <n v="7.9000000000000001E-2"/>
    <n v="26"/>
    <n v="65"/>
    <n v="0.99716000000000005"/>
    <x v="18"/>
    <n v="0.62"/>
    <x v="3"/>
    <x v="1"/>
    <x v="0"/>
    <n v="8.27"/>
    <n v="2.3494736842105263E-2"/>
  </r>
  <r>
    <n v="7.6"/>
    <n v="0.36"/>
    <n v="0.31"/>
    <n v="1.7"/>
    <n v="7.9000000000000001E-2"/>
    <n v="26"/>
    <n v="65"/>
    <n v="0.99716000000000005"/>
    <x v="18"/>
    <n v="0.62"/>
    <x v="3"/>
    <x v="1"/>
    <x v="0"/>
    <n v="8.27"/>
    <n v="2.3494736842105263E-2"/>
  </r>
  <r>
    <n v="6.5"/>
    <n v="0.61"/>
    <n v="0"/>
    <n v="2.2000000000000002"/>
    <n v="9.5000000000000001E-2"/>
    <n v="48"/>
    <n v="59"/>
    <n v="0.99541000000000002"/>
    <x v="56"/>
    <n v="0.7"/>
    <x v="24"/>
    <x v="1"/>
    <x v="0"/>
    <n v="7.11"/>
    <n v="3.7130434782608697E-2"/>
  </r>
  <r>
    <n v="6.5"/>
    <n v="0.88"/>
    <n v="0.03"/>
    <n v="5.6"/>
    <n v="7.9000000000000001E-2"/>
    <n v="23"/>
    <n v="47"/>
    <n v="0.99572000000000005"/>
    <x v="9"/>
    <n v="0.5"/>
    <x v="40"/>
    <x v="3"/>
    <x v="2"/>
    <n v="7.41"/>
    <n v="3.9285714285714292E-2"/>
  </r>
  <r>
    <n v="7.1"/>
    <n v="0.66"/>
    <n v="0"/>
    <n v="2.4"/>
    <n v="5.2000000000000005E-2"/>
    <n v="6"/>
    <n v="11"/>
    <n v="0.99317999999999995"/>
    <x v="7"/>
    <n v="0.66"/>
    <x v="46"/>
    <x v="2"/>
    <x v="1"/>
    <n v="7.76"/>
    <n v="3.4299212598425201E-2"/>
  </r>
  <r>
    <n v="5.6"/>
    <n v="0.91500000000000004"/>
    <n v="0"/>
    <n v="2.1"/>
    <n v="4.0999999999999995E-2"/>
    <n v="17"/>
    <n v="78"/>
    <n v="0.99346000000000001"/>
    <x v="50"/>
    <n v="0.73"/>
    <x v="25"/>
    <x v="0"/>
    <x v="0"/>
    <n v="6.5149999999999997"/>
    <n v="5.8592105263157897E-2"/>
  </r>
  <r>
    <n v="8.1999999999999993"/>
    <n v="0.35"/>
    <n v="0.33"/>
    <n v="2.4"/>
    <n v="7.5999999999999998E-2"/>
    <n v="11"/>
    <n v="47"/>
    <n v="0.99598999999999993"/>
    <x v="63"/>
    <n v="0.81"/>
    <x v="27"/>
    <x v="1"/>
    <x v="0"/>
    <n v="8.879999999999999"/>
    <n v="2.577272727272727E-2"/>
  </r>
  <r>
    <n v="8.1999999999999993"/>
    <n v="0.35"/>
    <n v="0.33"/>
    <n v="2.4"/>
    <n v="7.5999999999999998E-2"/>
    <n v="11"/>
    <n v="47"/>
    <n v="0.99598999999999993"/>
    <x v="63"/>
    <n v="0.81"/>
    <x v="27"/>
    <x v="1"/>
    <x v="0"/>
    <n v="8.879999999999999"/>
    <n v="2.577272727272727E-2"/>
  </r>
  <r>
    <n v="9.8000000000000007"/>
    <n v="0.39"/>
    <n v="0.43"/>
    <n v="1.65"/>
    <n v="6.8000000000000005E-2"/>
    <n v="5"/>
    <n v="11"/>
    <n v="0.99477999999999989"/>
    <x v="43"/>
    <n v="0.46"/>
    <x v="25"/>
    <x v="0"/>
    <x v="0"/>
    <n v="10.620000000000001"/>
    <n v="1.5736842105263157E-2"/>
  </r>
  <r>
    <n v="10.199999999999999"/>
    <n v="0.4"/>
    <n v="0.4"/>
    <n v="2.5"/>
    <n v="6.8000000000000005E-2"/>
    <n v="41"/>
    <n v="54"/>
    <n v="0.99753999999999998"/>
    <x v="12"/>
    <n v="0.86"/>
    <x v="4"/>
    <x v="1"/>
    <x v="0"/>
    <n v="11"/>
    <n v="3.2761904761904763E-2"/>
  </r>
  <r>
    <n v="6.8"/>
    <n v="0.66"/>
    <n v="7.0000000000000007E-2"/>
    <n v="1.6"/>
    <n v="7.0000000000000007E-2"/>
    <n v="16"/>
    <n v="61"/>
    <n v="0.99572000000000005"/>
    <x v="40"/>
    <n v="0.6"/>
    <x v="8"/>
    <x v="0"/>
    <x v="0"/>
    <n v="7.53"/>
    <n v="4.2580645161290322E-2"/>
  </r>
  <r>
    <n v="6.7"/>
    <n v="0.64"/>
    <n v="0.23"/>
    <n v="2.1"/>
    <n v="0.08"/>
    <n v="11"/>
    <n v="119"/>
    <n v="0.99537999999999993"/>
    <x v="6"/>
    <n v="0.7"/>
    <x v="18"/>
    <x v="0"/>
    <x v="0"/>
    <n v="7.57"/>
    <n v="4.1100917431192652E-2"/>
  </r>
  <r>
    <n v="7"/>
    <n v="0.43"/>
    <n v="0.3"/>
    <n v="2"/>
    <n v="8.5000000000000006E-2"/>
    <n v="6"/>
    <n v="39"/>
    <n v="0.99346000000000001"/>
    <x v="24"/>
    <n v="0.46"/>
    <x v="36"/>
    <x v="1"/>
    <x v="0"/>
    <n v="7.7299999999999995"/>
    <n v="1.6621848739495799E-2"/>
  </r>
  <r>
    <n v="6.6"/>
    <n v="0.8"/>
    <n v="0.03"/>
    <n v="7.8"/>
    <n v="7.9000000000000001E-2"/>
    <n v="6"/>
    <n v="12"/>
    <n v="0.99629999999999996"/>
    <x v="14"/>
    <n v="0.5"/>
    <x v="28"/>
    <x v="0"/>
    <x v="0"/>
    <n v="7.43"/>
    <n v="3.2786885245901641E-2"/>
  </r>
  <r>
    <n v="7"/>
    <n v="0.43"/>
    <n v="0.3"/>
    <n v="2"/>
    <n v="8.5000000000000006E-2"/>
    <n v="6"/>
    <n v="39"/>
    <n v="0.99346000000000001"/>
    <x v="24"/>
    <n v="0.46"/>
    <x v="36"/>
    <x v="1"/>
    <x v="0"/>
    <n v="7.7299999999999995"/>
    <n v="1.6621848739495799E-2"/>
  </r>
  <r>
    <n v="6.7"/>
    <n v="0.64"/>
    <n v="0.23"/>
    <n v="2.1"/>
    <n v="0.08"/>
    <n v="11"/>
    <n v="119"/>
    <n v="0.99537999999999993"/>
    <x v="6"/>
    <n v="0.7"/>
    <x v="18"/>
    <x v="0"/>
    <x v="0"/>
    <n v="7.57"/>
    <n v="4.1100917431192652E-2"/>
  </r>
  <r>
    <n v="8.8000000000000007"/>
    <n v="0.95499999999999996"/>
    <n v="0.05"/>
    <n v="1.8"/>
    <n v="7.4999999999999997E-2"/>
    <n v="5"/>
    <n v="19"/>
    <n v="0.99616000000000005"/>
    <x v="4"/>
    <n v="0.44"/>
    <x v="13"/>
    <x v="3"/>
    <x v="2"/>
    <n v="9.8050000000000015"/>
    <n v="4.3770833333333328E-2"/>
  </r>
  <r>
    <n v="9.1"/>
    <n v="0.4"/>
    <n v="0.56999999999999995"/>
    <n v="4.5999999999999996"/>
    <n v="0.08"/>
    <n v="6"/>
    <n v="20"/>
    <n v="0.99652000000000007"/>
    <x v="8"/>
    <n v="0.56999999999999995"/>
    <x v="31"/>
    <x v="1"/>
    <x v="0"/>
    <n v="10.07"/>
    <n v="1.8239999999999999E-2"/>
  </r>
  <r>
    <n v="6.5"/>
    <n v="0.88500000000000001"/>
    <n v="0"/>
    <n v="2.2999999999999998"/>
    <n v="0.16600000000000001"/>
    <n v="6"/>
    <n v="12"/>
    <n v="0.99551000000000001"/>
    <x v="69"/>
    <n v="0.51"/>
    <x v="14"/>
    <x v="0"/>
    <x v="0"/>
    <n v="7.3849999999999998"/>
    <n v="4.1791666666666664E-2"/>
  </r>
  <r>
    <n v="7.2"/>
    <n v="0.25"/>
    <n v="0.37"/>
    <n v="2.5"/>
    <n v="6.3E-2"/>
    <n v="11"/>
    <n v="41"/>
    <n v="0.99439"/>
    <x v="14"/>
    <n v="0.8"/>
    <x v="26"/>
    <x v="2"/>
    <x v="1"/>
    <n v="7.82"/>
    <n v="1.6129032258064516E-2"/>
  </r>
  <r>
    <n v="6.4"/>
    <n v="0.88500000000000001"/>
    <n v="0"/>
    <n v="2.2999999999999998"/>
    <n v="0.16600000000000001"/>
    <n v="6"/>
    <n v="12"/>
    <n v="0.99551000000000001"/>
    <x v="69"/>
    <n v="0.51"/>
    <x v="14"/>
    <x v="0"/>
    <x v="0"/>
    <n v="7.2850000000000001"/>
    <n v="4.1791666666666664E-2"/>
  </r>
  <r>
    <n v="7"/>
    <n v="0.745"/>
    <n v="0.12"/>
    <n v="1.8"/>
    <n v="0.114"/>
    <n v="15"/>
    <n v="64"/>
    <n v="0.99587999999999988"/>
    <x v="49"/>
    <n v="0.59"/>
    <x v="3"/>
    <x v="1"/>
    <x v="0"/>
    <n v="7.8650000000000002"/>
    <n v="4.6268421052631577E-2"/>
  </r>
  <r>
    <n v="6.2"/>
    <n v="0.43"/>
    <n v="0.22"/>
    <n v="1.8"/>
    <n v="7.8E-2"/>
    <n v="21"/>
    <n v="56"/>
    <n v="0.99632999999999994"/>
    <x v="14"/>
    <n v="0.6"/>
    <x v="3"/>
    <x v="1"/>
    <x v="0"/>
    <n v="6.85"/>
    <n v="2.7157894736842107E-2"/>
  </r>
  <r>
    <n v="7.9"/>
    <n v="0.57999999999999996"/>
    <n v="0.23"/>
    <n v="2.2999999999999998"/>
    <n v="7.5999999999999998E-2"/>
    <n v="23"/>
    <n v="94"/>
    <n v="0.99686000000000008"/>
    <x v="25"/>
    <n v="0.57999999999999996"/>
    <x v="3"/>
    <x v="1"/>
    <x v="0"/>
    <n v="8.7100000000000009"/>
    <n v="3.5410526315789469E-2"/>
  </r>
  <r>
    <n v="7.7"/>
    <n v="0.56999999999999995"/>
    <n v="0.21"/>
    <n v="1.5"/>
    <n v="6.9000000000000006E-2"/>
    <n v="4"/>
    <n v="9"/>
    <n v="0.99457999999999991"/>
    <x v="3"/>
    <n v="0.54"/>
    <x v="1"/>
    <x v="1"/>
    <x v="0"/>
    <n v="8.48"/>
    <n v="3.140816326530612E-2"/>
  </r>
  <r>
    <n v="7.7"/>
    <n v="0.26"/>
    <n v="0.26"/>
    <n v="2"/>
    <n v="5.2000000000000005E-2"/>
    <n v="19"/>
    <n v="77"/>
    <n v="0.99509999999999998"/>
    <x v="30"/>
    <n v="0.79"/>
    <x v="18"/>
    <x v="1"/>
    <x v="0"/>
    <n v="8.2200000000000006"/>
    <n v="1.8844036697247709E-2"/>
  </r>
  <r>
    <n v="7.9"/>
    <n v="0.57999999999999996"/>
    <n v="0.23"/>
    <n v="2.2999999999999998"/>
    <n v="7.5999999999999998E-2"/>
    <n v="23"/>
    <n v="94"/>
    <n v="0.99686000000000008"/>
    <x v="25"/>
    <n v="0.57999999999999996"/>
    <x v="3"/>
    <x v="1"/>
    <x v="0"/>
    <n v="8.7100000000000009"/>
    <n v="3.5410526315789469E-2"/>
  </r>
  <r>
    <n v="7.7"/>
    <n v="0.56999999999999995"/>
    <n v="0.21"/>
    <n v="1.5"/>
    <n v="6.9000000000000006E-2"/>
    <n v="4"/>
    <n v="9"/>
    <n v="0.99457999999999991"/>
    <x v="3"/>
    <n v="0.54"/>
    <x v="1"/>
    <x v="1"/>
    <x v="0"/>
    <n v="8.48"/>
    <n v="3.140816326530612E-2"/>
  </r>
  <r>
    <n v="7.9"/>
    <n v="0.34"/>
    <n v="0.36"/>
    <n v="1.9"/>
    <n v="6.5000000000000002E-2"/>
    <n v="5"/>
    <n v="10"/>
    <n v="0.99419000000000002"/>
    <x v="63"/>
    <n v="0.54"/>
    <x v="40"/>
    <x v="2"/>
    <x v="1"/>
    <n v="8.6"/>
    <n v="1.6392857142857147E-2"/>
  </r>
  <r>
    <n v="8.6"/>
    <n v="0.42"/>
    <n v="0.39"/>
    <n v="1.8"/>
    <n v="6.8000000000000005E-2"/>
    <n v="6"/>
    <n v="12"/>
    <n v="0.99516000000000004"/>
    <x v="7"/>
    <n v="0.69"/>
    <x v="32"/>
    <x v="4"/>
    <x v="1"/>
    <n v="9.41"/>
    <n v="2.4769230769230766E-2"/>
  </r>
  <r>
    <n v="9.9"/>
    <n v="0.74"/>
    <n v="0.19"/>
    <n v="5.8"/>
    <n v="0.111"/>
    <n v="33"/>
    <n v="76"/>
    <n v="0.99877999999999989"/>
    <x v="37"/>
    <n v="0.55000000000000004"/>
    <x v="0"/>
    <x v="0"/>
    <x v="0"/>
    <n v="10.83"/>
    <n v="4.3297872340425536E-2"/>
  </r>
  <r>
    <n v="7.2"/>
    <n v="0.36"/>
    <n v="0.46"/>
    <n v="2.1"/>
    <n v="7.400000000000001E-2"/>
    <n v="24"/>
    <n v="44"/>
    <n v="0.99534"/>
    <x v="20"/>
    <n v="0.85"/>
    <x v="27"/>
    <x v="2"/>
    <x v="1"/>
    <n v="8.0200000000000014"/>
    <n v="2.7818181818181818E-2"/>
  </r>
  <r>
    <n v="7.2"/>
    <n v="0.36"/>
    <n v="0.46"/>
    <n v="2.1"/>
    <n v="7.400000000000001E-2"/>
    <n v="24"/>
    <n v="44"/>
    <n v="0.99534"/>
    <x v="20"/>
    <n v="0.85"/>
    <x v="27"/>
    <x v="2"/>
    <x v="1"/>
    <n v="8.0200000000000014"/>
    <n v="2.7818181818181818E-2"/>
  </r>
  <r>
    <n v="7.2"/>
    <n v="0.36"/>
    <n v="0.46"/>
    <n v="2.1"/>
    <n v="7.400000000000001E-2"/>
    <n v="24"/>
    <n v="44"/>
    <n v="0.99534"/>
    <x v="20"/>
    <n v="0.85"/>
    <x v="27"/>
    <x v="2"/>
    <x v="1"/>
    <n v="8.0200000000000014"/>
    <n v="2.7818181818181818E-2"/>
  </r>
  <r>
    <n v="9.9"/>
    <n v="0.72"/>
    <n v="0.55000000000000004"/>
    <n v="1.7"/>
    <n v="0.13600000000000001"/>
    <n v="24"/>
    <n v="52"/>
    <n v="0.99752000000000007"/>
    <x v="7"/>
    <n v="0.94"/>
    <x v="2"/>
    <x v="0"/>
    <x v="0"/>
    <n v="11.170000000000002"/>
    <n v="6.767999999999999E-2"/>
  </r>
  <r>
    <n v="7.2"/>
    <n v="0.36"/>
    <n v="0.46"/>
    <n v="2.1"/>
    <n v="7.400000000000001E-2"/>
    <n v="24"/>
    <n v="44"/>
    <n v="0.99534"/>
    <x v="20"/>
    <n v="0.85"/>
    <x v="27"/>
    <x v="2"/>
    <x v="1"/>
    <n v="8.0200000000000014"/>
    <n v="2.7818181818181818E-2"/>
  </r>
  <r>
    <n v="6.2"/>
    <n v="0.39"/>
    <n v="0.43"/>
    <n v="2"/>
    <n v="7.0999999999999994E-2"/>
    <n v="14"/>
    <n v="24"/>
    <n v="0.99427999999999994"/>
    <x v="19"/>
    <n v="0.87"/>
    <x v="40"/>
    <x v="2"/>
    <x v="1"/>
    <n v="7.02"/>
    <n v="3.0294642857142857E-2"/>
  </r>
  <r>
    <n v="6.8"/>
    <n v="0.65"/>
    <n v="0.02"/>
    <n v="2.1"/>
    <n v="7.8E-2"/>
    <n v="8"/>
    <n v="15"/>
    <n v="0.99497999999999998"/>
    <x v="7"/>
    <n v="0.62"/>
    <x v="21"/>
    <x v="1"/>
    <x v="0"/>
    <n v="7.47"/>
    <n v="3.875E-2"/>
  </r>
  <r>
    <n v="6.6"/>
    <n v="0.44"/>
    <n v="0.15"/>
    <n v="2.1"/>
    <n v="7.5999999999999998E-2"/>
    <n v="22"/>
    <n v="53"/>
    <n v="0.99570000000000003"/>
    <x v="29"/>
    <n v="0.62"/>
    <x v="8"/>
    <x v="0"/>
    <x v="0"/>
    <n v="7.19"/>
    <n v="2.9333333333333329E-2"/>
  </r>
  <r>
    <n v="6.8"/>
    <n v="0.65"/>
    <n v="0.02"/>
    <n v="2.1"/>
    <n v="7.8E-2"/>
    <n v="8"/>
    <n v="15"/>
    <n v="0.99497999999999998"/>
    <x v="7"/>
    <n v="0.62"/>
    <x v="21"/>
    <x v="1"/>
    <x v="0"/>
    <n v="7.47"/>
    <n v="3.875E-2"/>
  </r>
  <r>
    <n v="9.6"/>
    <n v="0.38"/>
    <n v="0.42"/>
    <n v="1.9"/>
    <n v="7.0999999999999994E-2"/>
    <n v="5"/>
    <n v="13"/>
    <n v="0.99658999999999998"/>
    <x v="30"/>
    <n v="0.75"/>
    <x v="4"/>
    <x v="1"/>
    <x v="0"/>
    <n v="10.4"/>
    <n v="2.7142857142857146E-2"/>
  </r>
  <r>
    <n v="10.199999999999999"/>
    <n v="0.33"/>
    <n v="0.46"/>
    <n v="1.9"/>
    <n v="8.1000000000000003E-2"/>
    <n v="6"/>
    <n v="9"/>
    <n v="0.99627999999999994"/>
    <x v="60"/>
    <n v="0.48"/>
    <x v="21"/>
    <x v="1"/>
    <x v="0"/>
    <n v="10.99"/>
    <n v="1.5230769230769232E-2"/>
  </r>
  <r>
    <n v="8.8000000000000007"/>
    <n v="0.27"/>
    <n v="0.46"/>
    <n v="2.1"/>
    <n v="9.5000000000000001E-2"/>
    <n v="20"/>
    <n v="29"/>
    <n v="0.99487999999999988"/>
    <x v="2"/>
    <n v="0.56000000000000005"/>
    <x v="33"/>
    <x v="1"/>
    <x v="0"/>
    <n v="9.5300000000000011"/>
    <n v="1.338053097345133E-2"/>
  </r>
  <r>
    <n v="7.9"/>
    <n v="0.56999999999999995"/>
    <n v="0.31"/>
    <n v="2"/>
    <n v="7.9000000000000001E-2"/>
    <n v="10"/>
    <n v="79"/>
    <n v="0.99677000000000004"/>
    <x v="40"/>
    <n v="0.69"/>
    <x v="3"/>
    <x v="1"/>
    <x v="0"/>
    <n v="8.7800000000000011"/>
    <n v="4.1399999999999992E-2"/>
  </r>
  <r>
    <n v="8.1999999999999993"/>
    <n v="0.34"/>
    <n v="0.37"/>
    <n v="1.9"/>
    <n v="5.7000000000000002E-2"/>
    <n v="43"/>
    <n v="74"/>
    <n v="0.99407999999999996"/>
    <x v="22"/>
    <n v="0.81"/>
    <x v="35"/>
    <x v="1"/>
    <x v="0"/>
    <n v="8.9099999999999984"/>
    <n v="2.2950000000000002E-2"/>
  </r>
  <r>
    <n v="8.1999999999999993"/>
    <n v="0.4"/>
    <n v="0.31"/>
    <n v="1.9"/>
    <n v="8.199999999999999E-2"/>
    <n v="8"/>
    <n v="24"/>
    <n v="0.996"/>
    <x v="47"/>
    <n v="0.69"/>
    <x v="12"/>
    <x v="1"/>
    <x v="0"/>
    <n v="8.91"/>
    <n v="2.6037735849056602E-2"/>
  </r>
  <r>
    <n v="9"/>
    <n v="0.39"/>
    <n v="0.4"/>
    <n v="1.3"/>
    <n v="4.4000000000000004E-2"/>
    <n v="25"/>
    <n v="50"/>
    <n v="0.99477999999999989"/>
    <x v="1"/>
    <n v="0.83"/>
    <x v="18"/>
    <x v="1"/>
    <x v="0"/>
    <n v="9.7900000000000009"/>
    <n v="2.9697247706422018E-2"/>
  </r>
  <r>
    <n v="10.9"/>
    <n v="0.32"/>
    <n v="0.52"/>
    <n v="1.8"/>
    <n v="0.13200000000000001"/>
    <n v="17"/>
    <n v="44"/>
    <n v="0.99734"/>
    <x v="8"/>
    <n v="0.77"/>
    <x v="24"/>
    <x v="1"/>
    <x v="0"/>
    <n v="11.74"/>
    <n v="2.1426086956521741E-2"/>
  </r>
  <r>
    <n v="10.9"/>
    <n v="0.32"/>
    <n v="0.52"/>
    <n v="1.8"/>
    <n v="0.13200000000000001"/>
    <n v="17"/>
    <n v="44"/>
    <n v="0.99734"/>
    <x v="8"/>
    <n v="0.77"/>
    <x v="24"/>
    <x v="1"/>
    <x v="0"/>
    <n v="11.74"/>
    <n v="2.1426086956521741E-2"/>
  </r>
  <r>
    <n v="8.1"/>
    <n v="0.53"/>
    <n v="0.22"/>
    <n v="2.2000000000000002"/>
    <n v="7.8E-2"/>
    <n v="33"/>
    <n v="89"/>
    <n v="0.99677999999999989"/>
    <x v="2"/>
    <n v="0.46"/>
    <x v="13"/>
    <x v="1"/>
    <x v="0"/>
    <n v="8.85"/>
    <n v="2.5395833333333336E-2"/>
  </r>
  <r>
    <n v="10.5"/>
    <n v="0.36"/>
    <n v="0.47"/>
    <n v="2.2000000000000002"/>
    <n v="7.400000000000001E-2"/>
    <n v="9"/>
    <n v="23"/>
    <n v="0.99637999999999993"/>
    <x v="22"/>
    <n v="0.76"/>
    <x v="35"/>
    <x v="1"/>
    <x v="0"/>
    <n v="11.33"/>
    <n v="2.2800000000000001E-2"/>
  </r>
  <r>
    <n v="12.6"/>
    <n v="0.39"/>
    <n v="0.49"/>
    <n v="2.5"/>
    <n v="0.08"/>
    <n v="8"/>
    <n v="20"/>
    <n v="0.99919999999999998"/>
    <x v="44"/>
    <n v="0.82"/>
    <x v="15"/>
    <x v="1"/>
    <x v="0"/>
    <n v="13.48"/>
    <n v="3.1048543689320383E-2"/>
  </r>
  <r>
    <n v="9.1999999999999993"/>
    <n v="0.46"/>
    <n v="0.23"/>
    <n v="2.6"/>
    <n v="9.0999999999999998E-2"/>
    <n v="18"/>
    <n v="77"/>
    <n v="0.99922000000000011"/>
    <x v="30"/>
    <n v="0.51"/>
    <x v="0"/>
    <x v="0"/>
    <x v="0"/>
    <n v="9.89"/>
    <n v="2.4957446808510638E-2"/>
  </r>
  <r>
    <n v="7.5"/>
    <n v="0.57999999999999996"/>
    <n v="0.03"/>
    <n v="4.0999999999999996"/>
    <n v="0.08"/>
    <n v="27"/>
    <n v="46"/>
    <n v="0.99592000000000003"/>
    <x v="65"/>
    <n v="0.47"/>
    <x v="5"/>
    <x v="0"/>
    <x v="0"/>
    <n v="8.11"/>
    <n v="2.9630434782608694E-2"/>
  </r>
  <r>
    <n v="9"/>
    <n v="0.57999999999999996"/>
    <n v="0.25"/>
    <n v="2"/>
    <n v="0.10400000000000001"/>
    <n v="8"/>
    <n v="21"/>
    <n v="0.99768999999999997"/>
    <x v="63"/>
    <n v="0.72"/>
    <x v="13"/>
    <x v="0"/>
    <x v="0"/>
    <n v="9.83"/>
    <n v="4.3499999999999997E-2"/>
  </r>
  <r>
    <n v="5.0999999999999996"/>
    <n v="0.42"/>
    <n v="0"/>
    <n v="1.8"/>
    <n v="4.4000000000000004E-2"/>
    <n v="18"/>
    <n v="88"/>
    <n v="0.99157000000000006"/>
    <x v="50"/>
    <n v="0.73"/>
    <x v="49"/>
    <x v="2"/>
    <x v="1"/>
    <n v="5.52"/>
    <n v="2.2544117647058822E-2"/>
  </r>
  <r>
    <n v="7.6"/>
    <n v="0.43"/>
    <n v="0.28999999999999998"/>
    <n v="2.1"/>
    <n v="7.4999999999999997E-2"/>
    <n v="19"/>
    <n v="66"/>
    <n v="0.99717999999999996"/>
    <x v="20"/>
    <n v="0.64"/>
    <x v="3"/>
    <x v="0"/>
    <x v="0"/>
    <n v="8.3199999999999985"/>
    <n v="2.8968421052631577E-2"/>
  </r>
  <r>
    <n v="7.7"/>
    <n v="0.18"/>
    <n v="0.34"/>
    <n v="2.7"/>
    <n v="6.6000000000000003E-2"/>
    <n v="15"/>
    <n v="58"/>
    <n v="0.99470000000000003"/>
    <x v="42"/>
    <n v="0.78"/>
    <x v="37"/>
    <x v="1"/>
    <x v="0"/>
    <n v="8.2200000000000006"/>
    <n v="1.1898305084745762E-2"/>
  </r>
  <r>
    <n v="7.8"/>
    <n v="0.81499999999999995"/>
    <n v="0.01"/>
    <n v="2.6"/>
    <n v="7.400000000000001E-2"/>
    <n v="48"/>
    <n v="90"/>
    <n v="0.99621000000000004"/>
    <x v="12"/>
    <n v="0.62"/>
    <x v="14"/>
    <x v="0"/>
    <x v="0"/>
    <n v="8.625"/>
    <n v="4.678703703703703E-2"/>
  </r>
  <r>
    <n v="7.6"/>
    <n v="0.43"/>
    <n v="0.28999999999999998"/>
    <n v="2.1"/>
    <n v="7.4999999999999997E-2"/>
    <n v="19"/>
    <n v="66"/>
    <n v="0.99717999999999996"/>
    <x v="20"/>
    <n v="0.64"/>
    <x v="3"/>
    <x v="0"/>
    <x v="0"/>
    <n v="8.3199999999999985"/>
    <n v="2.8968421052631577E-2"/>
  </r>
  <r>
    <n v="10.199999999999999"/>
    <n v="0.23"/>
    <n v="0.37"/>
    <n v="2.2000000000000002"/>
    <n v="5.7000000000000002E-2"/>
    <n v="14"/>
    <n v="36"/>
    <n v="0.99613999999999991"/>
    <x v="22"/>
    <n v="0.49"/>
    <x v="8"/>
    <x v="3"/>
    <x v="2"/>
    <n v="10.799999999999999"/>
    <n v="1.2118279569892473E-2"/>
  </r>
  <r>
    <n v="7.1"/>
    <n v="0.75"/>
    <n v="0.01"/>
    <n v="2.2000000000000002"/>
    <n v="5.9000000000000004E-2"/>
    <n v="11"/>
    <n v="18"/>
    <n v="0.99242000000000008"/>
    <x v="5"/>
    <n v="0.4"/>
    <x v="29"/>
    <x v="1"/>
    <x v="0"/>
    <n v="7.8599999999999994"/>
    <n v="2.3437500000000003E-2"/>
  </r>
  <r>
    <n v="6"/>
    <n v="0.33"/>
    <n v="0.32"/>
    <n v="12.9"/>
    <n v="5.4000000000000006E-2"/>
    <n v="6"/>
    <n v="113"/>
    <n v="0.99572000000000005"/>
    <x v="4"/>
    <n v="0.56000000000000005"/>
    <x v="24"/>
    <x v="3"/>
    <x v="2"/>
    <n v="6.65"/>
    <n v="1.6069565217391307E-2"/>
  </r>
  <r>
    <n v="7.8"/>
    <n v="0.55000000000000004"/>
    <n v="0"/>
    <n v="1.7"/>
    <n v="7.0000000000000007E-2"/>
    <n v="7"/>
    <n v="17"/>
    <n v="0.99658999999999998"/>
    <x v="2"/>
    <n v="0.64"/>
    <x v="0"/>
    <x v="1"/>
    <x v="0"/>
    <n v="8.35"/>
    <n v="3.7446808510638301E-2"/>
  </r>
  <r>
    <n v="7.1"/>
    <n v="0.75"/>
    <n v="0.01"/>
    <n v="2.2000000000000002"/>
    <n v="5.9000000000000004E-2"/>
    <n v="11"/>
    <n v="18"/>
    <n v="0.99242000000000008"/>
    <x v="5"/>
    <n v="0.4"/>
    <x v="29"/>
    <x v="1"/>
    <x v="0"/>
    <n v="7.8599999999999994"/>
    <n v="2.3437500000000003E-2"/>
  </r>
  <r>
    <n v="8.1"/>
    <n v="0.73"/>
    <n v="0"/>
    <n v="2.5"/>
    <n v="8.1000000000000003E-2"/>
    <n v="12"/>
    <n v="24"/>
    <n v="0.99797999999999998"/>
    <x v="12"/>
    <n v="0.46"/>
    <x v="13"/>
    <x v="3"/>
    <x v="2"/>
    <n v="8.83"/>
    <n v="3.4979166666666665E-2"/>
  </r>
  <r>
    <n v="6.5"/>
    <n v="0.67"/>
    <n v="0"/>
    <n v="4.3"/>
    <n v="5.7000000000000002E-2"/>
    <n v="11"/>
    <n v="20"/>
    <n v="0.99487999999999988"/>
    <x v="19"/>
    <n v="0.56000000000000005"/>
    <x v="37"/>
    <x v="3"/>
    <x v="2"/>
    <n v="7.17"/>
    <n v="3.1796610169491528E-2"/>
  </r>
  <r>
    <n v="7.5"/>
    <n v="0.61"/>
    <n v="0.2"/>
    <n v="1.7"/>
    <n v="7.5999999999999998E-2"/>
    <n v="36"/>
    <n v="60"/>
    <n v="0.99493999999999994"/>
    <x v="60"/>
    <n v="0.4"/>
    <x v="8"/>
    <x v="0"/>
    <x v="0"/>
    <n v="8.3099999999999987"/>
    <n v="2.6236559139784944E-2"/>
  </r>
  <r>
    <n v="9.8000000000000007"/>
    <n v="0.37"/>
    <n v="0.39"/>
    <n v="2.5"/>
    <n v="7.9000000000000001E-2"/>
    <n v="28"/>
    <n v="65"/>
    <n v="0.99729000000000001"/>
    <x v="3"/>
    <n v="0.59"/>
    <x v="1"/>
    <x v="0"/>
    <x v="0"/>
    <n v="10.56"/>
    <n v="2.2275510204081632E-2"/>
  </r>
  <r>
    <n v="9"/>
    <n v="0.4"/>
    <n v="0.41"/>
    <n v="2"/>
    <n v="5.7999999999999996E-2"/>
    <n v="15"/>
    <n v="40"/>
    <n v="0.99413999999999991"/>
    <x v="49"/>
    <n v="0.6"/>
    <x v="28"/>
    <x v="1"/>
    <x v="0"/>
    <n v="9.81"/>
    <n v="1.9672131147540985E-2"/>
  </r>
  <r>
    <n v="8.3000000000000007"/>
    <n v="0.56000000000000005"/>
    <n v="0.22"/>
    <n v="2.4"/>
    <n v="8.199999999999999E-2"/>
    <n v="10"/>
    <n v="86"/>
    <n v="0.99829999999999997"/>
    <x v="42"/>
    <n v="0.62"/>
    <x v="3"/>
    <x v="0"/>
    <x v="0"/>
    <n v="9.0800000000000018"/>
    <n v="3.6547368421052634E-2"/>
  </r>
  <r>
    <n v="5.9"/>
    <n v="0.28999999999999998"/>
    <n v="0.25"/>
    <n v="13.4"/>
    <n v="6.7000000000000004E-2"/>
    <n v="72"/>
    <n v="160"/>
    <n v="0.99721000000000004"/>
    <x v="24"/>
    <n v="0.54"/>
    <x v="15"/>
    <x v="1"/>
    <x v="0"/>
    <n v="6.44"/>
    <n v="1.5203883495145629E-2"/>
  </r>
  <r>
    <n v="7.4"/>
    <n v="0.55000000000000004"/>
    <n v="0.19"/>
    <n v="1.8"/>
    <n v="8.199999999999999E-2"/>
    <n v="15"/>
    <n v="34"/>
    <n v="0.99655000000000005"/>
    <x v="45"/>
    <n v="0.68"/>
    <x v="4"/>
    <x v="0"/>
    <x v="0"/>
    <n v="8.14"/>
    <n v="3.5619047619047627E-2"/>
  </r>
  <r>
    <n v="7.4"/>
    <n v="0.74"/>
    <n v="7.0000000000000007E-2"/>
    <n v="1.7"/>
    <n v="8.5999999999999993E-2"/>
    <n v="15"/>
    <n v="48"/>
    <n v="0.99502000000000013"/>
    <x v="54"/>
    <n v="0.48"/>
    <x v="2"/>
    <x v="0"/>
    <x v="0"/>
    <n v="8.2100000000000009"/>
    <n v="3.5519999999999996E-2"/>
  </r>
  <r>
    <n v="7.4"/>
    <n v="0.55000000000000004"/>
    <n v="0.19"/>
    <n v="1.8"/>
    <n v="8.199999999999999E-2"/>
    <n v="15"/>
    <n v="34"/>
    <n v="0.99655000000000005"/>
    <x v="45"/>
    <n v="0.68"/>
    <x v="4"/>
    <x v="0"/>
    <x v="0"/>
    <n v="8.14"/>
    <n v="3.5619047619047627E-2"/>
  </r>
  <r>
    <n v="6.9"/>
    <n v="0.41"/>
    <n v="0.33"/>
    <n v="2.2000000000000002"/>
    <n v="8.1000000000000003E-2"/>
    <n v="22"/>
    <n v="36"/>
    <n v="0.99490000000000001"/>
    <x v="31"/>
    <n v="0.75"/>
    <x v="42"/>
    <x v="1"/>
    <x v="0"/>
    <n v="7.6400000000000006"/>
    <n v="2.7702702702702704E-2"/>
  </r>
  <r>
    <n v="7.1"/>
    <n v="0.6"/>
    <n v="0.01"/>
    <n v="2.2999999999999998"/>
    <n v="7.9000000000000001E-2"/>
    <n v="24"/>
    <n v="37"/>
    <n v="0.99513999999999991"/>
    <x v="20"/>
    <n v="0.61"/>
    <x v="18"/>
    <x v="1"/>
    <x v="0"/>
    <n v="7.7099999999999991"/>
    <n v="3.3577981651376147E-2"/>
  </r>
  <r>
    <n v="7.1"/>
    <n v="0.6"/>
    <n v="0.01"/>
    <n v="2.2999999999999998"/>
    <n v="7.9000000000000001E-2"/>
    <n v="24"/>
    <n v="37"/>
    <n v="0.99513999999999991"/>
    <x v="20"/>
    <n v="0.61"/>
    <x v="18"/>
    <x v="1"/>
    <x v="0"/>
    <n v="7.7099999999999991"/>
    <n v="3.3577981651376147E-2"/>
  </r>
  <r>
    <n v="7.5"/>
    <n v="0.57999999999999996"/>
    <n v="0.14000000000000001"/>
    <n v="2.2000000000000002"/>
    <n v="7.6999999999999999E-2"/>
    <n v="27"/>
    <n v="60"/>
    <n v="0.99629999999999996"/>
    <x v="8"/>
    <n v="0.59"/>
    <x v="1"/>
    <x v="0"/>
    <x v="0"/>
    <n v="8.2200000000000006"/>
    <n v="3.4918367346938768E-2"/>
  </r>
  <r>
    <n v="7.1"/>
    <n v="0.72"/>
    <n v="0"/>
    <n v="1.8"/>
    <n v="0.12300000000000001"/>
    <n v="6"/>
    <n v="14"/>
    <n v="0.9962700000000001"/>
    <x v="19"/>
    <n v="0.57999999999999996"/>
    <x v="1"/>
    <x v="0"/>
    <x v="0"/>
    <n v="7.8199999999999994"/>
    <n v="4.261224489795918E-2"/>
  </r>
  <r>
    <n v="7.9"/>
    <n v="0.66"/>
    <n v="0"/>
    <n v="1.4"/>
    <n v="9.6000000000000002E-2"/>
    <n v="6"/>
    <n v="13"/>
    <n v="0.99568999999999996"/>
    <x v="15"/>
    <n v="0.57999999999999996"/>
    <x v="3"/>
    <x v="0"/>
    <x v="0"/>
    <n v="8.56"/>
    <n v="4.0294736842105258E-2"/>
  </r>
  <r>
    <n v="7.8"/>
    <n v="0.7"/>
    <n v="0.06"/>
    <n v="1.9"/>
    <n v="7.9000000000000001E-2"/>
    <n v="20"/>
    <n v="35"/>
    <n v="0.99627999999999994"/>
    <x v="20"/>
    <n v="0.69"/>
    <x v="18"/>
    <x v="0"/>
    <x v="0"/>
    <n v="8.56"/>
    <n v="4.4311926605504579E-2"/>
  </r>
  <r>
    <n v="6.1"/>
    <n v="0.64"/>
    <n v="0.02"/>
    <n v="2.4"/>
    <n v="6.9000000000000006E-2"/>
    <n v="26"/>
    <n v="46"/>
    <n v="0.99357999999999991"/>
    <x v="17"/>
    <n v="0.45"/>
    <x v="27"/>
    <x v="0"/>
    <x v="0"/>
    <n v="6.7599999999999989"/>
    <n v="2.6181818181818185E-2"/>
  </r>
  <r>
    <n v="7.5"/>
    <n v="0.59"/>
    <n v="0.22"/>
    <n v="1.8"/>
    <n v="8.199999999999999E-2"/>
    <n v="43"/>
    <n v="60"/>
    <n v="0.99498999999999993"/>
    <x v="60"/>
    <n v="0.42"/>
    <x v="5"/>
    <x v="0"/>
    <x v="0"/>
    <n v="8.31"/>
    <n v="2.693478260869565E-2"/>
  </r>
  <r>
    <n v="7"/>
    <n v="0.57999999999999996"/>
    <n v="0.28000000000000003"/>
    <n v="4.8"/>
    <n v="8.5000000000000006E-2"/>
    <n v="12"/>
    <n v="69"/>
    <n v="0.99632999999999994"/>
    <x v="29"/>
    <n v="0.7"/>
    <x v="27"/>
    <x v="1"/>
    <x v="0"/>
    <n v="7.86"/>
    <n v="3.6909090909090905E-2"/>
  </r>
  <r>
    <n v="6.8"/>
    <n v="0.64"/>
    <n v="0"/>
    <n v="2.7"/>
    <n v="0.12300000000000001"/>
    <n v="15"/>
    <n v="33"/>
    <n v="0.99537999999999993"/>
    <x v="32"/>
    <n v="0.63"/>
    <x v="33"/>
    <x v="1"/>
    <x v="0"/>
    <n v="7.4399999999999995"/>
    <n v="3.5681415929203535E-2"/>
  </r>
  <r>
    <n v="6.8"/>
    <n v="0.64"/>
    <n v="0"/>
    <n v="2.7"/>
    <n v="0.12300000000000001"/>
    <n v="15"/>
    <n v="33"/>
    <n v="0.99537999999999993"/>
    <x v="32"/>
    <n v="0.63"/>
    <x v="33"/>
    <x v="1"/>
    <x v="0"/>
    <n v="7.4399999999999995"/>
    <n v="3.5681415929203535E-2"/>
  </r>
  <r>
    <n v="8.6"/>
    <n v="0.63500000000000001"/>
    <n v="0.68"/>
    <n v="1.8"/>
    <n v="0.40299999999999997"/>
    <n v="19"/>
    <n v="56"/>
    <n v="0.99632000000000009"/>
    <x v="65"/>
    <n v="1.1499999999999999"/>
    <x v="8"/>
    <x v="0"/>
    <x v="0"/>
    <n v="9.9149999999999991"/>
    <n v="7.8521505376344072E-2"/>
  </r>
  <r>
    <n v="6.3"/>
    <n v="1.02"/>
    <n v="0"/>
    <n v="2"/>
    <n v="8.3000000000000004E-2"/>
    <n v="17"/>
    <n v="24"/>
    <n v="0.99437000000000009"/>
    <x v="52"/>
    <n v="0.55000000000000004"/>
    <x v="40"/>
    <x v="3"/>
    <x v="2"/>
    <n v="7.32"/>
    <n v="5.0089285714285725E-2"/>
  </r>
  <r>
    <n v="9.8000000000000007"/>
    <n v="0.45"/>
    <n v="0.38"/>
    <n v="2.5"/>
    <n v="8.1000000000000003E-2"/>
    <n v="34"/>
    <n v="66"/>
    <n v="0.99726000000000004"/>
    <x v="30"/>
    <n v="0.57999999999999996"/>
    <x v="1"/>
    <x v="0"/>
    <x v="0"/>
    <n v="10.63"/>
    <n v="2.663265306122449E-2"/>
  </r>
  <r>
    <n v="8.1999999999999993"/>
    <n v="0.78"/>
    <n v="0"/>
    <n v="2.2000000000000002"/>
    <n v="8.900000000000001E-2"/>
    <n v="13"/>
    <n v="26"/>
    <n v="0.99780000000000002"/>
    <x v="42"/>
    <n v="0.46"/>
    <x v="13"/>
    <x v="3"/>
    <x v="2"/>
    <n v="8.9799999999999986"/>
    <n v="3.7375000000000005E-2"/>
  </r>
  <r>
    <n v="8.5"/>
    <n v="0.37"/>
    <n v="0.32"/>
    <n v="1.8"/>
    <n v="6.6000000000000003E-2"/>
    <n v="26"/>
    <n v="51"/>
    <n v="0.99456"/>
    <x v="12"/>
    <n v="0.72"/>
    <x v="37"/>
    <x v="1"/>
    <x v="0"/>
    <n v="9.19"/>
    <n v="2.2576271186440674E-2"/>
  </r>
  <r>
    <n v="7.2"/>
    <n v="0.56999999999999995"/>
    <n v="0.05"/>
    <n v="2.2999999999999998"/>
    <n v="8.1000000000000003E-2"/>
    <n v="16"/>
    <n v="36"/>
    <n v="0.99563999999999997"/>
    <x v="12"/>
    <n v="0.6"/>
    <x v="15"/>
    <x v="1"/>
    <x v="0"/>
    <n v="7.82"/>
    <n v="3.3203883495145629E-2"/>
  </r>
  <r>
    <n v="7.2"/>
    <n v="0.56999999999999995"/>
    <n v="0.05"/>
    <n v="2.2999999999999998"/>
    <n v="8.1000000000000003E-2"/>
    <n v="16"/>
    <n v="36"/>
    <n v="0.99563999999999997"/>
    <x v="12"/>
    <n v="0.6"/>
    <x v="15"/>
    <x v="1"/>
    <x v="0"/>
    <n v="7.82"/>
    <n v="3.3203883495145629E-2"/>
  </r>
  <r>
    <n v="10.4"/>
    <n v="0.43"/>
    <n v="0.5"/>
    <n v="2.2999999999999998"/>
    <n v="6.8000000000000005E-2"/>
    <n v="13"/>
    <n v="19"/>
    <n v="0.996"/>
    <x v="60"/>
    <n v="0.87"/>
    <x v="25"/>
    <x v="1"/>
    <x v="0"/>
    <n v="11.33"/>
    <n v="3.2815789473684208E-2"/>
  </r>
  <r>
    <n v="6.9"/>
    <n v="0.41"/>
    <n v="0.31"/>
    <n v="2"/>
    <n v="7.9000000000000001E-2"/>
    <n v="21"/>
    <n v="51"/>
    <n v="0.9966799999999999"/>
    <x v="17"/>
    <n v="0.55000000000000004"/>
    <x v="3"/>
    <x v="1"/>
    <x v="0"/>
    <n v="7.62"/>
    <n v="2.3736842105263157E-2"/>
  </r>
  <r>
    <n v="5.5"/>
    <n v="0.49"/>
    <n v="0.03"/>
    <n v="1.8"/>
    <n v="4.4000000000000004E-2"/>
    <n v="28"/>
    <n v="87"/>
    <n v="0.99080000000000001"/>
    <x v="23"/>
    <n v="0.82"/>
    <x v="23"/>
    <x v="4"/>
    <x v="1"/>
    <n v="6.0200000000000005"/>
    <n v="2.87E-2"/>
  </r>
  <r>
    <n v="5"/>
    <n v="0.38"/>
    <n v="0.01"/>
    <n v="1.6"/>
    <n v="4.8000000000000001E-2"/>
    <n v="26"/>
    <n v="60"/>
    <n v="0.99083999999999994"/>
    <x v="86"/>
    <n v="0.75"/>
    <x v="23"/>
    <x v="1"/>
    <x v="0"/>
    <n v="5.39"/>
    <n v="2.0357142857142858E-2"/>
  </r>
  <r>
    <n v="7.3"/>
    <n v="0.44"/>
    <n v="0.2"/>
    <n v="1.6"/>
    <n v="4.9000000000000002E-2"/>
    <n v="24"/>
    <n v="64"/>
    <n v="0.99350000000000005"/>
    <x v="12"/>
    <n v="0.56999999999999995"/>
    <x v="32"/>
    <x v="1"/>
    <x v="0"/>
    <n v="7.94"/>
    <n v="2.1435897435897435E-2"/>
  </r>
  <r>
    <n v="5.9"/>
    <n v="0.46"/>
    <n v="0"/>
    <n v="1.9"/>
    <n v="7.6999999999999999E-2"/>
    <n v="25"/>
    <n v="44"/>
    <n v="0.99385000000000001"/>
    <x v="23"/>
    <n v="0.53"/>
    <x v="40"/>
    <x v="0"/>
    <x v="0"/>
    <n v="6.36"/>
    <n v="2.1767857142857144E-2"/>
  </r>
  <r>
    <n v="7.5"/>
    <n v="0.57999999999999996"/>
    <n v="0.2"/>
    <n v="2"/>
    <n v="7.2999999999999995E-2"/>
    <n v="34"/>
    <n v="44"/>
    <n v="0.99493999999999994"/>
    <x v="60"/>
    <n v="0.43"/>
    <x v="8"/>
    <x v="0"/>
    <x v="0"/>
    <n v="8.2799999999999994"/>
    <n v="2.6817204301075266E-2"/>
  </r>
  <r>
    <n v="7.8"/>
    <n v="0.57999999999999996"/>
    <n v="0.13"/>
    <n v="2.1"/>
    <n v="0.10199999999999999"/>
    <n v="17"/>
    <n v="36"/>
    <n v="0.99439999999999995"/>
    <x v="47"/>
    <n v="0.53"/>
    <x v="40"/>
    <x v="1"/>
    <x v="0"/>
    <n v="8.51"/>
    <n v="2.7446428571428573E-2"/>
  </r>
  <r>
    <n v="8"/>
    <n v="0.71499999999999997"/>
    <n v="0.22"/>
    <n v="2.2999999999999998"/>
    <n v="7.4999999999999997E-2"/>
    <n v="13"/>
    <n v="81"/>
    <n v="0.99687999999999988"/>
    <x v="47"/>
    <n v="0.54"/>
    <x v="3"/>
    <x v="1"/>
    <x v="0"/>
    <n v="8.9350000000000005"/>
    <n v="4.0642105263157896E-2"/>
  </r>
  <r>
    <n v="8.5"/>
    <n v="0.4"/>
    <n v="0.4"/>
    <n v="6.3"/>
    <n v="0.05"/>
    <n v="3"/>
    <n v="10"/>
    <n v="0.99565999999999999"/>
    <x v="8"/>
    <n v="0.56000000000000005"/>
    <x v="35"/>
    <x v="3"/>
    <x v="2"/>
    <n v="9.3000000000000007"/>
    <n v="1.8666666666666668E-2"/>
  </r>
  <r>
    <n v="7"/>
    <n v="0.69"/>
    <n v="0"/>
    <n v="1.9"/>
    <n v="0.114"/>
    <n v="3"/>
    <n v="10"/>
    <n v="0.99636000000000002"/>
    <x v="7"/>
    <n v="0.6"/>
    <x v="10"/>
    <x v="1"/>
    <x v="0"/>
    <n v="7.6899999999999995"/>
    <n v="4.268041237113402E-2"/>
  </r>
  <r>
    <n v="8"/>
    <n v="0.71499999999999997"/>
    <n v="0.22"/>
    <n v="2.2999999999999998"/>
    <n v="7.4999999999999997E-2"/>
    <n v="13"/>
    <n v="81"/>
    <n v="0.99687999999999988"/>
    <x v="47"/>
    <n v="0.54"/>
    <x v="3"/>
    <x v="1"/>
    <x v="0"/>
    <n v="8.9350000000000005"/>
    <n v="4.0642105263157896E-2"/>
  </r>
  <r>
    <n v="9.8000000000000007"/>
    <n v="0.3"/>
    <n v="0.39"/>
    <n v="1.7"/>
    <n v="6.2E-2"/>
    <n v="3"/>
    <n v="9"/>
    <n v="0.99480000000000002"/>
    <x v="37"/>
    <n v="0.56999999999999995"/>
    <x v="24"/>
    <x v="2"/>
    <x v="1"/>
    <n v="10.490000000000002"/>
    <n v="1.4869565217391302E-2"/>
  </r>
  <r>
    <n v="7.1"/>
    <n v="0.46"/>
    <n v="0.2"/>
    <n v="1.9"/>
    <n v="7.6999999999999999E-2"/>
    <n v="28"/>
    <n v="54"/>
    <n v="0.99560000000000004"/>
    <x v="42"/>
    <n v="0.64"/>
    <x v="21"/>
    <x v="1"/>
    <x v="0"/>
    <n v="7.76"/>
    <n v="2.8307692307692305E-2"/>
  </r>
  <r>
    <n v="7.1"/>
    <n v="0.46"/>
    <n v="0.2"/>
    <n v="1.9"/>
    <n v="7.6999999999999999E-2"/>
    <n v="28"/>
    <n v="54"/>
    <n v="0.99560000000000004"/>
    <x v="42"/>
    <n v="0.64"/>
    <x v="21"/>
    <x v="1"/>
    <x v="0"/>
    <n v="7.76"/>
    <n v="2.8307692307692305E-2"/>
  </r>
  <r>
    <n v="7.9"/>
    <n v="0.76500000000000001"/>
    <n v="0"/>
    <n v="2"/>
    <n v="8.4000000000000005E-2"/>
    <n v="9"/>
    <n v="22"/>
    <n v="0.99618999999999991"/>
    <x v="24"/>
    <n v="0.68"/>
    <x v="18"/>
    <x v="1"/>
    <x v="0"/>
    <n v="8.6650000000000009"/>
    <n v="4.7724770642201833E-2"/>
  </r>
  <r>
    <n v="8.6999999999999993"/>
    <n v="0.63"/>
    <n v="0.28000000000000003"/>
    <n v="2.7"/>
    <n v="9.6000000000000002E-2"/>
    <n v="17"/>
    <n v="69"/>
    <n v="0.99734"/>
    <x v="2"/>
    <n v="0.63"/>
    <x v="17"/>
    <x v="1"/>
    <x v="0"/>
    <n v="9.61"/>
    <n v="3.8911764705882361E-2"/>
  </r>
  <r>
    <n v="7"/>
    <n v="0.42"/>
    <n v="0.19"/>
    <n v="2.2999999999999998"/>
    <n v="7.0999999999999994E-2"/>
    <n v="18"/>
    <n v="36"/>
    <n v="0.99476000000000009"/>
    <x v="5"/>
    <n v="0.56000000000000005"/>
    <x v="18"/>
    <x v="0"/>
    <x v="0"/>
    <n v="7.61"/>
    <n v="2.1577981651376147E-2"/>
  </r>
  <r>
    <n v="11.3"/>
    <n v="0.37"/>
    <n v="0.5"/>
    <n v="1.8"/>
    <n v="0.09"/>
    <n v="20"/>
    <n v="47"/>
    <n v="0.99734"/>
    <x v="30"/>
    <n v="0.56999999999999995"/>
    <x v="4"/>
    <x v="0"/>
    <x v="0"/>
    <n v="12.17"/>
    <n v="2.0085714285714283E-2"/>
  </r>
  <r>
    <n v="7.1"/>
    <n v="0.16"/>
    <n v="0.44"/>
    <n v="2.5"/>
    <n v="6.8000000000000005E-2"/>
    <n v="17"/>
    <n v="31"/>
    <n v="0.99327999999999994"/>
    <x v="7"/>
    <n v="0.54"/>
    <x v="26"/>
    <x v="1"/>
    <x v="0"/>
    <n v="7.7"/>
    <n v="6.9677419354838713E-3"/>
  </r>
  <r>
    <n v="8"/>
    <n v="0.6"/>
    <n v="0.08"/>
    <n v="2.6"/>
    <n v="5.5999999999999994E-2"/>
    <n v="3"/>
    <n v="7"/>
    <n v="0.99286000000000008"/>
    <x v="49"/>
    <n v="0.37"/>
    <x v="22"/>
    <x v="0"/>
    <x v="0"/>
    <n v="8.68"/>
    <n v="1.7076923076923076E-2"/>
  </r>
  <r>
    <n v="7"/>
    <n v="0.6"/>
    <n v="0.3"/>
    <n v="4.5"/>
    <n v="6.8000000000000005E-2"/>
    <n v="20"/>
    <n v="110"/>
    <n v="0.99913999999999992"/>
    <x v="4"/>
    <n v="1.17"/>
    <x v="17"/>
    <x v="0"/>
    <x v="0"/>
    <n v="7.8999999999999995"/>
    <n v="6.88235294117647E-2"/>
  </r>
  <r>
    <n v="7"/>
    <n v="0.6"/>
    <n v="0.3"/>
    <n v="4.5"/>
    <n v="6.8000000000000005E-2"/>
    <n v="20"/>
    <n v="110"/>
    <n v="0.99913999999999992"/>
    <x v="4"/>
    <n v="1.17"/>
    <x v="17"/>
    <x v="0"/>
    <x v="0"/>
    <n v="7.8999999999999995"/>
    <n v="6.88235294117647E-2"/>
  </r>
  <r>
    <n v="7.6"/>
    <n v="0.74"/>
    <n v="0"/>
    <n v="1.9"/>
    <n v="0.1"/>
    <n v="6"/>
    <n v="12"/>
    <n v="0.99521000000000004"/>
    <x v="6"/>
    <n v="0.59"/>
    <x v="27"/>
    <x v="0"/>
    <x v="0"/>
    <n v="8.34"/>
    <n v="3.9690909090909089E-2"/>
  </r>
  <r>
    <n v="8.1999999999999993"/>
    <n v="0.63500000000000001"/>
    <n v="0.1"/>
    <n v="2.1"/>
    <n v="7.2999999999999995E-2"/>
    <n v="25"/>
    <n v="60"/>
    <n v="0.99637999999999993"/>
    <x v="40"/>
    <n v="0.75"/>
    <x v="18"/>
    <x v="1"/>
    <x v="0"/>
    <n v="8.9349999999999987"/>
    <n v="4.3692660550458715E-2"/>
  </r>
  <r>
    <n v="5.9"/>
    <n v="0.39500000000000002"/>
    <n v="0.13"/>
    <n v="2.4"/>
    <n v="5.5999999999999994E-2"/>
    <n v="14"/>
    <n v="28"/>
    <n v="0.99362000000000006"/>
    <x v="71"/>
    <n v="0.67"/>
    <x v="26"/>
    <x v="1"/>
    <x v="0"/>
    <n v="6.4249999999999998"/>
    <n v="2.1342741935483876E-2"/>
  </r>
  <r>
    <n v="7.5"/>
    <n v="0.755"/>
    <n v="0"/>
    <n v="1.9"/>
    <n v="8.4000000000000005E-2"/>
    <n v="6"/>
    <n v="12"/>
    <n v="0.99672000000000005"/>
    <x v="16"/>
    <n v="0.49"/>
    <x v="10"/>
    <x v="3"/>
    <x v="2"/>
    <n v="8.2550000000000008"/>
    <n v="3.8139175257731965E-2"/>
  </r>
  <r>
    <n v="8.1999999999999993"/>
    <n v="0.63500000000000001"/>
    <n v="0.1"/>
    <n v="2.1"/>
    <n v="7.2999999999999995E-2"/>
    <n v="25"/>
    <n v="60"/>
    <n v="0.99637999999999993"/>
    <x v="40"/>
    <n v="0.75"/>
    <x v="18"/>
    <x v="1"/>
    <x v="0"/>
    <n v="8.9349999999999987"/>
    <n v="4.3692660550458715E-2"/>
  </r>
  <r>
    <n v="6.6"/>
    <n v="0.63"/>
    <n v="0"/>
    <n v="4.3"/>
    <n v="9.3000000000000013E-2"/>
    <n v="51"/>
    <n v="78"/>
    <n v="0.99557999999999991"/>
    <x v="1"/>
    <n v="0.45"/>
    <x v="3"/>
    <x v="0"/>
    <x v="0"/>
    <n v="7.2299999999999995"/>
    <n v="2.9842105263157899E-2"/>
  </r>
  <r>
    <n v="6.6"/>
    <n v="0.63"/>
    <n v="0"/>
    <n v="4.3"/>
    <n v="9.3000000000000013E-2"/>
    <n v="51"/>
    <n v="78"/>
    <n v="0.99557999999999991"/>
    <x v="1"/>
    <n v="0.45"/>
    <x v="3"/>
    <x v="0"/>
    <x v="0"/>
    <n v="7.2299999999999995"/>
    <n v="2.9842105263157899E-2"/>
  </r>
  <r>
    <n v="7.2"/>
    <n v="0.53"/>
    <n v="0.14000000000000001"/>
    <n v="2.1"/>
    <n v="6.4000000000000001E-2"/>
    <n v="15"/>
    <n v="29"/>
    <n v="0.99322999999999995"/>
    <x v="7"/>
    <n v="0.61"/>
    <x v="44"/>
    <x v="1"/>
    <x v="0"/>
    <n v="7.87"/>
    <n v="2.6719008264462812E-2"/>
  </r>
  <r>
    <n v="5.7"/>
    <n v="0.6"/>
    <n v="0"/>
    <n v="1.4"/>
    <n v="6.3E-2"/>
    <n v="11"/>
    <n v="18"/>
    <n v="0.99191000000000007"/>
    <x v="19"/>
    <n v="0.56000000000000005"/>
    <x v="28"/>
    <x v="1"/>
    <x v="0"/>
    <n v="6.3"/>
    <n v="2.7540983606557379E-2"/>
  </r>
  <r>
    <n v="7.6"/>
    <n v="1.58"/>
    <n v="0"/>
    <n v="2.1"/>
    <n v="0.13699999999999998"/>
    <n v="5"/>
    <n v="9"/>
    <n v="0.99476000000000009"/>
    <x v="23"/>
    <n v="0.4"/>
    <x v="18"/>
    <x v="5"/>
    <x v="2"/>
    <n v="9.18"/>
    <n v="5.7981651376146796E-2"/>
  </r>
  <r>
    <n v="5.2"/>
    <n v="0.64500000000000002"/>
    <n v="0"/>
    <n v="2.15"/>
    <n v="0.08"/>
    <n v="15"/>
    <n v="28"/>
    <n v="0.99443999999999999"/>
    <x v="85"/>
    <n v="0.61"/>
    <x v="31"/>
    <x v="1"/>
    <x v="0"/>
    <n v="5.8450000000000006"/>
    <n v="3.1476000000000004E-2"/>
  </r>
  <r>
    <n v="6.7"/>
    <n v="0.86"/>
    <n v="7.0000000000000007E-2"/>
    <n v="2"/>
    <n v="0.1"/>
    <n v="20"/>
    <n v="57"/>
    <n v="0.99597999999999998"/>
    <x v="58"/>
    <n v="0.74"/>
    <x v="32"/>
    <x v="1"/>
    <x v="0"/>
    <n v="7.6300000000000008"/>
    <n v="5.4393162393162393E-2"/>
  </r>
  <r>
    <n v="9.1"/>
    <n v="0.37"/>
    <n v="0.32"/>
    <n v="2.1"/>
    <n v="6.4000000000000001E-2"/>
    <n v="4"/>
    <n v="15"/>
    <n v="0.99576000000000009"/>
    <x v="4"/>
    <n v="0.8"/>
    <x v="40"/>
    <x v="1"/>
    <x v="0"/>
    <n v="9.7899999999999991"/>
    <n v="2.642857142857143E-2"/>
  </r>
  <r>
    <n v="8"/>
    <n v="0.28000000000000003"/>
    <n v="0.44"/>
    <n v="1.8"/>
    <n v="8.1000000000000003E-2"/>
    <n v="28"/>
    <n v="68"/>
    <n v="0.99501000000000006"/>
    <x v="6"/>
    <n v="0.66"/>
    <x v="40"/>
    <x v="0"/>
    <x v="0"/>
    <n v="8.7199999999999989"/>
    <n v="1.6500000000000004E-2"/>
  </r>
  <r>
    <n v="7.6"/>
    <n v="0.79"/>
    <n v="0.21"/>
    <n v="2.2999999999999998"/>
    <n v="8.6999999999999994E-2"/>
    <n v="21"/>
    <n v="68"/>
    <n v="0.99550000000000005"/>
    <x v="54"/>
    <n v="0.44"/>
    <x v="5"/>
    <x v="0"/>
    <x v="0"/>
    <n v="8.6000000000000014"/>
    <n v="3.7782608695652177E-2"/>
  </r>
  <r>
    <n v="7.5"/>
    <n v="0.61"/>
    <n v="0.26"/>
    <n v="1.9"/>
    <n v="7.2999999999999995E-2"/>
    <n v="24"/>
    <n v="88"/>
    <n v="0.99612000000000012"/>
    <x v="4"/>
    <n v="0.53"/>
    <x v="1"/>
    <x v="0"/>
    <x v="0"/>
    <n v="8.3699999999999992"/>
    <n v="3.298979591836735E-2"/>
  </r>
  <r>
    <n v="9.6999999999999993"/>
    <n v="0.69"/>
    <n v="0.32"/>
    <n v="2.5"/>
    <n v="8.8000000000000009E-2"/>
    <n v="22"/>
    <n v="91"/>
    <n v="0.99790000000000001"/>
    <x v="40"/>
    <n v="0.62"/>
    <x v="11"/>
    <x v="0"/>
    <x v="0"/>
    <n v="10.709999999999999"/>
    <n v="4.2356435643564352E-2"/>
  </r>
  <r>
    <n v="6.8"/>
    <n v="0.68"/>
    <n v="0.09"/>
    <n v="3.9"/>
    <n v="6.8000000000000005E-2"/>
    <n v="15"/>
    <n v="29"/>
    <n v="0.99524000000000001"/>
    <x v="31"/>
    <n v="0.52"/>
    <x v="42"/>
    <x v="3"/>
    <x v="2"/>
    <n v="7.5699999999999994"/>
    <n v="3.1855855855855861E-2"/>
  </r>
  <r>
    <n v="9.6999999999999993"/>
    <n v="0.69"/>
    <n v="0.32"/>
    <n v="2.5"/>
    <n v="8.8000000000000009E-2"/>
    <n v="22"/>
    <n v="91"/>
    <n v="0.99790000000000001"/>
    <x v="40"/>
    <n v="0.62"/>
    <x v="11"/>
    <x v="0"/>
    <x v="0"/>
    <n v="10.709999999999999"/>
    <n v="4.2356435643564352E-2"/>
  </r>
  <r>
    <n v="7"/>
    <n v="0.62"/>
    <n v="0.1"/>
    <n v="1.4"/>
    <n v="7.0999999999999994E-2"/>
    <n v="27"/>
    <n v="63"/>
    <n v="0.996"/>
    <x v="8"/>
    <n v="0.61"/>
    <x v="5"/>
    <x v="0"/>
    <x v="0"/>
    <n v="7.72"/>
    <n v="4.1108695652173913E-2"/>
  </r>
  <r>
    <n v="7.5"/>
    <n v="0.61"/>
    <n v="0.26"/>
    <n v="1.9"/>
    <n v="7.2999999999999995E-2"/>
    <n v="24"/>
    <n v="88"/>
    <n v="0.99612000000000012"/>
    <x v="4"/>
    <n v="0.53"/>
    <x v="1"/>
    <x v="0"/>
    <x v="0"/>
    <n v="8.3699999999999992"/>
    <n v="3.298979591836735E-2"/>
  </r>
  <r>
    <n v="6.5"/>
    <n v="0.51"/>
    <n v="0.15"/>
    <n v="3"/>
    <n v="6.4000000000000001E-2"/>
    <n v="12"/>
    <n v="27"/>
    <n v="0.9929"/>
    <x v="24"/>
    <n v="0.59"/>
    <x v="29"/>
    <x v="1"/>
    <x v="0"/>
    <n v="7.16"/>
    <n v="2.3507812499999999E-2"/>
  </r>
  <r>
    <n v="8"/>
    <n v="1.18"/>
    <n v="0.21"/>
    <n v="1.9"/>
    <n v="8.3000000000000004E-2"/>
    <n v="14"/>
    <n v="41"/>
    <n v="0.99532000000000009"/>
    <x v="16"/>
    <n v="0.47"/>
    <x v="4"/>
    <x v="0"/>
    <x v="0"/>
    <n v="9.39"/>
    <n v="5.281904761904762E-2"/>
  </r>
  <r>
    <n v="7"/>
    <n v="0.36"/>
    <n v="0.21"/>
    <n v="2.2999999999999998"/>
    <n v="8.5999999999999993E-2"/>
    <n v="20"/>
    <n v="65"/>
    <n v="0.99557999999999991"/>
    <x v="20"/>
    <n v="0.54"/>
    <x v="11"/>
    <x v="1"/>
    <x v="0"/>
    <n v="7.57"/>
    <n v="1.9247524752475251E-2"/>
  </r>
  <r>
    <n v="7"/>
    <n v="0.36"/>
    <n v="0.21"/>
    <n v="2.4"/>
    <n v="8.5999999999999993E-2"/>
    <n v="24"/>
    <n v="69"/>
    <n v="0.99556"/>
    <x v="20"/>
    <n v="0.53"/>
    <x v="11"/>
    <x v="1"/>
    <x v="0"/>
    <n v="7.57"/>
    <n v="1.8891089108910891E-2"/>
  </r>
  <r>
    <n v="7.5"/>
    <n v="0.63"/>
    <n v="0.27"/>
    <n v="2"/>
    <n v="8.3000000000000004E-2"/>
    <n v="17"/>
    <n v="91"/>
    <n v="0.99616000000000005"/>
    <x v="2"/>
    <n v="0.57999999999999996"/>
    <x v="1"/>
    <x v="1"/>
    <x v="0"/>
    <n v="8.4"/>
    <n v="3.7285714285714283E-2"/>
  </r>
  <r>
    <n v="5.4"/>
    <n v="0.74"/>
    <n v="0"/>
    <n v="1.2"/>
    <n v="4.0999999999999995E-2"/>
    <n v="16"/>
    <n v="46"/>
    <n v="0.99257999999999991"/>
    <x v="87"/>
    <n v="0.59"/>
    <x v="31"/>
    <x v="1"/>
    <x v="0"/>
    <n v="6.1400000000000006"/>
    <n v="3.4928000000000001E-2"/>
  </r>
  <r>
    <n v="9.9"/>
    <n v="0.44"/>
    <n v="0.46"/>
    <n v="2.2000000000000002"/>
    <n v="9.0999999999999998E-2"/>
    <n v="10"/>
    <n v="41"/>
    <n v="0.99637999999999993"/>
    <x v="64"/>
    <n v="0.69"/>
    <x v="36"/>
    <x v="1"/>
    <x v="0"/>
    <n v="10.8"/>
    <n v="2.5512605042016804E-2"/>
  </r>
  <r>
    <n v="7.5"/>
    <n v="0.63"/>
    <n v="0.27"/>
    <n v="2"/>
    <n v="8.3000000000000004E-2"/>
    <n v="17"/>
    <n v="91"/>
    <n v="0.99616000000000005"/>
    <x v="2"/>
    <n v="0.57999999999999996"/>
    <x v="1"/>
    <x v="1"/>
    <x v="0"/>
    <n v="8.4"/>
    <n v="3.7285714285714283E-2"/>
  </r>
  <r>
    <n v="9.1"/>
    <n v="0.76"/>
    <n v="0.68"/>
    <n v="1.7"/>
    <n v="0.41399999999999998"/>
    <n v="18"/>
    <n v="64"/>
    <n v="0.99652000000000007"/>
    <x v="88"/>
    <n v="1.33"/>
    <x v="7"/>
    <x v="1"/>
    <x v="0"/>
    <n v="10.54"/>
    <n v="0.1110769230769231"/>
  </r>
  <r>
    <n v="9.6999999999999993"/>
    <n v="0.66"/>
    <n v="0.34"/>
    <n v="2.6"/>
    <n v="9.4E-2"/>
    <n v="12"/>
    <n v="88"/>
    <n v="0.99796000000000007"/>
    <x v="2"/>
    <n v="0.66"/>
    <x v="11"/>
    <x v="0"/>
    <x v="0"/>
    <n v="10.7"/>
    <n v="4.3128712871287132E-2"/>
  </r>
  <r>
    <n v="5"/>
    <n v="0.74"/>
    <n v="0"/>
    <n v="1.2"/>
    <n v="4.0999999999999995E-2"/>
    <n v="16"/>
    <n v="46"/>
    <n v="0.99257999999999991"/>
    <x v="87"/>
    <n v="0.59"/>
    <x v="31"/>
    <x v="1"/>
    <x v="0"/>
    <n v="5.74"/>
    <n v="3.4928000000000001E-2"/>
  </r>
  <r>
    <n v="9.1"/>
    <n v="0.34"/>
    <n v="0.42"/>
    <n v="1.8"/>
    <n v="5.7999999999999996E-2"/>
    <n v="9"/>
    <n v="18"/>
    <n v="0.99392000000000003"/>
    <x v="64"/>
    <n v="0.55000000000000004"/>
    <x v="25"/>
    <x v="0"/>
    <x v="0"/>
    <n v="9.86"/>
    <n v="1.6403508771929826E-2"/>
  </r>
  <r>
    <n v="9.1"/>
    <n v="0.36"/>
    <n v="0.39"/>
    <n v="1.8"/>
    <n v="0.06"/>
    <n v="21"/>
    <n v="55"/>
    <n v="0.99495"/>
    <x v="64"/>
    <n v="0.82"/>
    <x v="27"/>
    <x v="2"/>
    <x v="1"/>
    <n v="9.85"/>
    <n v="2.6836363636363634E-2"/>
  </r>
  <r>
    <n v="6.7"/>
    <n v="0.46"/>
    <n v="0.24"/>
    <n v="1.7"/>
    <n v="7.6999999999999999E-2"/>
    <n v="18"/>
    <n v="34"/>
    <n v="0.99480000000000002"/>
    <x v="5"/>
    <n v="0.6"/>
    <x v="12"/>
    <x v="1"/>
    <x v="0"/>
    <n v="7.4"/>
    <n v="2.6037735849056606E-2"/>
  </r>
  <r>
    <n v="6.7"/>
    <n v="0.46"/>
    <n v="0.24"/>
    <n v="1.7"/>
    <n v="7.6999999999999999E-2"/>
    <n v="18"/>
    <n v="34"/>
    <n v="0.99480000000000002"/>
    <x v="5"/>
    <n v="0.6"/>
    <x v="12"/>
    <x v="1"/>
    <x v="0"/>
    <n v="7.4"/>
    <n v="2.6037735849056606E-2"/>
  </r>
  <r>
    <n v="6.7"/>
    <n v="0.46"/>
    <n v="0.24"/>
    <n v="1.7"/>
    <n v="7.6999999999999999E-2"/>
    <n v="18"/>
    <n v="34"/>
    <n v="0.99480000000000002"/>
    <x v="5"/>
    <n v="0.6"/>
    <x v="12"/>
    <x v="1"/>
    <x v="0"/>
    <n v="7.4"/>
    <n v="2.6037735849056606E-2"/>
  </r>
  <r>
    <n v="6.7"/>
    <n v="0.46"/>
    <n v="0.24"/>
    <n v="1.7"/>
    <n v="7.6999999999999999E-2"/>
    <n v="18"/>
    <n v="34"/>
    <n v="0.99480000000000002"/>
    <x v="5"/>
    <n v="0.6"/>
    <x v="12"/>
    <x v="1"/>
    <x v="0"/>
    <n v="7.4"/>
    <n v="2.6037735849056606E-2"/>
  </r>
  <r>
    <n v="6.5"/>
    <n v="0.52"/>
    <n v="0.11"/>
    <n v="1.8"/>
    <n v="7.2999999999999995E-2"/>
    <n v="13"/>
    <n v="38"/>
    <n v="0.99550000000000005"/>
    <x v="16"/>
    <n v="0.52"/>
    <x v="8"/>
    <x v="0"/>
    <x v="0"/>
    <n v="7.13"/>
    <n v="2.9075268817204302E-2"/>
  </r>
  <r>
    <n v="7.4"/>
    <n v="0.6"/>
    <n v="0.26"/>
    <n v="2.1"/>
    <n v="8.3000000000000004E-2"/>
    <n v="17"/>
    <n v="91"/>
    <n v="0.99616000000000005"/>
    <x v="40"/>
    <n v="0.56000000000000005"/>
    <x v="1"/>
    <x v="1"/>
    <x v="0"/>
    <n v="8.26"/>
    <n v="3.4285714285714287E-2"/>
  </r>
  <r>
    <n v="7.4"/>
    <n v="0.6"/>
    <n v="0.26"/>
    <n v="2.1"/>
    <n v="8.3000000000000004E-2"/>
    <n v="17"/>
    <n v="91"/>
    <n v="0.99616000000000005"/>
    <x v="40"/>
    <n v="0.56000000000000005"/>
    <x v="1"/>
    <x v="1"/>
    <x v="0"/>
    <n v="8.26"/>
    <n v="3.4285714285714287E-2"/>
  </r>
  <r>
    <n v="7.8"/>
    <n v="0.87"/>
    <n v="0.26"/>
    <n v="3.8"/>
    <n v="0.107"/>
    <n v="31"/>
    <n v="67"/>
    <n v="0.9966799999999999"/>
    <x v="2"/>
    <n v="0.46"/>
    <x v="5"/>
    <x v="0"/>
    <x v="0"/>
    <n v="8.93"/>
    <n v="4.3500000000000004E-2"/>
  </r>
  <r>
    <n v="8.4"/>
    <n v="0.39"/>
    <n v="0.1"/>
    <n v="1.7"/>
    <n v="7.4999999999999997E-2"/>
    <n v="6"/>
    <n v="25"/>
    <n v="0.99581000000000008"/>
    <x v="75"/>
    <n v="0.43"/>
    <x v="10"/>
    <x v="1"/>
    <x v="0"/>
    <n v="8.89"/>
    <n v="1.7288659793814436E-2"/>
  </r>
  <r>
    <n v="9.1"/>
    <n v="0.77500000000000002"/>
    <n v="0.22"/>
    <n v="2.2000000000000002"/>
    <n v="7.9000000000000001E-2"/>
    <n v="12"/>
    <n v="48"/>
    <n v="0.99760000000000004"/>
    <x v="64"/>
    <n v="0.51"/>
    <x v="13"/>
    <x v="0"/>
    <x v="0"/>
    <n v="10.095000000000001"/>
    <n v="4.1171875000000004E-2"/>
  </r>
  <r>
    <n v="7.2"/>
    <n v="0.83499999999999996"/>
    <n v="0"/>
    <n v="2"/>
    <n v="0.16600000000000001"/>
    <n v="4"/>
    <n v="11"/>
    <n v="0.99607999999999997"/>
    <x v="5"/>
    <n v="0.52"/>
    <x v="2"/>
    <x v="0"/>
    <x v="0"/>
    <n v="8.0350000000000001"/>
    <n v="4.342E-2"/>
  </r>
  <r>
    <n v="6.6"/>
    <n v="0.57999999999999996"/>
    <n v="0.02"/>
    <n v="2.4"/>
    <n v="6.9000000000000006E-2"/>
    <n v="19"/>
    <n v="40"/>
    <n v="0.99387000000000003"/>
    <x v="12"/>
    <n v="0.66"/>
    <x v="30"/>
    <x v="1"/>
    <x v="0"/>
    <n v="7.1999999999999993"/>
    <n v="3.038095238095238E-2"/>
  </r>
  <r>
    <n v="6"/>
    <n v="0.5"/>
    <n v="0"/>
    <n v="1.4"/>
    <n v="5.7000000000000002E-2"/>
    <n v="15"/>
    <n v="26"/>
    <n v="0.99447999999999992"/>
    <x v="6"/>
    <n v="0.45"/>
    <x v="3"/>
    <x v="0"/>
    <x v="0"/>
    <n v="6.5"/>
    <n v="2.368421052631579E-2"/>
  </r>
  <r>
    <n v="6"/>
    <n v="0.5"/>
    <n v="0"/>
    <n v="1.4"/>
    <n v="5.7000000000000002E-2"/>
    <n v="15"/>
    <n v="26"/>
    <n v="0.99447999999999992"/>
    <x v="6"/>
    <n v="0.45"/>
    <x v="3"/>
    <x v="0"/>
    <x v="0"/>
    <n v="6.5"/>
    <n v="2.368421052631579E-2"/>
  </r>
  <r>
    <n v="6"/>
    <n v="0.5"/>
    <n v="0"/>
    <n v="1.4"/>
    <n v="5.7000000000000002E-2"/>
    <n v="15"/>
    <n v="26"/>
    <n v="0.99447999999999992"/>
    <x v="6"/>
    <n v="0.45"/>
    <x v="3"/>
    <x v="0"/>
    <x v="0"/>
    <n v="6.5"/>
    <n v="2.368421052631579E-2"/>
  </r>
  <r>
    <n v="7.5"/>
    <n v="0.51"/>
    <n v="0.02"/>
    <n v="1.7"/>
    <n v="8.4000000000000005E-2"/>
    <n v="13"/>
    <n v="31"/>
    <n v="0.99537999999999993"/>
    <x v="6"/>
    <n v="0.54"/>
    <x v="4"/>
    <x v="1"/>
    <x v="0"/>
    <n v="8.0299999999999994"/>
    <n v="2.6228571428571431E-2"/>
  </r>
  <r>
    <n v="7.5"/>
    <n v="0.51"/>
    <n v="0.02"/>
    <n v="1.7"/>
    <n v="8.4000000000000005E-2"/>
    <n v="13"/>
    <n v="31"/>
    <n v="0.99537999999999993"/>
    <x v="6"/>
    <n v="0.54"/>
    <x v="4"/>
    <x v="1"/>
    <x v="0"/>
    <n v="8.0299999999999994"/>
    <n v="2.6228571428571431E-2"/>
  </r>
  <r>
    <n v="7.5"/>
    <n v="0.51"/>
    <n v="0.02"/>
    <n v="1.7"/>
    <n v="8.4000000000000005E-2"/>
    <n v="13"/>
    <n v="31"/>
    <n v="0.99537999999999993"/>
    <x v="6"/>
    <n v="0.54"/>
    <x v="4"/>
    <x v="1"/>
    <x v="0"/>
    <n v="8.0299999999999994"/>
    <n v="2.6228571428571431E-2"/>
  </r>
  <r>
    <n v="7.6"/>
    <n v="0.54"/>
    <n v="0.02"/>
    <n v="1.7"/>
    <n v="8.5000000000000006E-2"/>
    <n v="17"/>
    <n v="31"/>
    <n v="0.99588999999999994"/>
    <x v="42"/>
    <n v="0.51"/>
    <x v="21"/>
    <x v="1"/>
    <x v="0"/>
    <n v="8.16"/>
    <n v="2.6480769230769235E-2"/>
  </r>
  <r>
    <n v="7.5"/>
    <n v="0.51"/>
    <n v="0.02"/>
    <n v="1.7"/>
    <n v="8.4000000000000005E-2"/>
    <n v="13"/>
    <n v="31"/>
    <n v="0.99537999999999993"/>
    <x v="6"/>
    <n v="0.54"/>
    <x v="4"/>
    <x v="1"/>
    <x v="0"/>
    <n v="8.0299999999999994"/>
    <n v="2.6228571428571431E-2"/>
  </r>
  <r>
    <n v="11.5"/>
    <n v="0.42"/>
    <n v="0.48"/>
    <n v="2.6"/>
    <n v="7.6999999999999999E-2"/>
    <n v="8"/>
    <n v="20"/>
    <n v="0.99852000000000007"/>
    <x v="75"/>
    <n v="0.53"/>
    <x v="27"/>
    <x v="0"/>
    <x v="0"/>
    <n v="12.4"/>
    <n v="2.0236363636363636E-2"/>
  </r>
  <r>
    <n v="8.1999999999999993"/>
    <n v="0.44"/>
    <n v="0.24"/>
    <n v="2.2999999999999998"/>
    <n v="6.3E-2"/>
    <n v="10"/>
    <n v="28"/>
    <n v="0.99612999999999996"/>
    <x v="28"/>
    <n v="0.53"/>
    <x v="17"/>
    <x v="1"/>
    <x v="0"/>
    <n v="8.879999999999999"/>
    <n v="2.2862745098039219E-2"/>
  </r>
  <r>
    <n v="6.1"/>
    <n v="0.59"/>
    <n v="0.01"/>
    <n v="2.1"/>
    <n v="5.5999999999999994E-2"/>
    <n v="5"/>
    <n v="13"/>
    <n v="0.99472000000000005"/>
    <x v="14"/>
    <n v="0.56000000000000005"/>
    <x v="25"/>
    <x v="0"/>
    <x v="0"/>
    <n v="6.6999999999999993"/>
    <n v="2.8982456140350877E-2"/>
  </r>
  <r>
    <n v="7.2"/>
    <n v="0.65500000000000003"/>
    <n v="0.03"/>
    <n v="1.8"/>
    <n v="7.8E-2"/>
    <n v="7"/>
    <n v="12"/>
    <n v="0.99587000000000003"/>
    <x v="16"/>
    <n v="0.39"/>
    <x v="3"/>
    <x v="0"/>
    <x v="0"/>
    <n v="7.8850000000000007"/>
    <n v="2.6889473684210529E-2"/>
  </r>
  <r>
    <n v="7.2"/>
    <n v="0.65500000000000003"/>
    <n v="0.03"/>
    <n v="1.8"/>
    <n v="7.8E-2"/>
    <n v="7"/>
    <n v="12"/>
    <n v="0.99587000000000003"/>
    <x v="16"/>
    <n v="0.39"/>
    <x v="3"/>
    <x v="0"/>
    <x v="0"/>
    <n v="7.8850000000000007"/>
    <n v="2.6889473684210529E-2"/>
  </r>
  <r>
    <n v="6.9"/>
    <n v="0.56999999999999995"/>
    <n v="0"/>
    <n v="2.8"/>
    <n v="8.1000000000000003E-2"/>
    <n v="21"/>
    <n v="41"/>
    <n v="0.99517999999999995"/>
    <x v="31"/>
    <n v="0.52"/>
    <x v="14"/>
    <x v="0"/>
    <x v="0"/>
    <n v="7.4700000000000006"/>
    <n v="2.7444444444444441E-2"/>
  </r>
  <r>
    <n v="9"/>
    <n v="0.6"/>
    <n v="0.28999999999999998"/>
    <n v="2"/>
    <n v="6.9000000000000006E-2"/>
    <n v="32"/>
    <n v="73"/>
    <n v="0.99653999999999998"/>
    <x v="16"/>
    <n v="0.56999999999999995"/>
    <x v="2"/>
    <x v="0"/>
    <x v="0"/>
    <n v="9.8899999999999988"/>
    <n v="3.4199999999999994E-2"/>
  </r>
  <r>
    <n v="7.2"/>
    <n v="0.62"/>
    <n v="0.01"/>
    <n v="2.2999999999999998"/>
    <n v="6.5000000000000002E-2"/>
    <n v="8"/>
    <n v="46"/>
    <n v="0.99332000000000009"/>
    <x v="29"/>
    <n v="0.51"/>
    <x v="37"/>
    <x v="1"/>
    <x v="0"/>
    <n v="7.83"/>
    <n v="2.6796610169491523E-2"/>
  </r>
  <r>
    <n v="7.6"/>
    <n v="0.64500000000000002"/>
    <n v="0.03"/>
    <n v="1.9"/>
    <n v="8.5999999999999993E-2"/>
    <n v="14"/>
    <n v="57"/>
    <n v="0.99690000000000001"/>
    <x v="42"/>
    <n v="0.46"/>
    <x v="15"/>
    <x v="0"/>
    <x v="0"/>
    <n v="8.2749999999999986"/>
    <n v="2.8805825242718446E-2"/>
  </r>
  <r>
    <n v="7.6"/>
    <n v="0.64500000000000002"/>
    <n v="0.03"/>
    <n v="1.9"/>
    <n v="8.5999999999999993E-2"/>
    <n v="14"/>
    <n v="57"/>
    <n v="0.99690000000000001"/>
    <x v="42"/>
    <n v="0.46"/>
    <x v="15"/>
    <x v="0"/>
    <x v="0"/>
    <n v="8.2749999999999986"/>
    <n v="2.8805825242718446E-2"/>
  </r>
  <r>
    <n v="7.2"/>
    <n v="0.57999999999999996"/>
    <n v="0.03"/>
    <n v="2.2999999999999998"/>
    <n v="7.6999999999999999E-2"/>
    <n v="7"/>
    <n v="28"/>
    <n v="0.9956799999999999"/>
    <x v="7"/>
    <n v="0.52"/>
    <x v="2"/>
    <x v="0"/>
    <x v="0"/>
    <n v="7.8100000000000005"/>
    <n v="3.0159999999999999E-2"/>
  </r>
  <r>
    <n v="6.1"/>
    <n v="0.32"/>
    <n v="0.25"/>
    <n v="1.8"/>
    <n v="8.5999999999999993E-2"/>
    <n v="5"/>
    <n v="32"/>
    <n v="0.99463999999999997"/>
    <x v="6"/>
    <n v="0.44"/>
    <x v="11"/>
    <x v="0"/>
    <x v="0"/>
    <n v="6.67"/>
    <n v="1.3940594059405943E-2"/>
  </r>
  <r>
    <n v="6.1"/>
    <n v="0.34"/>
    <n v="0.25"/>
    <n v="1.8"/>
    <n v="8.4000000000000005E-2"/>
    <n v="4"/>
    <n v="28"/>
    <n v="0.99463999999999997"/>
    <x v="6"/>
    <n v="0.44"/>
    <x v="11"/>
    <x v="0"/>
    <x v="0"/>
    <n v="6.6899999999999995"/>
    <n v="1.4811881188118813E-2"/>
  </r>
  <r>
    <n v="7.3"/>
    <n v="0.43"/>
    <n v="0.24"/>
    <n v="2.5"/>
    <n v="7.8E-2"/>
    <n v="27"/>
    <n v="67"/>
    <n v="0.99647999999999992"/>
    <x v="58"/>
    <n v="0.59"/>
    <x v="42"/>
    <x v="1"/>
    <x v="0"/>
    <n v="7.97"/>
    <n v="2.2855855855855856E-2"/>
  </r>
  <r>
    <n v="7.4"/>
    <n v="0.64"/>
    <n v="0.17"/>
    <n v="5.4"/>
    <n v="0.16800000000000001"/>
    <n v="52"/>
    <n v="98"/>
    <n v="0.99736000000000002"/>
    <x v="8"/>
    <n v="0.5"/>
    <x v="3"/>
    <x v="0"/>
    <x v="0"/>
    <n v="8.2100000000000009"/>
    <n v="3.3684210526315789E-2"/>
  </r>
  <r>
    <n v="11.6"/>
    <n v="0.47499999999999998"/>
    <n v="0.4"/>
    <n v="1.4"/>
    <n v="9.0999999999999998E-2"/>
    <n v="6"/>
    <n v="28"/>
    <n v="0.99703999999999993"/>
    <x v="44"/>
    <n v="0.65"/>
    <x v="51"/>
    <x v="1"/>
    <x v="0"/>
    <n v="12.475"/>
    <n v="3.0772425249169535E-2"/>
  </r>
  <r>
    <n v="9.1999999999999993"/>
    <n v="0.54"/>
    <n v="0.31"/>
    <n v="2.2999999999999998"/>
    <n v="0.11199999999999999"/>
    <n v="11"/>
    <n v="38"/>
    <n v="0.99698999999999993"/>
    <x v="47"/>
    <n v="0.56000000000000005"/>
    <x v="18"/>
    <x v="0"/>
    <x v="0"/>
    <n v="10.049999999999999"/>
    <n v="2.774311926605505E-2"/>
  </r>
  <r>
    <n v="8.3000000000000007"/>
    <n v="0.85"/>
    <n v="0.14000000000000001"/>
    <n v="2.5"/>
    <n v="9.3000000000000013E-2"/>
    <n v="13"/>
    <n v="54"/>
    <n v="0.99724000000000002"/>
    <x v="6"/>
    <n v="0.54"/>
    <x v="11"/>
    <x v="0"/>
    <x v="0"/>
    <n v="9.2900000000000009"/>
    <n v="4.5445544554455451E-2"/>
  </r>
  <r>
    <n v="11.6"/>
    <n v="0.47499999999999998"/>
    <n v="0.4"/>
    <n v="1.4"/>
    <n v="9.0999999999999998E-2"/>
    <n v="6"/>
    <n v="28"/>
    <n v="0.99703999999999993"/>
    <x v="44"/>
    <n v="0.65"/>
    <x v="51"/>
    <x v="1"/>
    <x v="0"/>
    <n v="12.475"/>
    <n v="3.0772425249169535E-2"/>
  </r>
  <r>
    <n v="8"/>
    <n v="0.83"/>
    <n v="0.27"/>
    <n v="2"/>
    <n v="0.08"/>
    <n v="11"/>
    <n v="63"/>
    <n v="0.99652000000000007"/>
    <x v="40"/>
    <n v="0.48"/>
    <x v="1"/>
    <x v="3"/>
    <x v="2"/>
    <n v="9.1"/>
    <n v="4.0653061224489792E-2"/>
  </r>
  <r>
    <n v="7.2"/>
    <n v="0.60499999999999998"/>
    <n v="0.02"/>
    <n v="1.9"/>
    <n v="9.6000000000000002E-2"/>
    <n v="10"/>
    <n v="31"/>
    <n v="0.995"/>
    <x v="18"/>
    <n v="0.53"/>
    <x v="37"/>
    <x v="1"/>
    <x v="0"/>
    <n v="7.8249999999999993"/>
    <n v="2.7173728813559318E-2"/>
  </r>
  <r>
    <n v="7.8"/>
    <n v="0.5"/>
    <n v="0.09"/>
    <n v="2.2000000000000002"/>
    <n v="0.115"/>
    <n v="10"/>
    <n v="42"/>
    <n v="0.99709999999999999"/>
    <x v="64"/>
    <n v="0.62"/>
    <x v="3"/>
    <x v="0"/>
    <x v="0"/>
    <n v="8.39"/>
    <n v="3.2631578947368421E-2"/>
  </r>
  <r>
    <n v="7.3"/>
    <n v="0.74"/>
    <n v="0.08"/>
    <n v="1.7"/>
    <n v="9.4E-2"/>
    <n v="10"/>
    <n v="45"/>
    <n v="0.99576000000000009"/>
    <x v="47"/>
    <n v="0.5"/>
    <x v="1"/>
    <x v="0"/>
    <x v="0"/>
    <n v="8.1199999999999992"/>
    <n v="3.7755102040816321E-2"/>
  </r>
  <r>
    <n v="6.9"/>
    <n v="0.54"/>
    <n v="0.3"/>
    <n v="2.2000000000000002"/>
    <n v="8.8000000000000009E-2"/>
    <n v="9"/>
    <n v="105"/>
    <n v="0.99724999999999997"/>
    <x v="28"/>
    <n v="1.18"/>
    <x v="4"/>
    <x v="1"/>
    <x v="0"/>
    <n v="7.74"/>
    <n v="6.0685714285714287E-2"/>
  </r>
  <r>
    <n v="8"/>
    <n v="0.77"/>
    <n v="0.32"/>
    <n v="2.1"/>
    <n v="7.9000000000000001E-2"/>
    <n v="16"/>
    <n v="74"/>
    <n v="0.99656"/>
    <x v="63"/>
    <n v="0.5"/>
    <x v="1"/>
    <x v="1"/>
    <x v="0"/>
    <n v="9.09"/>
    <n v="3.9285714285714285E-2"/>
  </r>
  <r>
    <n v="6.6"/>
    <n v="0.61"/>
    <n v="0"/>
    <n v="1.6"/>
    <n v="6.9000000000000006E-2"/>
    <n v="4"/>
    <n v="8"/>
    <n v="0.99396000000000007"/>
    <x v="24"/>
    <n v="0.37"/>
    <x v="21"/>
    <x v="3"/>
    <x v="2"/>
    <n v="7.21"/>
    <n v="2.1701923076923074E-2"/>
  </r>
  <r>
    <n v="8.6999999999999993"/>
    <n v="0.78"/>
    <n v="0.51"/>
    <n v="1.7"/>
    <n v="0.41499999999999998"/>
    <n v="12"/>
    <n v="66"/>
    <n v="0.99622999999999995"/>
    <x v="53"/>
    <n v="1.17"/>
    <x v="5"/>
    <x v="0"/>
    <x v="0"/>
    <n v="9.9899999999999984"/>
    <n v="9.9195652173913046E-2"/>
  </r>
  <r>
    <n v="7.5"/>
    <n v="0.57999999999999996"/>
    <n v="0.56000000000000005"/>
    <n v="3.1"/>
    <n v="0.153"/>
    <n v="5"/>
    <n v="14"/>
    <n v="0.99476000000000009"/>
    <x v="25"/>
    <n v="1.03"/>
    <x v="41"/>
    <x v="1"/>
    <x v="0"/>
    <n v="8.64"/>
    <n v="5.1499999999999997E-2"/>
  </r>
  <r>
    <n v="8.6999999999999993"/>
    <n v="0.78"/>
    <n v="0.51"/>
    <n v="1.7"/>
    <n v="0.41499999999999998"/>
    <n v="12"/>
    <n v="66"/>
    <n v="0.99622999999999995"/>
    <x v="53"/>
    <n v="1.17"/>
    <x v="5"/>
    <x v="0"/>
    <x v="0"/>
    <n v="9.9899999999999984"/>
    <n v="9.9195652173913046E-2"/>
  </r>
  <r>
    <n v="7.7"/>
    <n v="0.75"/>
    <n v="0.27"/>
    <n v="3.8"/>
    <n v="0.11"/>
    <n v="34"/>
    <n v="89"/>
    <n v="0.99663999999999997"/>
    <x v="47"/>
    <n v="0.45"/>
    <x v="8"/>
    <x v="0"/>
    <x v="0"/>
    <n v="8.7199999999999989"/>
    <n v="3.6290322580645164E-2"/>
  </r>
  <r>
    <n v="6.8"/>
    <n v="0.81499999999999995"/>
    <n v="0"/>
    <n v="1.2"/>
    <n v="0.26700000000000002"/>
    <n v="16"/>
    <n v="29"/>
    <n v="0.99470999999999998"/>
    <x v="29"/>
    <n v="0.51"/>
    <x v="1"/>
    <x v="5"/>
    <x v="2"/>
    <n v="7.6150000000000002"/>
    <n v="4.2413265306122445E-2"/>
  </r>
  <r>
    <n v="7.2"/>
    <n v="0.56000000000000005"/>
    <n v="0.26"/>
    <n v="2"/>
    <n v="8.3000000000000004E-2"/>
    <n v="13"/>
    <n v="100"/>
    <n v="0.99586000000000008"/>
    <x v="2"/>
    <n v="0.52"/>
    <x v="6"/>
    <x v="0"/>
    <x v="0"/>
    <n v="8.02"/>
    <n v="2.9414141414141413E-2"/>
  </r>
  <r>
    <n v="8.1999999999999993"/>
    <n v="0.88500000000000001"/>
    <n v="0.2"/>
    <n v="1.4"/>
    <n v="8.5999999999999993E-2"/>
    <n v="7"/>
    <n v="31"/>
    <n v="0.99460000000000004"/>
    <x v="11"/>
    <n v="0.46"/>
    <x v="2"/>
    <x v="0"/>
    <x v="0"/>
    <n v="9.2849999999999984"/>
    <n v="4.0710000000000003E-2"/>
  </r>
  <r>
    <n v="5.2"/>
    <n v="0.49"/>
    <n v="0.26"/>
    <n v="2.2999999999999998"/>
    <n v="0.09"/>
    <n v="23"/>
    <n v="74"/>
    <n v="0.99529999999999996"/>
    <x v="84"/>
    <n v="0.62"/>
    <x v="28"/>
    <x v="1"/>
    <x v="0"/>
    <n v="5.95"/>
    <n v="2.4901639344262299E-2"/>
  </r>
  <r>
    <n v="7.2"/>
    <n v="0.45"/>
    <n v="0.15"/>
    <n v="2"/>
    <n v="7.8E-2"/>
    <n v="10"/>
    <n v="28"/>
    <n v="0.99608999999999992"/>
    <x v="40"/>
    <n v="0.51"/>
    <x v="6"/>
    <x v="1"/>
    <x v="0"/>
    <n v="7.8000000000000007"/>
    <n v="2.3181818181818182E-2"/>
  </r>
  <r>
    <n v="7.5"/>
    <n v="0.56999999999999995"/>
    <n v="0.02"/>
    <n v="2.6"/>
    <n v="7.6999999999999999E-2"/>
    <n v="11"/>
    <n v="35"/>
    <n v="0.99557000000000007"/>
    <x v="6"/>
    <n v="0.62"/>
    <x v="14"/>
    <x v="1"/>
    <x v="0"/>
    <n v="8.09"/>
    <n v="3.2722222222222222E-2"/>
  </r>
  <r>
    <n v="7.5"/>
    <n v="0.56999999999999995"/>
    <n v="0.02"/>
    <n v="2.6"/>
    <n v="7.6999999999999999E-2"/>
    <n v="11"/>
    <n v="35"/>
    <n v="0.99557000000000007"/>
    <x v="6"/>
    <n v="0.62"/>
    <x v="14"/>
    <x v="1"/>
    <x v="0"/>
    <n v="8.09"/>
    <n v="3.2722222222222222E-2"/>
  </r>
  <r>
    <n v="6.8"/>
    <n v="0.83"/>
    <n v="0.09"/>
    <n v="1.8"/>
    <n v="7.400000000000001E-2"/>
    <n v="4"/>
    <n v="25"/>
    <n v="0.99534"/>
    <x v="12"/>
    <n v="0.45"/>
    <x v="13"/>
    <x v="0"/>
    <x v="0"/>
    <n v="7.72"/>
    <n v="3.8906250000000003E-2"/>
  </r>
  <r>
    <n v="8"/>
    <n v="0.6"/>
    <n v="0.22"/>
    <n v="2.1"/>
    <n v="0.08"/>
    <n v="25"/>
    <n v="105"/>
    <n v="0.99612999999999996"/>
    <x v="4"/>
    <n v="0.49"/>
    <x v="6"/>
    <x v="0"/>
    <x v="0"/>
    <n v="8.82"/>
    <n v="2.9696969696969694E-2"/>
  </r>
  <r>
    <n v="8"/>
    <n v="0.6"/>
    <n v="0.22"/>
    <n v="2.1"/>
    <n v="0.08"/>
    <n v="25"/>
    <n v="105"/>
    <n v="0.99612999999999996"/>
    <x v="4"/>
    <n v="0.49"/>
    <x v="6"/>
    <x v="0"/>
    <x v="0"/>
    <n v="8.82"/>
    <n v="2.9696969696969694E-2"/>
  </r>
  <r>
    <n v="7.1"/>
    <n v="0.755"/>
    <n v="0.15"/>
    <n v="1.8"/>
    <n v="0.107"/>
    <n v="20"/>
    <n v="84"/>
    <n v="0.99592999999999998"/>
    <x v="43"/>
    <n v="0.5"/>
    <x v="3"/>
    <x v="0"/>
    <x v="0"/>
    <n v="8.004999999999999"/>
    <n v="3.9736842105263161E-2"/>
  </r>
  <r>
    <n v="8"/>
    <n v="0.81"/>
    <n v="0.25"/>
    <n v="3.4"/>
    <n v="7.5999999999999998E-2"/>
    <n v="34"/>
    <n v="85"/>
    <n v="0.9966799999999999"/>
    <x v="43"/>
    <n v="0.42"/>
    <x v="5"/>
    <x v="0"/>
    <x v="0"/>
    <n v="9.06"/>
    <n v="3.6978260869565217E-2"/>
  </r>
  <r>
    <n v="7.4"/>
    <n v="0.64"/>
    <n v="7.0000000000000007E-2"/>
    <n v="1.8"/>
    <n v="0.1"/>
    <n v="8"/>
    <n v="23"/>
    <n v="0.99609999999999999"/>
    <x v="4"/>
    <n v="0.57999999999999996"/>
    <x v="13"/>
    <x v="0"/>
    <x v="0"/>
    <n v="8.1100000000000012"/>
    <n v="3.8666666666666669E-2"/>
  </r>
  <r>
    <n v="7.4"/>
    <n v="0.64"/>
    <n v="7.0000000000000007E-2"/>
    <n v="1.8"/>
    <n v="0.1"/>
    <n v="8"/>
    <n v="23"/>
    <n v="0.99609999999999999"/>
    <x v="4"/>
    <n v="0.57999999999999996"/>
    <x v="13"/>
    <x v="0"/>
    <x v="0"/>
    <n v="8.1100000000000012"/>
    <n v="3.8666666666666669E-2"/>
  </r>
  <r>
    <n v="6.6"/>
    <n v="0.64"/>
    <n v="0.31"/>
    <n v="6.1"/>
    <n v="8.3000000000000004E-2"/>
    <n v="7"/>
    <n v="49"/>
    <n v="0.99717999999999996"/>
    <x v="7"/>
    <n v="0.68"/>
    <x v="15"/>
    <x v="0"/>
    <x v="0"/>
    <n v="7.5499999999999989"/>
    <n v="4.2252427184466021E-2"/>
  </r>
  <r>
    <n v="6.7"/>
    <n v="0.48"/>
    <n v="0.02"/>
    <n v="2.2000000000000002"/>
    <n v="0.08"/>
    <n v="36"/>
    <n v="111"/>
    <n v="0.99524000000000001"/>
    <x v="60"/>
    <n v="0.53"/>
    <x v="10"/>
    <x v="0"/>
    <x v="0"/>
    <n v="7.1999999999999993"/>
    <n v="2.6226804123711343E-2"/>
  </r>
  <r>
    <n v="6"/>
    <n v="0.49"/>
    <n v="0"/>
    <n v="2.2999999999999998"/>
    <n v="6.8000000000000005E-2"/>
    <n v="15"/>
    <n v="33"/>
    <n v="0.99292000000000002"/>
    <x v="9"/>
    <n v="0.59"/>
    <x v="31"/>
    <x v="1"/>
    <x v="0"/>
    <n v="6.49"/>
    <n v="2.3127999999999996E-2"/>
  </r>
  <r>
    <n v="8"/>
    <n v="0.64"/>
    <n v="0.22"/>
    <n v="2.4"/>
    <n v="9.4E-2"/>
    <n v="5"/>
    <n v="33"/>
    <n v="0.99612000000000012"/>
    <x v="42"/>
    <n v="0.57999999999999996"/>
    <x v="27"/>
    <x v="0"/>
    <x v="0"/>
    <n v="8.8600000000000012"/>
    <n v="3.3745454545454544E-2"/>
  </r>
  <r>
    <n v="7.1"/>
    <n v="0.62"/>
    <n v="0.06"/>
    <n v="1.3"/>
    <n v="7.0000000000000007E-2"/>
    <n v="5"/>
    <n v="12"/>
    <n v="0.99419999999999997"/>
    <x v="10"/>
    <n v="0.48"/>
    <x v="1"/>
    <x v="0"/>
    <x v="0"/>
    <n v="7.7799999999999994"/>
    <n v="3.0367346938775505E-2"/>
  </r>
  <r>
    <n v="8"/>
    <n v="0.52"/>
    <n v="0.25"/>
    <n v="2"/>
    <n v="7.8E-2"/>
    <n v="19"/>
    <n v="59"/>
    <n v="0.99612000000000012"/>
    <x v="4"/>
    <n v="0.48"/>
    <x v="17"/>
    <x v="0"/>
    <x v="0"/>
    <n v="8.77"/>
    <n v="2.4470588235294119E-2"/>
  </r>
  <r>
    <n v="6.4"/>
    <n v="0.56999999999999995"/>
    <n v="0.14000000000000001"/>
    <n v="3.9"/>
    <n v="7.0000000000000007E-2"/>
    <n v="27"/>
    <n v="73"/>
    <n v="0.99668999999999996"/>
    <x v="29"/>
    <n v="0.48"/>
    <x v="5"/>
    <x v="0"/>
    <x v="0"/>
    <n v="7.11"/>
    <n v="2.9739130434782605E-2"/>
  </r>
  <r>
    <n v="8.6"/>
    <n v="0.68500000000000005"/>
    <n v="0.1"/>
    <n v="1.6"/>
    <n v="9.1999999999999998E-2"/>
    <n v="3"/>
    <n v="12"/>
    <n v="0.99744999999999995"/>
    <x v="33"/>
    <n v="0.65"/>
    <x v="52"/>
    <x v="1"/>
    <x v="0"/>
    <n v="9.3849999999999998"/>
    <n v="4.6623036649214661E-2"/>
  </r>
  <r>
    <n v="8.6999999999999993"/>
    <n v="0.67500000000000004"/>
    <n v="0.1"/>
    <n v="1.6"/>
    <n v="0.09"/>
    <n v="4"/>
    <n v="11"/>
    <n v="0.99744999999999995"/>
    <x v="33"/>
    <n v="0.65"/>
    <x v="52"/>
    <x v="0"/>
    <x v="0"/>
    <n v="9.4749999999999996"/>
    <n v="4.5942408376963353E-2"/>
  </r>
  <r>
    <n v="7.3"/>
    <n v="0.59"/>
    <n v="0.26"/>
    <n v="2"/>
    <n v="0.08"/>
    <n v="17"/>
    <n v="104"/>
    <n v="0.99583999999999995"/>
    <x v="8"/>
    <n v="0.52"/>
    <x v="6"/>
    <x v="0"/>
    <x v="0"/>
    <n v="8.15"/>
    <n v="3.0989898989898991E-2"/>
  </r>
  <r>
    <n v="7"/>
    <n v="0.6"/>
    <n v="0.12"/>
    <n v="2.2000000000000002"/>
    <n v="8.3000000000000004E-2"/>
    <n v="13"/>
    <n v="28"/>
    <n v="0.99660000000000004"/>
    <x v="14"/>
    <n v="0.62"/>
    <x v="17"/>
    <x v="2"/>
    <x v="1"/>
    <n v="7.72"/>
    <n v="3.6470588235294123E-2"/>
  </r>
  <r>
    <n v="7.2"/>
    <n v="0.67"/>
    <n v="0"/>
    <n v="2.2000000000000002"/>
    <n v="6.8000000000000005E-2"/>
    <n v="10"/>
    <n v="24"/>
    <n v="0.99560000000000004"/>
    <x v="21"/>
    <n v="0.72"/>
    <x v="42"/>
    <x v="1"/>
    <x v="0"/>
    <n v="7.87"/>
    <n v="4.3459459459459462E-2"/>
  </r>
  <r>
    <n v="7.9"/>
    <n v="0.69"/>
    <n v="0.21"/>
    <n v="2.1"/>
    <n v="0.08"/>
    <n v="33"/>
    <n v="141"/>
    <n v="0.99619999999999997"/>
    <x v="28"/>
    <n v="0.51"/>
    <x v="6"/>
    <x v="0"/>
    <x v="0"/>
    <n v="8.8000000000000007"/>
    <n v="3.554545454545454E-2"/>
  </r>
  <r>
    <n v="7.9"/>
    <n v="0.69"/>
    <n v="0.21"/>
    <n v="2.1"/>
    <n v="0.08"/>
    <n v="33"/>
    <n v="141"/>
    <n v="0.99619999999999997"/>
    <x v="28"/>
    <n v="0.51"/>
    <x v="6"/>
    <x v="0"/>
    <x v="0"/>
    <n v="8.8000000000000007"/>
    <n v="3.554545454545454E-2"/>
  </r>
  <r>
    <n v="7.6"/>
    <n v="0.3"/>
    <n v="0.42"/>
    <n v="2"/>
    <n v="5.2000000000000005E-2"/>
    <n v="6"/>
    <n v="24"/>
    <n v="0.99629999999999996"/>
    <x v="32"/>
    <n v="0.82"/>
    <x v="36"/>
    <x v="1"/>
    <x v="0"/>
    <n v="8.32"/>
    <n v="2.0672268907563022E-2"/>
  </r>
  <r>
    <n v="7.2"/>
    <n v="0.33"/>
    <n v="0.33"/>
    <n v="1.7"/>
    <n v="6.0999999999999999E-2"/>
    <n v="3"/>
    <n v="13"/>
    <n v="0.996"/>
    <x v="22"/>
    <n v="1.1000000000000001"/>
    <x v="2"/>
    <x v="4"/>
    <x v="1"/>
    <n v="7.86"/>
    <n v="3.6300000000000006E-2"/>
  </r>
  <r>
    <n v="8"/>
    <n v="0.5"/>
    <n v="0.39"/>
    <n v="2.6"/>
    <n v="8.199999999999999E-2"/>
    <n v="12"/>
    <n v="46"/>
    <n v="0.99850000000000005"/>
    <x v="15"/>
    <n v="0.62"/>
    <x v="19"/>
    <x v="1"/>
    <x v="0"/>
    <n v="8.89"/>
    <n v="2.897196261682243E-2"/>
  </r>
  <r>
    <n v="7.7"/>
    <n v="0.28000000000000003"/>
    <n v="0.3"/>
    <n v="2"/>
    <n v="6.2E-2"/>
    <n v="18"/>
    <n v="34"/>
    <n v="0.99519999999999997"/>
    <x v="8"/>
    <n v="0.9"/>
    <x v="33"/>
    <x v="2"/>
    <x v="1"/>
    <n v="8.2800000000000011"/>
    <n v="2.2300884955752217E-2"/>
  </r>
  <r>
    <n v="8.1999999999999993"/>
    <n v="0.24"/>
    <n v="0.34"/>
    <n v="5.0999999999999996"/>
    <n v="6.2E-2"/>
    <n v="8"/>
    <n v="22"/>
    <n v="0.99739999999999995"/>
    <x v="49"/>
    <n v="0.94"/>
    <x v="18"/>
    <x v="1"/>
    <x v="0"/>
    <n v="8.7799999999999994"/>
    <n v="2.0697247706422013E-2"/>
  </r>
  <r>
    <n v="6"/>
    <n v="0.51"/>
    <n v="0"/>
    <n v="2.1"/>
    <n v="6.4000000000000001E-2"/>
    <n v="40"/>
    <n v="54"/>
    <n v="0.995"/>
    <x v="34"/>
    <n v="0.93"/>
    <x v="19"/>
    <x v="1"/>
    <x v="0"/>
    <n v="6.51"/>
    <n v="4.4327102803738326E-2"/>
  </r>
  <r>
    <n v="8.1"/>
    <n v="0.28999999999999998"/>
    <n v="0.36"/>
    <n v="2.2000000000000002"/>
    <n v="4.8000000000000001E-2"/>
    <n v="35"/>
    <n v="53"/>
    <n v="0.995"/>
    <x v="63"/>
    <n v="1.01"/>
    <x v="26"/>
    <x v="2"/>
    <x v="1"/>
    <n v="8.7499999999999982"/>
    <n v="2.3620967741935481E-2"/>
  </r>
  <r>
    <n v="6"/>
    <n v="0.51"/>
    <n v="0"/>
    <n v="2.1"/>
    <n v="6.4000000000000001E-2"/>
    <n v="40"/>
    <n v="54"/>
    <n v="0.995"/>
    <x v="34"/>
    <n v="0.93"/>
    <x v="19"/>
    <x v="1"/>
    <x v="0"/>
    <n v="6.51"/>
    <n v="4.4327102803738326E-2"/>
  </r>
  <r>
    <n v="6.6"/>
    <n v="0.96"/>
    <n v="0"/>
    <n v="1.8"/>
    <n v="8.199999999999999E-2"/>
    <n v="5"/>
    <n v="16"/>
    <n v="0.99360000000000004"/>
    <x v="23"/>
    <n v="0.44"/>
    <x v="36"/>
    <x v="1"/>
    <x v="0"/>
    <n v="7.56"/>
    <n v="3.5495798319327733E-2"/>
  </r>
  <r>
    <n v="6.4"/>
    <n v="0.47"/>
    <n v="0.4"/>
    <n v="2.4"/>
    <n v="7.0999999999999994E-2"/>
    <n v="8"/>
    <n v="19"/>
    <n v="0.99629999999999996"/>
    <x v="69"/>
    <n v="0.73"/>
    <x v="12"/>
    <x v="1"/>
    <x v="0"/>
    <n v="7.2700000000000005"/>
    <n v="3.2367924528301881E-2"/>
  </r>
  <r>
    <n v="8.1999999999999993"/>
    <n v="0.24"/>
    <n v="0.34"/>
    <n v="5.0999999999999996"/>
    <n v="6.2E-2"/>
    <n v="8"/>
    <n v="22"/>
    <n v="0.99739999999999995"/>
    <x v="49"/>
    <n v="0.94"/>
    <x v="18"/>
    <x v="1"/>
    <x v="0"/>
    <n v="8.7799999999999994"/>
    <n v="2.0697247706422013E-2"/>
  </r>
  <r>
    <n v="9.9"/>
    <n v="0.56999999999999995"/>
    <n v="0.25"/>
    <n v="2"/>
    <n v="0.10400000000000001"/>
    <n v="12"/>
    <n v="89"/>
    <n v="0.99629999999999996"/>
    <x v="13"/>
    <n v="0.9"/>
    <x v="11"/>
    <x v="0"/>
    <x v="0"/>
    <n v="10.72"/>
    <n v="5.0792079207920796E-2"/>
  </r>
  <r>
    <n v="10"/>
    <n v="0.32"/>
    <n v="0.59"/>
    <n v="2.2000000000000002"/>
    <n v="7.6999999999999999E-2"/>
    <n v="3"/>
    <n v="15"/>
    <n v="0.99939999999999996"/>
    <x v="1"/>
    <n v="0.78"/>
    <x v="13"/>
    <x v="0"/>
    <x v="0"/>
    <n v="10.91"/>
    <n v="2.6000000000000002E-2"/>
  </r>
  <r>
    <n v="6.2"/>
    <n v="0.57999999999999996"/>
    <n v="0"/>
    <n v="1.6"/>
    <n v="6.5000000000000002E-2"/>
    <n v="8"/>
    <n v="18"/>
    <n v="0.99660000000000004"/>
    <x v="69"/>
    <n v="0.84"/>
    <x v="0"/>
    <x v="0"/>
    <x v="0"/>
    <n v="6.78"/>
    <n v="5.1829787234042544E-2"/>
  </r>
  <r>
    <n v="10"/>
    <n v="0.32"/>
    <n v="0.59"/>
    <n v="2.2000000000000002"/>
    <n v="7.6999999999999999E-2"/>
    <n v="3"/>
    <n v="15"/>
    <n v="0.99939999999999996"/>
    <x v="1"/>
    <n v="0.78"/>
    <x v="13"/>
    <x v="0"/>
    <x v="0"/>
    <n v="10.91"/>
    <n v="2.6000000000000002E-2"/>
  </r>
  <r>
    <n v="7.3"/>
    <n v="0.34"/>
    <n v="0.33"/>
    <n v="2.5"/>
    <n v="6.4000000000000001E-2"/>
    <n v="21"/>
    <n v="37"/>
    <n v="0.99519999999999997"/>
    <x v="7"/>
    <n v="0.77"/>
    <x v="44"/>
    <x v="2"/>
    <x v="1"/>
    <n v="7.97"/>
    <n v="2.1636363636363641E-2"/>
  </r>
  <r>
    <n v="7.8"/>
    <n v="0.53"/>
    <n v="0.01"/>
    <n v="1.6"/>
    <n v="7.6999999999999999E-2"/>
    <n v="3"/>
    <n v="19"/>
    <n v="0.995"/>
    <x v="3"/>
    <n v="0.46"/>
    <x v="1"/>
    <x v="0"/>
    <x v="0"/>
    <n v="8.34"/>
    <n v="2.4877551020408162E-2"/>
  </r>
  <r>
    <n v="7.7"/>
    <n v="0.64"/>
    <n v="0.21"/>
    <n v="2.2000000000000002"/>
    <n v="7.6999999999999999E-2"/>
    <n v="32"/>
    <n v="133"/>
    <n v="0.99560000000000004"/>
    <x v="63"/>
    <n v="0.45"/>
    <x v="6"/>
    <x v="0"/>
    <x v="0"/>
    <n v="8.5500000000000007"/>
    <n v="2.9090909090909094E-2"/>
  </r>
  <r>
    <n v="7.8"/>
    <n v="0.53"/>
    <n v="0.01"/>
    <n v="1.6"/>
    <n v="7.6999999999999999E-2"/>
    <n v="3"/>
    <n v="19"/>
    <n v="0.995"/>
    <x v="3"/>
    <n v="0.46"/>
    <x v="1"/>
    <x v="0"/>
    <x v="0"/>
    <n v="8.34"/>
    <n v="2.4877551020408162E-2"/>
  </r>
  <r>
    <n v="7.5"/>
    <n v="0.4"/>
    <n v="0.18"/>
    <n v="1.6"/>
    <n v="7.9000000000000001E-2"/>
    <n v="24"/>
    <n v="58"/>
    <n v="0.99650000000000005"/>
    <x v="16"/>
    <n v="0.57999999999999996"/>
    <x v="0"/>
    <x v="0"/>
    <x v="0"/>
    <n v="8.08"/>
    <n v="2.4680851063829785E-2"/>
  </r>
  <r>
    <n v="7"/>
    <n v="0.54"/>
    <n v="0"/>
    <n v="2.1"/>
    <n v="7.9000000000000001E-2"/>
    <n v="39"/>
    <n v="55"/>
    <n v="0.99560000000000004"/>
    <x v="5"/>
    <n v="0.84"/>
    <x v="25"/>
    <x v="1"/>
    <x v="0"/>
    <n v="7.54"/>
    <n v="3.9789473684210527E-2"/>
  </r>
  <r>
    <n v="6.4"/>
    <n v="0.53"/>
    <n v="0.09"/>
    <n v="3.9"/>
    <n v="0.12300000000000001"/>
    <n v="14"/>
    <n v="31"/>
    <n v="0.99680000000000002"/>
    <x v="23"/>
    <n v="0.67"/>
    <x v="27"/>
    <x v="3"/>
    <x v="2"/>
    <n v="7.0200000000000005"/>
    <n v="3.2281818181818182E-2"/>
  </r>
  <r>
    <n v="8.3000000000000007"/>
    <n v="0.26"/>
    <n v="0.37"/>
    <n v="1.4"/>
    <n v="7.5999999999999998E-2"/>
    <n v="8"/>
    <n v="23"/>
    <n v="0.99739999999999995"/>
    <x v="2"/>
    <n v="0.7"/>
    <x v="13"/>
    <x v="1"/>
    <x v="0"/>
    <n v="8.93"/>
    <n v="1.8958333333333334E-2"/>
  </r>
  <r>
    <n v="8.3000000000000007"/>
    <n v="0.26"/>
    <n v="0.37"/>
    <n v="1.4"/>
    <n v="7.5999999999999998E-2"/>
    <n v="8"/>
    <n v="23"/>
    <n v="0.99739999999999995"/>
    <x v="2"/>
    <n v="0.7"/>
    <x v="13"/>
    <x v="1"/>
    <x v="0"/>
    <n v="8.93"/>
    <n v="1.8958333333333334E-2"/>
  </r>
  <r>
    <n v="7.7"/>
    <n v="0.23"/>
    <n v="0.37"/>
    <n v="1.8"/>
    <n v="4.5999999999999999E-2"/>
    <n v="23"/>
    <n v="60"/>
    <n v="0.99709999999999999"/>
    <x v="31"/>
    <n v="0.71"/>
    <x v="44"/>
    <x v="1"/>
    <x v="0"/>
    <n v="8.3000000000000007"/>
    <n v="1.3495867768595042E-2"/>
  </r>
  <r>
    <n v="7.6"/>
    <n v="0.41"/>
    <n v="0.33"/>
    <n v="2.5"/>
    <n v="7.8E-2"/>
    <n v="6"/>
    <n v="23"/>
    <n v="0.99570000000000003"/>
    <x v="4"/>
    <n v="0.57999999999999996"/>
    <x v="40"/>
    <x v="0"/>
    <x v="0"/>
    <n v="8.34"/>
    <n v="2.1232142857142856E-2"/>
  </r>
  <r>
    <n v="7.8"/>
    <n v="0.64"/>
    <n v="0"/>
    <n v="1.9"/>
    <n v="7.2000000000000008E-2"/>
    <n v="27"/>
    <n v="55"/>
    <n v="0.99619999999999997"/>
    <x v="33"/>
    <n v="0.63"/>
    <x v="27"/>
    <x v="0"/>
    <x v="0"/>
    <n v="8.44"/>
    <n v="3.6654545454545454E-2"/>
  </r>
  <r>
    <n v="7.9"/>
    <n v="0.18"/>
    <n v="0.4"/>
    <n v="2.2000000000000002"/>
    <n v="4.9000000000000002E-2"/>
    <n v="38"/>
    <n v="67"/>
    <n v="0.996"/>
    <x v="24"/>
    <n v="0.93"/>
    <x v="33"/>
    <x v="0"/>
    <x v="0"/>
    <n v="8.48"/>
    <n v="1.4814159292035396E-2"/>
  </r>
  <r>
    <n v="7.4"/>
    <n v="0.41"/>
    <n v="0.24"/>
    <n v="1.8"/>
    <n v="6.6000000000000003E-2"/>
    <n v="18"/>
    <n v="47"/>
    <n v="0.99560000000000004"/>
    <x v="42"/>
    <n v="0.62"/>
    <x v="21"/>
    <x v="0"/>
    <x v="0"/>
    <n v="8.0500000000000007"/>
    <n v="2.444230769230769E-2"/>
  </r>
  <r>
    <n v="7.6"/>
    <n v="0.43"/>
    <n v="0.31"/>
    <n v="2.1"/>
    <n v="6.9000000000000006E-2"/>
    <n v="13"/>
    <n v="74"/>
    <n v="0.99580000000000002"/>
    <x v="2"/>
    <n v="0.54"/>
    <x v="6"/>
    <x v="1"/>
    <x v="0"/>
    <n v="8.34"/>
    <n v="2.3454545454545457E-2"/>
  </r>
  <r>
    <n v="5.9"/>
    <n v="0.44"/>
    <n v="0"/>
    <n v="1.6"/>
    <n v="4.2000000000000003E-2"/>
    <n v="3"/>
    <n v="11"/>
    <n v="0.99439999999999995"/>
    <x v="26"/>
    <n v="0.85"/>
    <x v="32"/>
    <x v="1"/>
    <x v="0"/>
    <n v="6.3400000000000007"/>
    <n v="3.1965811965811969E-2"/>
  </r>
  <r>
    <n v="6.1"/>
    <n v="0.4"/>
    <n v="0.16"/>
    <n v="1.8"/>
    <n v="6.9000000000000006E-2"/>
    <n v="11"/>
    <n v="25"/>
    <n v="0.99550000000000005"/>
    <x v="21"/>
    <n v="0.74"/>
    <x v="11"/>
    <x v="2"/>
    <x v="1"/>
    <n v="6.66"/>
    <n v="2.9306930693069305E-2"/>
  </r>
  <r>
    <n v="10.199999999999999"/>
    <n v="0.54"/>
    <n v="0.37"/>
    <n v="15.4"/>
    <n v="0.214"/>
    <n v="55"/>
    <n v="95"/>
    <n v="1.00369"/>
    <x v="64"/>
    <n v="0.77"/>
    <x v="9"/>
    <x v="1"/>
    <x v="0"/>
    <n v="11.109999999999998"/>
    <n v="4.6200000000000005E-2"/>
  </r>
  <r>
    <n v="10.199999999999999"/>
    <n v="0.54"/>
    <n v="0.37"/>
    <n v="15.4"/>
    <n v="0.214"/>
    <n v="55"/>
    <n v="95"/>
    <n v="1.00369"/>
    <x v="64"/>
    <n v="0.77"/>
    <x v="9"/>
    <x v="1"/>
    <x v="0"/>
    <n v="11.109999999999998"/>
    <n v="4.6200000000000005E-2"/>
  </r>
  <r>
    <n v="10"/>
    <n v="0.38"/>
    <n v="0.38"/>
    <n v="1.6"/>
    <n v="0.16899999999999998"/>
    <n v="27"/>
    <n v="90"/>
    <n v="0.99913999999999992"/>
    <x v="30"/>
    <n v="0.65"/>
    <x v="53"/>
    <x v="0"/>
    <x v="0"/>
    <n v="10.760000000000002"/>
    <n v="2.9058823529411769E-2"/>
  </r>
  <r>
    <n v="6.8"/>
    <n v="0.91500000000000004"/>
    <n v="0.28999999999999998"/>
    <n v="4.8"/>
    <n v="7.0000000000000007E-2"/>
    <n v="15"/>
    <n v="39"/>
    <n v="0.99577000000000004"/>
    <x v="46"/>
    <n v="0.54"/>
    <x v="42"/>
    <x v="0"/>
    <x v="0"/>
    <n v="8.004999999999999"/>
    <n v="4.4513513513513521E-2"/>
  </r>
  <r>
    <n v="7"/>
    <n v="0.59"/>
    <n v="0"/>
    <n v="1.7"/>
    <n v="5.2000000000000005E-2"/>
    <n v="3"/>
    <n v="8"/>
    <n v="0.996"/>
    <x v="31"/>
    <n v="0.47"/>
    <x v="15"/>
    <x v="0"/>
    <x v="0"/>
    <n v="7.59"/>
    <n v="2.6922330097087378E-2"/>
  </r>
  <r>
    <n v="7.3"/>
    <n v="0.67"/>
    <n v="0.02"/>
    <n v="2.2000000000000002"/>
    <n v="7.2000000000000008E-2"/>
    <n v="31"/>
    <n v="92"/>
    <n v="0.99565999999999999"/>
    <x v="29"/>
    <n v="0.68"/>
    <x v="54"/>
    <x v="1"/>
    <x v="0"/>
    <n v="7.9899999999999993"/>
    <n v="4.1168674698795066E-2"/>
  </r>
  <r>
    <n v="7.2"/>
    <n v="0.37"/>
    <n v="0.32"/>
    <n v="2"/>
    <n v="6.2E-2"/>
    <n v="15"/>
    <n v="28"/>
    <n v="0.99470000000000003"/>
    <x v="22"/>
    <n v="0.73"/>
    <x v="33"/>
    <x v="2"/>
    <x v="1"/>
    <n v="7.8900000000000006"/>
    <n v="2.3902654867256637E-2"/>
  </r>
  <r>
    <n v="7.4"/>
    <n v="0.78500000000000003"/>
    <n v="0.19"/>
    <n v="5.2"/>
    <n v="9.4E-2"/>
    <n v="19"/>
    <n v="98"/>
    <n v="0.99712999999999996"/>
    <x v="3"/>
    <n v="0.52"/>
    <x v="55"/>
    <x v="1"/>
    <x v="0"/>
    <n v="8.375"/>
    <n v="4.2668989547038315E-2"/>
  </r>
  <r>
    <n v="6.9"/>
    <n v="0.63"/>
    <n v="0.02"/>
    <n v="1.9"/>
    <n v="7.8E-2"/>
    <n v="18"/>
    <n v="30"/>
    <n v="0.99712000000000012"/>
    <x v="20"/>
    <n v="0.75"/>
    <x v="1"/>
    <x v="0"/>
    <x v="0"/>
    <n v="7.55"/>
    <n v="4.8214285714285716E-2"/>
  </r>
  <r>
    <n v="6.9"/>
    <n v="0.57999999999999996"/>
    <n v="0.2"/>
    <n v="1.75"/>
    <n v="5.7999999999999996E-2"/>
    <n v="8"/>
    <n v="22"/>
    <n v="0.9932200000000001"/>
    <x v="12"/>
    <n v="0.49"/>
    <x v="32"/>
    <x v="0"/>
    <x v="0"/>
    <n v="7.6800000000000006"/>
    <n v="2.4290598290598289E-2"/>
  </r>
  <r>
    <n v="7.3"/>
    <n v="0.67"/>
    <n v="0.02"/>
    <n v="2.2000000000000002"/>
    <n v="7.2000000000000008E-2"/>
    <n v="31"/>
    <n v="92"/>
    <n v="0.99565999999999999"/>
    <x v="29"/>
    <n v="0.68"/>
    <x v="42"/>
    <x v="1"/>
    <x v="0"/>
    <n v="7.9899999999999993"/>
    <n v="4.1045045045045053E-2"/>
  </r>
  <r>
    <n v="7.4"/>
    <n v="0.78500000000000003"/>
    <n v="0.19"/>
    <n v="5.2"/>
    <n v="9.4E-2"/>
    <n v="19"/>
    <n v="98"/>
    <n v="0.99712999999999996"/>
    <x v="3"/>
    <n v="0.52"/>
    <x v="13"/>
    <x v="1"/>
    <x v="0"/>
    <n v="8.375"/>
    <n v="4.2520833333333334E-2"/>
  </r>
  <r>
    <n v="6.9"/>
    <n v="0.63"/>
    <n v="0.02"/>
    <n v="1.9"/>
    <n v="7.8E-2"/>
    <n v="18"/>
    <n v="30"/>
    <n v="0.99712000000000012"/>
    <x v="20"/>
    <n v="0.75"/>
    <x v="1"/>
    <x v="0"/>
    <x v="0"/>
    <n v="7.55"/>
    <n v="4.8214285714285716E-2"/>
  </r>
  <r>
    <n v="6.8"/>
    <n v="0.67"/>
    <n v="0"/>
    <n v="1.9"/>
    <n v="0.08"/>
    <n v="22"/>
    <n v="39"/>
    <n v="0.99701000000000006"/>
    <x v="20"/>
    <n v="0.74"/>
    <x v="10"/>
    <x v="0"/>
    <x v="0"/>
    <n v="7.47"/>
    <n v="5.1113402061855676E-2"/>
  </r>
  <r>
    <n v="6.9"/>
    <n v="0.57999999999999996"/>
    <n v="0.01"/>
    <n v="1.9"/>
    <n v="0.08"/>
    <n v="40"/>
    <n v="54"/>
    <n v="0.99682999999999988"/>
    <x v="20"/>
    <n v="0.73"/>
    <x v="10"/>
    <x v="0"/>
    <x v="0"/>
    <n v="7.49"/>
    <n v="4.3649484536082472E-2"/>
  </r>
  <r>
    <n v="7.2"/>
    <n v="0.38"/>
    <n v="0.31"/>
    <n v="2"/>
    <n v="5.5999999999999994E-2"/>
    <n v="15"/>
    <n v="29"/>
    <n v="0.99472000000000005"/>
    <x v="22"/>
    <n v="0.76"/>
    <x v="33"/>
    <x v="4"/>
    <x v="1"/>
    <n v="7.89"/>
    <n v="2.5557522123893804E-2"/>
  </r>
  <r>
    <n v="7.2"/>
    <n v="0.37"/>
    <n v="0.32"/>
    <n v="2"/>
    <n v="6.2E-2"/>
    <n v="15"/>
    <n v="28"/>
    <n v="0.99470000000000003"/>
    <x v="22"/>
    <n v="0.73"/>
    <x v="33"/>
    <x v="2"/>
    <x v="1"/>
    <n v="7.8900000000000006"/>
    <n v="2.3902654867256637E-2"/>
  </r>
  <r>
    <n v="7.8"/>
    <n v="0.32"/>
    <n v="0.44"/>
    <n v="2.7"/>
    <n v="0.10400000000000001"/>
    <n v="8"/>
    <n v="17"/>
    <n v="0.9973200000000001"/>
    <x v="24"/>
    <n v="0.78"/>
    <x v="27"/>
    <x v="2"/>
    <x v="1"/>
    <n v="8.5599999999999987"/>
    <n v="2.2690909090909091E-2"/>
  </r>
  <r>
    <n v="6.6"/>
    <n v="0.57999999999999996"/>
    <n v="0.02"/>
    <n v="2"/>
    <n v="6.2E-2"/>
    <n v="37"/>
    <n v="53"/>
    <n v="0.99373999999999996"/>
    <x v="7"/>
    <n v="0.76"/>
    <x v="41"/>
    <x v="2"/>
    <x v="1"/>
    <n v="7.1999999999999993"/>
    <n v="3.7999999999999999E-2"/>
  </r>
  <r>
    <n v="7.6"/>
    <n v="0.49"/>
    <n v="0.33"/>
    <n v="1.9"/>
    <n v="7.400000000000001E-2"/>
    <n v="27"/>
    <n v="85"/>
    <n v="0.99706000000000006"/>
    <x v="31"/>
    <n v="0.57999999999999996"/>
    <x v="9"/>
    <x v="0"/>
    <x v="0"/>
    <n v="8.42"/>
    <n v="3.1577777777777774E-2"/>
  </r>
  <r>
    <n v="11.7"/>
    <n v="0.45"/>
    <n v="0.63"/>
    <n v="2.2000000000000002"/>
    <n v="7.2999999999999995E-2"/>
    <n v="7"/>
    <n v="23"/>
    <n v="0.99973999999999996"/>
    <x v="25"/>
    <n v="0.69"/>
    <x v="18"/>
    <x v="1"/>
    <x v="0"/>
    <n v="12.78"/>
    <n v="2.8486238532110089E-2"/>
  </r>
  <r>
    <n v="6.5"/>
    <n v="0.9"/>
    <n v="0"/>
    <n v="1.6"/>
    <n v="5.2000000000000005E-2"/>
    <n v="9"/>
    <n v="17"/>
    <n v="0.99467000000000005"/>
    <x v="23"/>
    <n v="0.63"/>
    <x v="18"/>
    <x v="1"/>
    <x v="0"/>
    <n v="7.4"/>
    <n v="5.2018348623853218E-2"/>
  </r>
  <r>
    <n v="6"/>
    <n v="0.54"/>
    <n v="0.06"/>
    <n v="1.8"/>
    <n v="0.05"/>
    <n v="38"/>
    <n v="89"/>
    <n v="0.99236000000000002"/>
    <x v="4"/>
    <n v="0.5"/>
    <x v="56"/>
    <x v="1"/>
    <x v="0"/>
    <n v="6.6"/>
    <n v="2.5592417061611375E-2"/>
  </r>
  <r>
    <n v="7.6"/>
    <n v="0.49"/>
    <n v="0.33"/>
    <n v="1.9"/>
    <n v="7.400000000000001E-2"/>
    <n v="27"/>
    <n v="85"/>
    <n v="0.99706000000000006"/>
    <x v="31"/>
    <n v="0.57999999999999996"/>
    <x v="9"/>
    <x v="0"/>
    <x v="0"/>
    <n v="8.42"/>
    <n v="3.1577777777777774E-2"/>
  </r>
  <r>
    <n v="8.4"/>
    <n v="0.28999999999999998"/>
    <n v="0.4"/>
    <n v="1.7"/>
    <n v="6.7000000000000004E-2"/>
    <n v="8"/>
    <n v="20"/>
    <n v="0.99602999999999997"/>
    <x v="5"/>
    <n v="0.6"/>
    <x v="4"/>
    <x v="0"/>
    <x v="0"/>
    <n v="9.09"/>
    <n v="1.657142857142857E-2"/>
  </r>
  <r>
    <n v="7.9"/>
    <n v="0.2"/>
    <n v="0.35"/>
    <n v="1.7"/>
    <n v="5.4000000000000006E-2"/>
    <n v="7"/>
    <n v="15"/>
    <n v="0.99457999999999991"/>
    <x v="29"/>
    <n v="0.8"/>
    <x v="36"/>
    <x v="2"/>
    <x v="1"/>
    <n v="8.4499999999999993"/>
    <n v="1.3445378151260507E-2"/>
  </r>
  <r>
    <n v="6.4"/>
    <n v="0.42"/>
    <n v="0.09"/>
    <n v="2.2999999999999998"/>
    <n v="5.4000000000000006E-2"/>
    <n v="34"/>
    <n v="64"/>
    <n v="0.99724000000000002"/>
    <x v="31"/>
    <n v="0.68"/>
    <x v="21"/>
    <x v="1"/>
    <x v="0"/>
    <n v="6.91"/>
    <n v="2.7461538461538461E-2"/>
  </r>
  <r>
    <n v="6.2"/>
    <n v="0.78500000000000003"/>
    <n v="0"/>
    <n v="2.1"/>
    <n v="0.06"/>
    <n v="6"/>
    <n v="13"/>
    <n v="0.99663999999999997"/>
    <x v="52"/>
    <n v="0.61"/>
    <x v="2"/>
    <x v="3"/>
    <x v="2"/>
    <n v="6.9850000000000003"/>
    <n v="4.7884999999999997E-2"/>
  </r>
  <r>
    <n v="6.8"/>
    <n v="0.64"/>
    <n v="0.03"/>
    <n v="2.2999999999999998"/>
    <n v="7.4999999999999997E-2"/>
    <n v="14"/>
    <n v="31"/>
    <n v="0.99544999999999995"/>
    <x v="6"/>
    <n v="0.57999999999999996"/>
    <x v="21"/>
    <x v="1"/>
    <x v="0"/>
    <n v="7.47"/>
    <n v="3.569230769230769E-2"/>
  </r>
  <r>
    <n v="6.9"/>
    <n v="0.63"/>
    <n v="0.01"/>
    <n v="2.4"/>
    <n v="7.5999999999999998E-2"/>
    <n v="14"/>
    <n v="39"/>
    <n v="0.9952200000000001"/>
    <x v="16"/>
    <n v="0.53"/>
    <x v="14"/>
    <x v="1"/>
    <x v="0"/>
    <n v="7.54"/>
    <n v="3.0916666666666669E-2"/>
  </r>
  <r>
    <n v="6.8"/>
    <n v="0.59"/>
    <n v="0.1"/>
    <n v="1.7"/>
    <n v="6.3E-2"/>
    <n v="34"/>
    <n v="53"/>
    <n v="0.99580000000000002"/>
    <x v="31"/>
    <n v="0.67"/>
    <x v="10"/>
    <x v="0"/>
    <x v="0"/>
    <n v="7.4899999999999993"/>
    <n v="4.0752577319587632E-2"/>
  </r>
  <r>
    <n v="6.8"/>
    <n v="0.59"/>
    <n v="0.1"/>
    <n v="1.7"/>
    <n v="6.3E-2"/>
    <n v="34"/>
    <n v="53"/>
    <n v="0.99580000000000002"/>
    <x v="31"/>
    <n v="0.67"/>
    <x v="10"/>
    <x v="0"/>
    <x v="0"/>
    <n v="7.4899999999999993"/>
    <n v="4.0752577319587632E-2"/>
  </r>
  <r>
    <n v="7.3"/>
    <n v="0.48"/>
    <n v="0.32"/>
    <n v="2.1"/>
    <n v="6.2E-2"/>
    <n v="31"/>
    <n v="54"/>
    <n v="0.99727999999999994"/>
    <x v="4"/>
    <n v="0.65"/>
    <x v="2"/>
    <x v="2"/>
    <x v="1"/>
    <n v="8.1"/>
    <n v="3.1199999999999999E-2"/>
  </r>
  <r>
    <n v="6.7"/>
    <n v="1.04"/>
    <n v="0.08"/>
    <n v="2.2999999999999998"/>
    <n v="6.7000000000000004E-2"/>
    <n v="19"/>
    <n v="32"/>
    <n v="0.99647999999999992"/>
    <x v="14"/>
    <n v="0.56999999999999995"/>
    <x v="27"/>
    <x v="3"/>
    <x v="2"/>
    <n v="7.82"/>
    <n v="5.3890909090909093E-2"/>
  </r>
  <r>
    <n v="7.3"/>
    <n v="0.48"/>
    <n v="0.32"/>
    <n v="2.1"/>
    <n v="6.2E-2"/>
    <n v="31"/>
    <n v="54"/>
    <n v="0.99727999999999994"/>
    <x v="4"/>
    <n v="0.65"/>
    <x v="2"/>
    <x v="2"/>
    <x v="1"/>
    <n v="8.1"/>
    <n v="3.1199999999999999E-2"/>
  </r>
  <r>
    <n v="7.3"/>
    <n v="0.98"/>
    <n v="0.05"/>
    <n v="2.1"/>
    <n v="6.0999999999999999E-2"/>
    <n v="20"/>
    <n v="49"/>
    <n v="0.99704999999999999"/>
    <x v="33"/>
    <n v="0.55000000000000004"/>
    <x v="10"/>
    <x v="5"/>
    <x v="2"/>
    <n v="8.33"/>
    <n v="5.556701030927836E-2"/>
  </r>
  <r>
    <n v="10"/>
    <n v="0.69"/>
    <n v="0.11"/>
    <n v="1.4"/>
    <n v="8.4000000000000005E-2"/>
    <n v="8"/>
    <n v="24"/>
    <n v="0.99577999999999989"/>
    <x v="72"/>
    <n v="0.47"/>
    <x v="10"/>
    <x v="0"/>
    <x v="0"/>
    <n v="10.799999999999999"/>
    <n v="3.343298969072165E-2"/>
  </r>
  <r>
    <n v="6.7"/>
    <n v="0.7"/>
    <n v="0.08"/>
    <n v="3.75"/>
    <n v="6.7000000000000004E-2"/>
    <n v="8"/>
    <n v="16"/>
    <n v="0.99334"/>
    <x v="15"/>
    <n v="0.52"/>
    <x v="30"/>
    <x v="0"/>
    <x v="0"/>
    <n v="7.48"/>
    <n v="2.8888888888888888E-2"/>
  </r>
  <r>
    <n v="7.6"/>
    <n v="0.35"/>
    <n v="0.6"/>
    <n v="2.6"/>
    <n v="7.2999999999999995E-2"/>
    <n v="23"/>
    <n v="44"/>
    <n v="0.99656"/>
    <x v="12"/>
    <n v="0.79"/>
    <x v="42"/>
    <x v="1"/>
    <x v="0"/>
    <n v="8.5499999999999989"/>
    <n v="2.4909909909909909E-2"/>
  </r>
  <r>
    <n v="6.1"/>
    <n v="0.6"/>
    <n v="0.08"/>
    <n v="1.8"/>
    <n v="7.0999999999999994E-2"/>
    <n v="14"/>
    <n v="45"/>
    <n v="0.99336000000000002"/>
    <x v="12"/>
    <n v="0.54"/>
    <x v="27"/>
    <x v="0"/>
    <x v="0"/>
    <n v="6.7799999999999994"/>
    <n v="2.9454545454545455E-2"/>
  </r>
  <r>
    <n v="9.9"/>
    <n v="0.5"/>
    <n v="0.5"/>
    <n v="13.8"/>
    <n v="0.20499999999999999"/>
    <n v="48"/>
    <n v="82"/>
    <n v="1.0024200000000001"/>
    <x v="3"/>
    <n v="0.75"/>
    <x v="57"/>
    <x v="0"/>
    <x v="0"/>
    <n v="10.9"/>
    <n v="4.261363636363636E-2"/>
  </r>
  <r>
    <n v="5.3"/>
    <n v="0.47"/>
    <n v="0.11"/>
    <n v="2.2000000000000002"/>
    <n v="4.8000000000000001E-2"/>
    <n v="16"/>
    <n v="89"/>
    <n v="0.99182000000000003"/>
    <x v="34"/>
    <n v="0.88"/>
    <x v="58"/>
    <x v="2"/>
    <x v="1"/>
    <n v="5.88"/>
    <n v="3.0486486486486414E-2"/>
  </r>
  <r>
    <n v="9.9"/>
    <n v="0.5"/>
    <n v="0.5"/>
    <n v="13.8"/>
    <n v="0.20499999999999999"/>
    <n v="48"/>
    <n v="82"/>
    <n v="1.0024200000000001"/>
    <x v="3"/>
    <n v="0.75"/>
    <x v="57"/>
    <x v="0"/>
    <x v="0"/>
    <n v="10.9"/>
    <n v="4.261363636363636E-2"/>
  </r>
  <r>
    <n v="5.3"/>
    <n v="0.47"/>
    <n v="0.11"/>
    <n v="2.2000000000000002"/>
    <n v="4.8000000000000001E-2"/>
    <n v="16"/>
    <n v="89"/>
    <n v="0.99182000000000003"/>
    <x v="34"/>
    <n v="0.88"/>
    <x v="49"/>
    <x v="2"/>
    <x v="1"/>
    <n v="5.88"/>
    <n v="3.041176470588235E-2"/>
  </r>
  <r>
    <n v="7.1"/>
    <n v="0.875"/>
    <n v="0.05"/>
    <n v="5.7"/>
    <n v="8.199999999999999E-2"/>
    <n v="3"/>
    <n v="14"/>
    <n v="0.99807999999999997"/>
    <x v="20"/>
    <n v="0.52"/>
    <x v="17"/>
    <x v="5"/>
    <x v="2"/>
    <n v="8.0250000000000004"/>
    <n v="4.460784313725491E-2"/>
  </r>
  <r>
    <n v="8.1999999999999993"/>
    <n v="0.28000000000000003"/>
    <n v="0.6"/>
    <n v="3"/>
    <n v="0.10400000000000001"/>
    <n v="10"/>
    <n v="22"/>
    <n v="0.99827999999999995"/>
    <x v="5"/>
    <n v="0.68"/>
    <x v="12"/>
    <x v="0"/>
    <x v="0"/>
    <n v="9.0799999999999983"/>
    <n v="1.7962264150943402E-2"/>
  </r>
  <r>
    <n v="5.6"/>
    <n v="0.62"/>
    <n v="0.03"/>
    <n v="1.5"/>
    <n v="0.08"/>
    <n v="6"/>
    <n v="13"/>
    <n v="0.99497999999999998"/>
    <x v="83"/>
    <n v="0.62"/>
    <x v="11"/>
    <x v="3"/>
    <x v="2"/>
    <n v="6.25"/>
    <n v="3.8059405940594065E-2"/>
  </r>
  <r>
    <n v="8.1999999999999993"/>
    <n v="0.28000000000000003"/>
    <n v="0.6"/>
    <n v="3"/>
    <n v="0.10400000000000001"/>
    <n v="10"/>
    <n v="22"/>
    <n v="0.99827999999999995"/>
    <x v="5"/>
    <n v="0.68"/>
    <x v="12"/>
    <x v="0"/>
    <x v="0"/>
    <n v="9.0799999999999983"/>
    <n v="1.7962264150943402E-2"/>
  </r>
  <r>
    <n v="7.2"/>
    <n v="0.57999999999999996"/>
    <n v="0.54"/>
    <n v="2.1"/>
    <n v="0.114"/>
    <n v="3"/>
    <n v="9"/>
    <n v="0.99718999999999991"/>
    <x v="24"/>
    <n v="0.56999999999999995"/>
    <x v="15"/>
    <x v="3"/>
    <x v="2"/>
    <n v="8.32"/>
    <n v="3.2097087378640768E-2"/>
  </r>
  <r>
    <n v="8.1"/>
    <n v="0.33"/>
    <n v="0.44"/>
    <n v="1.5"/>
    <n v="4.2000000000000003E-2"/>
    <n v="6"/>
    <n v="12"/>
    <n v="0.99542000000000008"/>
    <x v="7"/>
    <n v="0.61"/>
    <x v="19"/>
    <x v="0"/>
    <x v="0"/>
    <n v="8.8699999999999992"/>
    <n v="1.8813084112149533E-2"/>
  </r>
  <r>
    <n v="6.8"/>
    <n v="0.91"/>
    <n v="0.06"/>
    <n v="2"/>
    <n v="0.06"/>
    <n v="4"/>
    <n v="11"/>
    <n v="0.99592000000000003"/>
    <x v="46"/>
    <n v="0.64"/>
    <x v="18"/>
    <x v="3"/>
    <x v="2"/>
    <n v="7.77"/>
    <n v="5.3431192660550457E-2"/>
  </r>
  <r>
    <n v="7"/>
    <n v="0.65500000000000003"/>
    <n v="0.16"/>
    <n v="2.1"/>
    <n v="7.400000000000001E-2"/>
    <n v="8"/>
    <n v="25"/>
    <n v="0.99606000000000006"/>
    <x v="42"/>
    <n v="0.55000000000000004"/>
    <x v="10"/>
    <x v="0"/>
    <x v="0"/>
    <n v="7.8150000000000004"/>
    <n v="3.7139175257731971E-2"/>
  </r>
  <r>
    <n v="6.8"/>
    <n v="0.68"/>
    <n v="0.21"/>
    <n v="2.1"/>
    <n v="7.0000000000000007E-2"/>
    <n v="9"/>
    <n v="23"/>
    <n v="0.99546000000000001"/>
    <x v="12"/>
    <n v="0.6"/>
    <x v="15"/>
    <x v="0"/>
    <x v="0"/>
    <n v="7.6899999999999995"/>
    <n v="3.961165048543689E-2"/>
  </r>
  <r>
    <n v="6"/>
    <n v="0.64"/>
    <n v="0.05"/>
    <n v="1.9"/>
    <n v="6.6000000000000003E-2"/>
    <n v="9"/>
    <n v="17"/>
    <n v="0.99496000000000007"/>
    <x v="14"/>
    <n v="0.78"/>
    <x v="12"/>
    <x v="0"/>
    <x v="0"/>
    <n v="6.6899999999999995"/>
    <n v="4.7094339622641514E-2"/>
  </r>
  <r>
    <n v="5.6"/>
    <n v="0.54"/>
    <n v="0.04"/>
    <n v="1.7"/>
    <n v="4.9000000000000002E-2"/>
    <n v="5"/>
    <n v="13"/>
    <n v="0.99419999999999997"/>
    <x v="79"/>
    <n v="0.57999999999999996"/>
    <x v="25"/>
    <x v="0"/>
    <x v="0"/>
    <n v="6.18"/>
    <n v="2.7473684210526313E-2"/>
  </r>
  <r>
    <n v="6.2"/>
    <n v="0.56999999999999995"/>
    <n v="0.1"/>
    <n v="2.1"/>
    <n v="4.8000000000000001E-2"/>
    <n v="4"/>
    <n v="11"/>
    <n v="0.99447999999999992"/>
    <x v="32"/>
    <n v="0.76"/>
    <x v="14"/>
    <x v="1"/>
    <x v="0"/>
    <n v="6.87"/>
    <n v="4.0111111111111104E-2"/>
  </r>
  <r>
    <n v="7.1"/>
    <n v="0.22"/>
    <n v="0.49"/>
    <n v="1.8"/>
    <n v="3.9E-2"/>
    <n v="8"/>
    <n v="18"/>
    <n v="0.99343999999999999"/>
    <x v="5"/>
    <n v="0.56000000000000005"/>
    <x v="26"/>
    <x v="1"/>
    <x v="0"/>
    <n v="7.81"/>
    <n v="9.9354838709677425E-3"/>
  </r>
  <r>
    <n v="5.6"/>
    <n v="0.54"/>
    <n v="0.04"/>
    <n v="1.7"/>
    <n v="4.9000000000000002E-2"/>
    <n v="5"/>
    <n v="13"/>
    <n v="0.99419999999999997"/>
    <x v="79"/>
    <n v="0.57999999999999996"/>
    <x v="25"/>
    <x v="0"/>
    <x v="0"/>
    <n v="6.18"/>
    <n v="2.7473684210526313E-2"/>
  </r>
  <r>
    <n v="6.2"/>
    <n v="0.65"/>
    <n v="0.06"/>
    <n v="1.6"/>
    <n v="0.05"/>
    <n v="6"/>
    <n v="18"/>
    <n v="0.99347999999999992"/>
    <x v="55"/>
    <n v="0.54"/>
    <x v="59"/>
    <x v="0"/>
    <x v="0"/>
    <n v="6.91"/>
    <n v="2.93723849372385E-2"/>
  </r>
  <r>
    <n v="7.7"/>
    <n v="0.54"/>
    <n v="0.26"/>
    <n v="1.9"/>
    <n v="8.900000000000001E-2"/>
    <n v="23"/>
    <n v="147"/>
    <n v="0.99636000000000002"/>
    <x v="2"/>
    <n v="0.59"/>
    <x v="10"/>
    <x v="0"/>
    <x v="0"/>
    <n v="8.5"/>
    <n v="3.2845360824742272E-2"/>
  </r>
  <r>
    <n v="6.4"/>
    <n v="0.31"/>
    <n v="0.09"/>
    <n v="1.4"/>
    <n v="6.6000000000000003E-2"/>
    <n v="15"/>
    <n v="28"/>
    <n v="0.99458999999999997"/>
    <x v="21"/>
    <n v="0.7"/>
    <x v="2"/>
    <x v="2"/>
    <x v="1"/>
    <n v="6.8"/>
    <n v="2.1700000000000001E-2"/>
  </r>
  <r>
    <n v="7"/>
    <n v="0.43"/>
    <n v="0.02"/>
    <n v="1.9"/>
    <n v="0.08"/>
    <n v="15"/>
    <n v="28"/>
    <n v="0.99492000000000003"/>
    <x v="7"/>
    <n v="0.81"/>
    <x v="12"/>
    <x v="1"/>
    <x v="0"/>
    <n v="7.4499999999999993"/>
    <n v="3.2858490566037735E-2"/>
  </r>
  <r>
    <n v="7.7"/>
    <n v="0.54"/>
    <n v="0.26"/>
    <n v="1.9"/>
    <n v="8.900000000000001E-2"/>
    <n v="23"/>
    <n v="147"/>
    <n v="0.99636000000000002"/>
    <x v="2"/>
    <n v="0.59"/>
    <x v="10"/>
    <x v="0"/>
    <x v="0"/>
    <n v="8.5"/>
    <n v="3.2845360824742272E-2"/>
  </r>
  <r>
    <n v="6.9"/>
    <n v="0.74"/>
    <n v="0.03"/>
    <n v="2.2999999999999998"/>
    <n v="5.4000000000000006E-2"/>
    <n v="7"/>
    <n v="16"/>
    <n v="0.99507999999999996"/>
    <x v="19"/>
    <n v="0.63"/>
    <x v="24"/>
    <x v="1"/>
    <x v="0"/>
    <n v="7.6700000000000008"/>
    <n v="4.0539130434782612E-2"/>
  </r>
  <r>
    <n v="6.6"/>
    <n v="0.89500000000000002"/>
    <n v="0.04"/>
    <n v="2.2999999999999998"/>
    <n v="6.8000000000000005E-2"/>
    <n v="7"/>
    <n v="13"/>
    <n v="0.99582000000000004"/>
    <x v="46"/>
    <n v="0.57999999999999996"/>
    <x v="14"/>
    <x v="1"/>
    <x v="0"/>
    <n v="7.5349999999999993"/>
    <n v="4.806481481481481E-2"/>
  </r>
  <r>
    <n v="6.9"/>
    <n v="0.74"/>
    <n v="0.03"/>
    <n v="2.2999999999999998"/>
    <n v="5.4000000000000006E-2"/>
    <n v="7"/>
    <n v="16"/>
    <n v="0.99507999999999996"/>
    <x v="19"/>
    <n v="0.63"/>
    <x v="24"/>
    <x v="1"/>
    <x v="0"/>
    <n v="7.6700000000000008"/>
    <n v="4.0539130434782612E-2"/>
  </r>
  <r>
    <n v="7.5"/>
    <n v="0.72499999999999998"/>
    <n v="0.04"/>
    <n v="1.5"/>
    <n v="7.5999999999999998E-2"/>
    <n v="8"/>
    <n v="15"/>
    <n v="0.99507999999999996"/>
    <x v="2"/>
    <n v="0.53"/>
    <x v="13"/>
    <x v="0"/>
    <x v="0"/>
    <n v="8.2649999999999988"/>
    <n v="4.0026041666666665E-2"/>
  </r>
  <r>
    <n v="7.8"/>
    <n v="0.82"/>
    <n v="0.28999999999999998"/>
    <n v="4.3"/>
    <n v="8.3000000000000004E-2"/>
    <n v="21"/>
    <n v="64"/>
    <n v="0.99642000000000008"/>
    <x v="3"/>
    <n v="0.53"/>
    <x v="0"/>
    <x v="0"/>
    <x v="0"/>
    <n v="8.9099999999999984"/>
    <n v="4.6234042553191489E-2"/>
  </r>
  <r>
    <n v="7.3"/>
    <n v="0.58499999999999996"/>
    <n v="0.18"/>
    <n v="2.4"/>
    <n v="7.8E-2"/>
    <n v="15"/>
    <n v="60"/>
    <n v="0.99637999999999993"/>
    <x v="33"/>
    <n v="0.54"/>
    <x v="1"/>
    <x v="0"/>
    <x v="0"/>
    <n v="8.0649999999999995"/>
    <n v="3.223469387755102E-2"/>
  </r>
  <r>
    <n v="6.2"/>
    <n v="0.44"/>
    <n v="0.39"/>
    <n v="2.5"/>
    <n v="7.6999999999999999E-2"/>
    <n v="6"/>
    <n v="14"/>
    <n v="0.99555000000000005"/>
    <x v="0"/>
    <n v="0.69"/>
    <x v="27"/>
    <x v="1"/>
    <x v="0"/>
    <n v="7.03"/>
    <n v="2.76E-2"/>
  </r>
  <r>
    <n v="7.5"/>
    <n v="0.38"/>
    <n v="0.56999999999999995"/>
    <n v="2.2999999999999998"/>
    <n v="0.106"/>
    <n v="5"/>
    <n v="12"/>
    <n v="0.99604999999999999"/>
    <x v="6"/>
    <n v="0.55000000000000004"/>
    <x v="25"/>
    <x v="1"/>
    <x v="0"/>
    <n v="8.4499999999999993"/>
    <n v="1.8333333333333333E-2"/>
  </r>
  <r>
    <n v="6.7"/>
    <n v="0.76"/>
    <n v="0.02"/>
    <n v="1.8"/>
    <n v="7.8E-2"/>
    <n v="6"/>
    <n v="12"/>
    <n v="0.996"/>
    <x v="66"/>
    <n v="0.63"/>
    <x v="60"/>
    <x v="5"/>
    <x v="2"/>
    <n v="7.4799999999999995"/>
    <n v="4.8120603015075383E-2"/>
  </r>
  <r>
    <n v="6.8"/>
    <n v="0.81"/>
    <n v="0.05"/>
    <n v="2"/>
    <n v="7.0000000000000007E-2"/>
    <n v="6"/>
    <n v="14"/>
    <n v="0.99562000000000006"/>
    <x v="0"/>
    <n v="0.66"/>
    <x v="14"/>
    <x v="1"/>
    <x v="0"/>
    <n v="7.6599999999999993"/>
    <n v="4.9500000000000002E-2"/>
  </r>
  <r>
    <n v="7.5"/>
    <n v="0.38"/>
    <n v="0.56999999999999995"/>
    <n v="2.2999999999999998"/>
    <n v="0.106"/>
    <n v="5"/>
    <n v="12"/>
    <n v="0.99604999999999999"/>
    <x v="6"/>
    <n v="0.55000000000000004"/>
    <x v="25"/>
    <x v="1"/>
    <x v="0"/>
    <n v="8.4499999999999993"/>
    <n v="1.8333333333333333E-2"/>
  </r>
  <r>
    <n v="7.1"/>
    <n v="0.27"/>
    <n v="0.6"/>
    <n v="2.1"/>
    <n v="7.400000000000001E-2"/>
    <n v="17"/>
    <n v="25"/>
    <n v="0.99813999999999992"/>
    <x v="12"/>
    <n v="0.72"/>
    <x v="12"/>
    <x v="1"/>
    <x v="0"/>
    <n v="7.9699999999999989"/>
    <n v="1.8339622641509436E-2"/>
  </r>
  <r>
    <n v="7.9"/>
    <n v="0.18"/>
    <n v="0.4"/>
    <n v="1.8"/>
    <n v="6.2E-2"/>
    <n v="7"/>
    <n v="20"/>
    <n v="0.99409999999999998"/>
    <x v="8"/>
    <n v="0.7"/>
    <x v="42"/>
    <x v="0"/>
    <x v="0"/>
    <n v="8.48"/>
    <n v="1.1351351351351352E-2"/>
  </r>
  <r>
    <n v="6.4"/>
    <n v="0.36"/>
    <n v="0.21"/>
    <n v="2.2000000000000002"/>
    <n v="4.7E-2"/>
    <n v="26"/>
    <n v="48"/>
    <n v="0.99661"/>
    <x v="17"/>
    <n v="0.77"/>
    <x v="10"/>
    <x v="1"/>
    <x v="0"/>
    <n v="6.9700000000000006"/>
    <n v="2.857731958762887E-2"/>
  </r>
  <r>
    <n v="7.1"/>
    <n v="0.69"/>
    <n v="0.04"/>
    <n v="2.1"/>
    <n v="6.8000000000000005E-2"/>
    <n v="19"/>
    <n v="27"/>
    <n v="0.99712000000000012"/>
    <x v="32"/>
    <n v="0.67"/>
    <x v="1"/>
    <x v="0"/>
    <x v="0"/>
    <n v="7.8299999999999992"/>
    <n v="4.7173469387755095E-2"/>
  </r>
  <r>
    <n v="6.4"/>
    <n v="0.79"/>
    <n v="0.04"/>
    <n v="2.2000000000000002"/>
    <n v="6.0999999999999999E-2"/>
    <n v="11"/>
    <n v="17"/>
    <n v="0.99587999999999988"/>
    <x v="46"/>
    <n v="0.65"/>
    <x v="21"/>
    <x v="1"/>
    <x v="0"/>
    <n v="7.23"/>
    <n v="4.9375000000000002E-2"/>
  </r>
  <r>
    <n v="6.4"/>
    <n v="0.56000000000000005"/>
    <n v="0.15"/>
    <n v="1.8"/>
    <n v="7.8E-2"/>
    <n v="17"/>
    <n v="65"/>
    <n v="0.99293999999999993"/>
    <x v="24"/>
    <n v="0.6"/>
    <x v="4"/>
    <x v="1"/>
    <x v="0"/>
    <n v="7.1100000000000012"/>
    <n v="3.2000000000000001E-2"/>
  </r>
  <r>
    <n v="6.9"/>
    <n v="0.84"/>
    <n v="0.21"/>
    <n v="4.0999999999999996"/>
    <n v="7.400000000000001E-2"/>
    <n v="16"/>
    <n v="65"/>
    <n v="0.99842000000000009"/>
    <x v="46"/>
    <n v="0.72"/>
    <x v="61"/>
    <x v="1"/>
    <x v="0"/>
    <n v="7.95"/>
    <n v="6.5501805054151638E-2"/>
  </r>
  <r>
    <n v="6.9"/>
    <n v="0.84"/>
    <n v="0.21"/>
    <n v="4.0999999999999996"/>
    <n v="7.400000000000001E-2"/>
    <n v="16"/>
    <n v="65"/>
    <n v="0.99842000000000009"/>
    <x v="46"/>
    <n v="0.72"/>
    <x v="62"/>
    <x v="1"/>
    <x v="0"/>
    <n v="7.95"/>
    <n v="6.5383783783783789E-2"/>
  </r>
  <r>
    <n v="6.1"/>
    <n v="0.32"/>
    <n v="0.25"/>
    <n v="2.2999999999999998"/>
    <n v="7.0999999999999994E-2"/>
    <n v="23"/>
    <n v="58"/>
    <n v="0.99632999999999994"/>
    <x v="21"/>
    <n v="0.97"/>
    <x v="12"/>
    <x v="0"/>
    <x v="0"/>
    <n v="6.67"/>
    <n v="2.9283018867924532E-2"/>
  </r>
  <r>
    <n v="6.5"/>
    <n v="0.53"/>
    <n v="0.06"/>
    <n v="2"/>
    <n v="6.3E-2"/>
    <n v="29"/>
    <n v="44"/>
    <n v="0.99488999999999994"/>
    <x v="12"/>
    <n v="0.83"/>
    <x v="15"/>
    <x v="1"/>
    <x v="0"/>
    <n v="7.09"/>
    <n v="4.2708737864077667E-2"/>
  </r>
  <r>
    <n v="7.4"/>
    <n v="0.47"/>
    <n v="0.46"/>
    <n v="2.2000000000000002"/>
    <n v="0.114"/>
    <n v="7"/>
    <n v="20"/>
    <n v="0.99647000000000008"/>
    <x v="29"/>
    <n v="0.63"/>
    <x v="4"/>
    <x v="0"/>
    <x v="0"/>
    <n v="8.33"/>
    <n v="2.8199999999999996E-2"/>
  </r>
  <r>
    <n v="6.6"/>
    <n v="0.7"/>
    <n v="0.08"/>
    <n v="2.6"/>
    <n v="0.106"/>
    <n v="14"/>
    <n v="27"/>
    <n v="0.99665000000000004"/>
    <x v="32"/>
    <n v="0.57999999999999996"/>
    <x v="17"/>
    <x v="0"/>
    <x v="0"/>
    <n v="7.38"/>
    <n v="3.980392156862745E-2"/>
  </r>
  <r>
    <n v="6.5"/>
    <n v="0.53"/>
    <n v="0.06"/>
    <n v="2"/>
    <n v="6.3E-2"/>
    <n v="29"/>
    <n v="44"/>
    <n v="0.99488999999999994"/>
    <x v="12"/>
    <n v="0.83"/>
    <x v="15"/>
    <x v="1"/>
    <x v="0"/>
    <n v="7.09"/>
    <n v="4.2708737864077667E-2"/>
  </r>
  <r>
    <n v="6.9"/>
    <n v="0.48"/>
    <n v="0.2"/>
    <n v="1.9"/>
    <n v="8.199999999999999E-2"/>
    <n v="9"/>
    <n v="23"/>
    <n v="0.99585000000000001"/>
    <x v="5"/>
    <n v="0.43"/>
    <x v="63"/>
    <x v="3"/>
    <x v="2"/>
    <n v="7.580000000000001"/>
    <n v="2.2806629834254143E-2"/>
  </r>
  <r>
    <n v="6.1"/>
    <n v="0.32"/>
    <n v="0.25"/>
    <n v="2.2999999999999998"/>
    <n v="7.0999999999999994E-2"/>
    <n v="23"/>
    <n v="58"/>
    <n v="0.99632999999999994"/>
    <x v="21"/>
    <n v="0.97"/>
    <x v="12"/>
    <x v="0"/>
    <x v="0"/>
    <n v="6.67"/>
    <n v="2.9283018867924532E-2"/>
  </r>
  <r>
    <n v="6.8"/>
    <n v="0.48"/>
    <n v="0.25"/>
    <n v="2"/>
    <n v="7.5999999999999998E-2"/>
    <n v="29"/>
    <n v="61"/>
    <n v="0.99529999999999996"/>
    <x v="16"/>
    <n v="0.6"/>
    <x v="21"/>
    <x v="0"/>
    <x v="0"/>
    <n v="7.5299999999999994"/>
    <n v="2.769230769230769E-2"/>
  </r>
  <r>
    <n v="6"/>
    <n v="0.42"/>
    <n v="0.19"/>
    <n v="2"/>
    <n v="7.4999999999999997E-2"/>
    <n v="22"/>
    <n v="47"/>
    <n v="0.9952200000000001"/>
    <x v="5"/>
    <n v="0.78"/>
    <x v="2"/>
    <x v="1"/>
    <x v="0"/>
    <n v="6.61"/>
    <n v="3.2759999999999997E-2"/>
  </r>
  <r>
    <n v="6.7"/>
    <n v="0.48"/>
    <n v="0.08"/>
    <n v="2.1"/>
    <n v="6.4000000000000001E-2"/>
    <n v="18"/>
    <n v="34"/>
    <n v="0.99552000000000007"/>
    <x v="24"/>
    <n v="0.64"/>
    <x v="10"/>
    <x v="0"/>
    <x v="0"/>
    <n v="7.26"/>
    <n v="3.1670103092783508E-2"/>
  </r>
  <r>
    <n v="6.8"/>
    <n v="0.47"/>
    <n v="0.08"/>
    <n v="2.2000000000000002"/>
    <n v="6.4000000000000001E-2"/>
    <n v="18"/>
    <n v="38"/>
    <n v="0.99552999999999991"/>
    <x v="4"/>
    <n v="0.65"/>
    <x v="13"/>
    <x v="1"/>
    <x v="0"/>
    <n v="7.35"/>
    <n v="3.1822916666666666E-2"/>
  </r>
  <r>
    <n v="7.1"/>
    <n v="0.53"/>
    <n v="7.0000000000000007E-2"/>
    <n v="1.7"/>
    <n v="7.0999999999999994E-2"/>
    <n v="15"/>
    <n v="24"/>
    <n v="0.99509999999999998"/>
    <x v="40"/>
    <n v="0.66"/>
    <x v="14"/>
    <x v="1"/>
    <x v="0"/>
    <n v="7.7"/>
    <n v="3.2388888888888891E-2"/>
  </r>
  <r>
    <n v="7.9"/>
    <n v="0.28999999999999998"/>
    <n v="0.49"/>
    <n v="2.2000000000000002"/>
    <n v="9.6000000000000002E-2"/>
    <n v="21"/>
    <n v="59"/>
    <n v="0.99713999999999992"/>
    <x v="33"/>
    <n v="0.67"/>
    <x v="11"/>
    <x v="1"/>
    <x v="0"/>
    <n v="8.68"/>
    <n v="1.9237623762376237E-2"/>
  </r>
  <r>
    <n v="7.1"/>
    <n v="0.69"/>
    <n v="0.08"/>
    <n v="2.1"/>
    <n v="6.3E-2"/>
    <n v="42"/>
    <n v="52"/>
    <n v="0.99607999999999997"/>
    <x v="21"/>
    <n v="0.6"/>
    <x v="17"/>
    <x v="1"/>
    <x v="0"/>
    <n v="7.8699999999999992"/>
    <n v="4.0588235294117647E-2"/>
  </r>
  <r>
    <n v="6.6"/>
    <n v="0.44"/>
    <n v="0.09"/>
    <n v="2.2000000000000002"/>
    <n v="6.3E-2"/>
    <n v="9"/>
    <n v="18"/>
    <n v="0.99443999999999999"/>
    <x v="21"/>
    <n v="0.69"/>
    <x v="33"/>
    <x v="1"/>
    <x v="0"/>
    <n v="7.13"/>
    <n v="2.6867256637168137E-2"/>
  </r>
  <r>
    <n v="6.1"/>
    <n v="0.70499999999999996"/>
    <n v="0.1"/>
    <n v="2.8"/>
    <n v="8.1000000000000003E-2"/>
    <n v="13"/>
    <n v="28"/>
    <n v="0.99631000000000003"/>
    <x v="58"/>
    <n v="0.66"/>
    <x v="17"/>
    <x v="0"/>
    <x v="0"/>
    <n v="6.9049999999999994"/>
    <n v="4.5617647058823534E-2"/>
  </r>
  <r>
    <n v="7.2"/>
    <n v="0.53"/>
    <n v="0.13"/>
    <n v="2"/>
    <n v="5.7999999999999996E-2"/>
    <n v="18"/>
    <n v="22"/>
    <n v="0.99572999999999989"/>
    <x v="25"/>
    <n v="0.68"/>
    <x v="6"/>
    <x v="1"/>
    <x v="0"/>
    <n v="7.86"/>
    <n v="3.6404040404040411E-2"/>
  </r>
  <r>
    <n v="8"/>
    <n v="0.39"/>
    <n v="0.3"/>
    <n v="1.9"/>
    <n v="7.400000000000001E-2"/>
    <n v="32"/>
    <n v="84"/>
    <n v="0.99717000000000011"/>
    <x v="5"/>
    <n v="0.61"/>
    <x v="9"/>
    <x v="0"/>
    <x v="0"/>
    <n v="8.6900000000000013"/>
    <n v="2.6433333333333333E-2"/>
  </r>
  <r>
    <n v="6.6"/>
    <n v="0.56000000000000005"/>
    <n v="0.14000000000000001"/>
    <n v="2.4"/>
    <n v="6.4000000000000001E-2"/>
    <n v="13"/>
    <n v="29"/>
    <n v="0.99397000000000002"/>
    <x v="21"/>
    <n v="0.62"/>
    <x v="32"/>
    <x v="2"/>
    <x v="1"/>
    <n v="7.3"/>
    <n v="2.9675213675213679E-2"/>
  </r>
  <r>
    <n v="7"/>
    <n v="0.55000000000000004"/>
    <n v="0.13"/>
    <n v="2.2000000000000002"/>
    <n v="7.4999999999999997E-2"/>
    <n v="15"/>
    <n v="35"/>
    <n v="0.99590000000000001"/>
    <x v="6"/>
    <n v="0.59"/>
    <x v="10"/>
    <x v="1"/>
    <x v="0"/>
    <n v="7.68"/>
    <n v="3.3453608247422682E-2"/>
  </r>
  <r>
    <n v="6.1"/>
    <n v="0.53"/>
    <n v="0.08"/>
    <n v="1.9"/>
    <n v="7.6999999999999999E-2"/>
    <n v="24"/>
    <n v="45"/>
    <n v="0.99527999999999994"/>
    <x v="58"/>
    <n v="0.68"/>
    <x v="15"/>
    <x v="1"/>
    <x v="0"/>
    <n v="6.71"/>
    <n v="3.4990291262135924E-2"/>
  </r>
  <r>
    <n v="5.4"/>
    <n v="0.57999999999999996"/>
    <n v="0.08"/>
    <n v="1.9"/>
    <n v="5.9000000000000004E-2"/>
    <n v="20"/>
    <n v="31"/>
    <n v="0.99483999999999995"/>
    <x v="23"/>
    <n v="0.64"/>
    <x v="17"/>
    <x v="1"/>
    <x v="0"/>
    <n v="6.0600000000000005"/>
    <n v="3.6392156862745099E-2"/>
  </r>
  <r>
    <n v="6.2"/>
    <n v="0.64"/>
    <n v="0.09"/>
    <n v="2.5"/>
    <n v="8.1000000000000003E-2"/>
    <n v="15"/>
    <n v="26"/>
    <n v="0.99537999999999993"/>
    <x v="55"/>
    <n v="0.63"/>
    <x v="35"/>
    <x v="0"/>
    <x v="0"/>
    <n v="6.93"/>
    <n v="3.3599999999999998E-2"/>
  </r>
  <r>
    <n v="7.2"/>
    <n v="0.39"/>
    <n v="0.32"/>
    <n v="1.8"/>
    <n v="6.5000000000000002E-2"/>
    <n v="34"/>
    <n v="60"/>
    <n v="0.99713999999999992"/>
    <x v="18"/>
    <n v="0.78"/>
    <x v="6"/>
    <x v="0"/>
    <x v="0"/>
    <n v="7.91"/>
    <n v="3.0727272727272728E-2"/>
  </r>
  <r>
    <n v="6.2"/>
    <n v="0.52"/>
    <n v="0.08"/>
    <n v="4.4000000000000004"/>
    <n v="7.0999999999999994E-2"/>
    <n v="11"/>
    <n v="32"/>
    <n v="0.99646000000000001"/>
    <x v="69"/>
    <n v="0.63"/>
    <x v="41"/>
    <x v="1"/>
    <x v="0"/>
    <n v="6.8000000000000007"/>
    <n v="2.824137931034483E-2"/>
  </r>
  <r>
    <n v="7.4"/>
    <n v="0.25"/>
    <n v="0.28999999999999998"/>
    <n v="2.2000000000000002"/>
    <n v="5.4000000000000006E-2"/>
    <n v="19"/>
    <n v="49"/>
    <n v="0.99665999999999999"/>
    <x v="20"/>
    <n v="0.76"/>
    <x v="18"/>
    <x v="2"/>
    <x v="1"/>
    <n v="7.94"/>
    <n v="1.743119266055046E-2"/>
  </r>
  <r>
    <n v="6.7"/>
    <n v="0.85499999999999998"/>
    <n v="0.02"/>
    <n v="1.9"/>
    <n v="6.4000000000000001E-2"/>
    <n v="29"/>
    <n v="38"/>
    <n v="0.99472000000000005"/>
    <x v="4"/>
    <n v="0.56000000000000005"/>
    <x v="64"/>
    <x v="1"/>
    <x v="0"/>
    <n v="7.5749999999999993"/>
    <n v="4.4539534883720935E-2"/>
  </r>
  <r>
    <n v="11.1"/>
    <n v="0.44"/>
    <n v="0.42"/>
    <n v="2.2000000000000002"/>
    <n v="6.4000000000000001E-2"/>
    <n v="14"/>
    <n v="19"/>
    <n v="0.99757999999999991"/>
    <x v="28"/>
    <n v="0.56999999999999995"/>
    <x v="21"/>
    <x v="1"/>
    <x v="0"/>
    <n v="11.959999999999999"/>
    <n v="2.4115384615384611E-2"/>
  </r>
  <r>
    <n v="8.4"/>
    <n v="0.37"/>
    <n v="0.43"/>
    <n v="2.2999999999999998"/>
    <n v="6.3E-2"/>
    <n v="12"/>
    <n v="19"/>
    <n v="0.99550000000000005"/>
    <x v="10"/>
    <n v="0.81"/>
    <x v="40"/>
    <x v="2"/>
    <x v="1"/>
    <n v="9.1999999999999993"/>
    <n v="2.6758928571428576E-2"/>
  </r>
  <r>
    <n v="6.5"/>
    <n v="0.63"/>
    <n v="0.33"/>
    <n v="1.8"/>
    <n v="5.9000000000000004E-2"/>
    <n v="16"/>
    <n v="28"/>
    <n v="0.99531000000000003"/>
    <x v="6"/>
    <n v="0.64"/>
    <x v="11"/>
    <x v="1"/>
    <x v="0"/>
    <n v="7.46"/>
    <n v="3.9920792079207922E-2"/>
  </r>
  <r>
    <n v="7"/>
    <n v="0.56999999999999995"/>
    <n v="0.02"/>
    <n v="2"/>
    <n v="7.2000000000000008E-2"/>
    <n v="17"/>
    <n v="26"/>
    <n v="0.99575000000000002"/>
    <x v="6"/>
    <n v="0.61"/>
    <x v="17"/>
    <x v="0"/>
    <x v="0"/>
    <n v="7.59"/>
    <n v="3.4088235294117641E-2"/>
  </r>
  <r>
    <n v="6.3"/>
    <n v="0.6"/>
    <n v="0.1"/>
    <n v="1.6"/>
    <n v="4.8000000000000001E-2"/>
    <n v="12"/>
    <n v="26"/>
    <n v="0.99306000000000005"/>
    <x v="66"/>
    <n v="0.51"/>
    <x v="44"/>
    <x v="0"/>
    <x v="0"/>
    <n v="6.9999999999999991"/>
    <n v="2.5289256198347109E-2"/>
  </r>
  <r>
    <n v="11.2"/>
    <n v="0.4"/>
    <n v="0.5"/>
    <n v="2"/>
    <n v="9.9000000000000005E-2"/>
    <n v="19"/>
    <n v="50"/>
    <n v="0.99782999999999988"/>
    <x v="60"/>
    <n v="0.57999999999999996"/>
    <x v="21"/>
    <x v="0"/>
    <x v="0"/>
    <n v="12.1"/>
    <n v="2.2307692307692306E-2"/>
  </r>
  <r>
    <n v="7.4"/>
    <n v="0.36"/>
    <n v="0.3"/>
    <n v="1.8"/>
    <n v="7.400000000000001E-2"/>
    <n v="17"/>
    <n v="24"/>
    <n v="0.99419000000000002"/>
    <x v="47"/>
    <n v="0.7"/>
    <x v="25"/>
    <x v="4"/>
    <x v="1"/>
    <n v="8.06"/>
    <n v="2.2105263157894735E-2"/>
  </r>
  <r>
    <n v="7.1"/>
    <n v="0.68"/>
    <n v="0"/>
    <n v="2.2999999999999998"/>
    <n v="8.6999999999999994E-2"/>
    <n v="17"/>
    <n v="26"/>
    <n v="0.99782999999999988"/>
    <x v="19"/>
    <n v="0.53"/>
    <x v="3"/>
    <x v="0"/>
    <x v="0"/>
    <n v="7.7799999999999994"/>
    <n v="3.7936842105263165E-2"/>
  </r>
  <r>
    <n v="7.1"/>
    <n v="0.67"/>
    <n v="0"/>
    <n v="2.2999999999999998"/>
    <n v="8.3000000000000004E-2"/>
    <n v="18"/>
    <n v="27"/>
    <n v="0.9976799999999999"/>
    <x v="32"/>
    <n v="0.54"/>
    <x v="0"/>
    <x v="0"/>
    <x v="0"/>
    <n v="7.77"/>
    <n v="3.8489361702127668E-2"/>
  </r>
  <r>
    <n v="6.3"/>
    <n v="0.68"/>
    <n v="0.01"/>
    <n v="3.7"/>
    <n v="0.10300000000000001"/>
    <n v="32"/>
    <n v="54"/>
    <n v="0.99586000000000008"/>
    <x v="0"/>
    <n v="0.66"/>
    <x v="33"/>
    <x v="1"/>
    <x v="0"/>
    <n v="6.9899999999999993"/>
    <n v="3.9716814159292034E-2"/>
  </r>
  <r>
    <n v="7.3"/>
    <n v="0.73499999999999999"/>
    <n v="0"/>
    <n v="2.2000000000000002"/>
    <n v="0.08"/>
    <n v="18"/>
    <n v="28"/>
    <n v="0.99765000000000004"/>
    <x v="31"/>
    <n v="0.6"/>
    <x v="0"/>
    <x v="0"/>
    <x v="0"/>
    <n v="8.0350000000000001"/>
    <n v="4.6914893617021274E-2"/>
  </r>
  <r>
    <n v="6.6"/>
    <n v="0.85499999999999998"/>
    <n v="0.02"/>
    <n v="2.4"/>
    <n v="6.2E-2"/>
    <n v="15"/>
    <n v="23"/>
    <n v="0.9962700000000001"/>
    <x v="34"/>
    <n v="0.6"/>
    <x v="27"/>
    <x v="1"/>
    <x v="0"/>
    <n v="7.4749999999999996"/>
    <n v="4.6636363636363636E-2"/>
  </r>
  <r>
    <n v="7"/>
    <n v="0.56000000000000005"/>
    <n v="0.17"/>
    <n v="1.7"/>
    <n v="6.5000000000000002E-2"/>
    <n v="15"/>
    <n v="24"/>
    <n v="0.99513999999999991"/>
    <x v="32"/>
    <n v="0.68"/>
    <x v="56"/>
    <x v="2"/>
    <x v="1"/>
    <n v="7.73"/>
    <n v="3.6094786729857824E-2"/>
  </r>
  <r>
    <n v="6.6"/>
    <n v="0.88"/>
    <n v="0.04"/>
    <n v="2.2000000000000002"/>
    <n v="6.6000000000000003E-2"/>
    <n v="12"/>
    <n v="20"/>
    <n v="0.99636000000000002"/>
    <x v="46"/>
    <n v="0.56000000000000005"/>
    <x v="6"/>
    <x v="0"/>
    <x v="0"/>
    <n v="7.52"/>
    <n v="4.9777777777777782E-2"/>
  </r>
  <r>
    <n v="6.6"/>
    <n v="0.85499999999999998"/>
    <n v="0.02"/>
    <n v="2.4"/>
    <n v="6.2E-2"/>
    <n v="15"/>
    <n v="23"/>
    <n v="0.9962700000000001"/>
    <x v="34"/>
    <n v="0.6"/>
    <x v="27"/>
    <x v="1"/>
    <x v="0"/>
    <n v="7.4749999999999996"/>
    <n v="4.6636363636363636E-2"/>
  </r>
  <r>
    <n v="6.9"/>
    <n v="0.63"/>
    <n v="0.33"/>
    <n v="6.7"/>
    <n v="0.23499999999999999"/>
    <n v="66"/>
    <n v="115"/>
    <n v="0.99787000000000003"/>
    <x v="49"/>
    <n v="0.56000000000000005"/>
    <x v="3"/>
    <x v="0"/>
    <x v="0"/>
    <n v="7.86"/>
    <n v="3.7136842105263163E-2"/>
  </r>
  <r>
    <n v="7.8"/>
    <n v="0.6"/>
    <n v="0.26"/>
    <n v="2"/>
    <n v="0.08"/>
    <n v="31"/>
    <n v="131"/>
    <n v="0.99622000000000011"/>
    <x v="25"/>
    <n v="0.52"/>
    <x v="6"/>
    <x v="0"/>
    <x v="0"/>
    <n v="8.66"/>
    <n v="3.1515151515151517E-2"/>
  </r>
  <r>
    <n v="7.8"/>
    <n v="0.6"/>
    <n v="0.26"/>
    <n v="2"/>
    <n v="0.08"/>
    <n v="31"/>
    <n v="131"/>
    <n v="0.99622000000000011"/>
    <x v="25"/>
    <n v="0.52"/>
    <x v="6"/>
    <x v="0"/>
    <x v="0"/>
    <n v="8.66"/>
    <n v="3.1515151515151517E-2"/>
  </r>
  <r>
    <n v="7.8"/>
    <n v="0.6"/>
    <n v="0.26"/>
    <n v="2"/>
    <n v="0.08"/>
    <n v="31"/>
    <n v="131"/>
    <n v="0.99622000000000011"/>
    <x v="25"/>
    <n v="0.52"/>
    <x v="6"/>
    <x v="0"/>
    <x v="0"/>
    <n v="8.66"/>
    <n v="3.1515151515151517E-2"/>
  </r>
  <r>
    <n v="7.2"/>
    <n v="0.69499999999999995"/>
    <n v="0.13"/>
    <n v="2"/>
    <n v="7.5999999999999998E-2"/>
    <n v="12"/>
    <n v="20"/>
    <n v="0.99546000000000001"/>
    <x v="40"/>
    <n v="0.54"/>
    <x v="11"/>
    <x v="0"/>
    <x v="0"/>
    <n v="8.0250000000000004"/>
    <n v="3.7158415841584164E-2"/>
  </r>
  <r>
    <n v="7.2"/>
    <n v="0.69499999999999995"/>
    <n v="0.13"/>
    <n v="2"/>
    <n v="7.5999999999999998E-2"/>
    <n v="12"/>
    <n v="20"/>
    <n v="0.99546000000000001"/>
    <x v="40"/>
    <n v="0.54"/>
    <x v="11"/>
    <x v="0"/>
    <x v="0"/>
    <n v="8.0250000000000004"/>
    <n v="3.7158415841584164E-2"/>
  </r>
  <r>
    <n v="7.2"/>
    <n v="0.69499999999999995"/>
    <n v="0.13"/>
    <n v="2"/>
    <n v="7.5999999999999998E-2"/>
    <n v="12"/>
    <n v="20"/>
    <n v="0.99546000000000001"/>
    <x v="40"/>
    <n v="0.54"/>
    <x v="11"/>
    <x v="0"/>
    <x v="0"/>
    <n v="8.0250000000000004"/>
    <n v="3.7158415841584164E-2"/>
  </r>
  <r>
    <n v="6.7"/>
    <n v="0.67"/>
    <n v="0.02"/>
    <n v="1.9"/>
    <n v="6.0999999999999999E-2"/>
    <n v="26"/>
    <n v="42"/>
    <n v="0.99488999999999994"/>
    <x v="5"/>
    <n v="0.82"/>
    <x v="18"/>
    <x v="1"/>
    <x v="0"/>
    <n v="7.39"/>
    <n v="5.0403669724770638E-2"/>
  </r>
  <r>
    <n v="6.7"/>
    <n v="0.16"/>
    <n v="0.64"/>
    <n v="2.1"/>
    <n v="5.9000000000000004E-2"/>
    <n v="24"/>
    <n v="52"/>
    <n v="0.99493999999999994"/>
    <x v="16"/>
    <n v="0.71"/>
    <x v="40"/>
    <x v="1"/>
    <x v="0"/>
    <n v="7.5"/>
    <n v="1.0142857142857143E-2"/>
  </r>
  <r>
    <n v="7.2"/>
    <n v="0.69499999999999995"/>
    <n v="0.13"/>
    <n v="2"/>
    <n v="7.5999999999999998E-2"/>
    <n v="12"/>
    <n v="20"/>
    <n v="0.99546000000000001"/>
    <x v="40"/>
    <n v="0.54"/>
    <x v="11"/>
    <x v="0"/>
    <x v="0"/>
    <n v="8.0250000000000004"/>
    <n v="3.7158415841584164E-2"/>
  </r>
  <r>
    <n v="7"/>
    <n v="0.56000000000000005"/>
    <n v="0.13"/>
    <n v="1.6"/>
    <n v="7.6999999999999999E-2"/>
    <n v="25"/>
    <n v="42"/>
    <n v="0.99629000000000001"/>
    <x v="16"/>
    <n v="0.59"/>
    <x v="5"/>
    <x v="0"/>
    <x v="0"/>
    <n v="7.69"/>
    <n v="3.5913043478260874E-2"/>
  </r>
  <r>
    <n v="6.2"/>
    <n v="0.51"/>
    <n v="0.14000000000000001"/>
    <n v="1.9"/>
    <n v="5.5999999999999994E-2"/>
    <n v="15"/>
    <n v="34"/>
    <n v="0.99396000000000007"/>
    <x v="26"/>
    <n v="0.56999999999999995"/>
    <x v="24"/>
    <x v="1"/>
    <x v="0"/>
    <n v="6.85"/>
    <n v="2.5278260869565215E-2"/>
  </r>
  <r>
    <n v="6.4"/>
    <n v="0.36"/>
    <n v="0.53"/>
    <n v="2.2000000000000002"/>
    <n v="0.23"/>
    <n v="19"/>
    <n v="35"/>
    <n v="0.99339999999999995"/>
    <x v="42"/>
    <n v="0.93"/>
    <x v="26"/>
    <x v="1"/>
    <x v="0"/>
    <n v="7.2900000000000009"/>
    <n v="2.7E-2"/>
  </r>
  <r>
    <n v="6.4"/>
    <n v="0.38"/>
    <n v="0.14000000000000001"/>
    <n v="2.2000000000000002"/>
    <n v="3.7999999999999999E-2"/>
    <n v="15"/>
    <n v="25"/>
    <n v="0.99513999999999991"/>
    <x v="32"/>
    <n v="0.65"/>
    <x v="42"/>
    <x v="1"/>
    <x v="0"/>
    <n v="6.92"/>
    <n v="2.2252252252252254E-2"/>
  </r>
  <r>
    <n v="7.3"/>
    <n v="0.69"/>
    <n v="0.32"/>
    <n v="2.2000000000000002"/>
    <n v="6.9000000000000006E-2"/>
    <n v="35"/>
    <n v="104"/>
    <n v="0.99632000000000009"/>
    <x v="24"/>
    <n v="0.51"/>
    <x v="3"/>
    <x v="0"/>
    <x v="0"/>
    <n v="8.31"/>
    <n v="3.7042105263157897E-2"/>
  </r>
  <r>
    <n v="6"/>
    <n v="0.57999999999999996"/>
    <n v="0.2"/>
    <n v="2.4"/>
    <n v="7.4999999999999997E-2"/>
    <n v="15"/>
    <n v="50"/>
    <n v="0.99467000000000005"/>
    <x v="9"/>
    <n v="0.67"/>
    <x v="31"/>
    <x v="1"/>
    <x v="0"/>
    <n v="6.78"/>
    <n v="3.1088000000000001E-2"/>
  </r>
  <r>
    <n v="5.6"/>
    <n v="0.31"/>
    <n v="0.78"/>
    <n v="13.9"/>
    <n v="7.400000000000001E-2"/>
    <n v="23"/>
    <n v="92"/>
    <n v="0.99677000000000004"/>
    <x v="5"/>
    <n v="0.48"/>
    <x v="4"/>
    <x v="1"/>
    <x v="0"/>
    <n v="6.6899999999999995"/>
    <n v="1.4171428571428571E-2"/>
  </r>
  <r>
    <n v="7.5"/>
    <n v="0.52"/>
    <n v="0.4"/>
    <n v="2.2000000000000002"/>
    <n v="0.06"/>
    <n v="12"/>
    <n v="20"/>
    <n v="0.99473999999999996"/>
    <x v="2"/>
    <n v="0.64"/>
    <x v="37"/>
    <x v="1"/>
    <x v="0"/>
    <n v="8.42"/>
    <n v="2.8203389830508477E-2"/>
  </r>
  <r>
    <n v="8"/>
    <n v="0.3"/>
    <n v="0.63"/>
    <n v="1.6"/>
    <n v="8.1000000000000003E-2"/>
    <n v="16"/>
    <n v="29"/>
    <n v="0.99587999999999988"/>
    <x v="4"/>
    <n v="0.78"/>
    <x v="14"/>
    <x v="1"/>
    <x v="0"/>
    <n v="8.9300000000000015"/>
    <n v="2.1666666666666664E-2"/>
  </r>
  <r>
    <n v="6.2"/>
    <n v="0.7"/>
    <n v="0.15"/>
    <n v="5.0999999999999996"/>
    <n v="7.5999999999999998E-2"/>
    <n v="13"/>
    <n v="27"/>
    <n v="0.99622000000000011"/>
    <x v="34"/>
    <n v="0.6"/>
    <x v="36"/>
    <x v="1"/>
    <x v="0"/>
    <n v="7.0500000000000007"/>
    <n v="3.5294117647058823E-2"/>
  </r>
  <r>
    <n v="6.8"/>
    <n v="0.67"/>
    <n v="0.15"/>
    <n v="1.8"/>
    <n v="0.11800000000000001"/>
    <n v="13"/>
    <n v="20"/>
    <n v="0.99539999999999995"/>
    <x v="21"/>
    <n v="0.67"/>
    <x v="33"/>
    <x v="1"/>
    <x v="0"/>
    <n v="7.62"/>
    <n v="3.9725663716814165E-2"/>
  </r>
  <r>
    <n v="6.2"/>
    <n v="0.56000000000000005"/>
    <n v="0.09"/>
    <n v="1.7"/>
    <n v="5.2999999999999999E-2"/>
    <n v="24"/>
    <n v="32"/>
    <n v="0.99402000000000013"/>
    <x v="34"/>
    <n v="0.6"/>
    <x v="33"/>
    <x v="0"/>
    <x v="0"/>
    <n v="6.85"/>
    <n v="2.9734513274336283E-2"/>
  </r>
  <r>
    <n v="7.4"/>
    <n v="0.35"/>
    <n v="0.33"/>
    <n v="2.4"/>
    <n v="6.8000000000000005E-2"/>
    <n v="9"/>
    <n v="26"/>
    <n v="0.99470000000000003"/>
    <x v="6"/>
    <n v="0.6"/>
    <x v="36"/>
    <x v="1"/>
    <x v="0"/>
    <n v="8.08"/>
    <n v="1.7647058823529412E-2"/>
  </r>
  <r>
    <n v="6.2"/>
    <n v="0.56000000000000005"/>
    <n v="0.09"/>
    <n v="1.7"/>
    <n v="5.2999999999999999E-2"/>
    <n v="24"/>
    <n v="32"/>
    <n v="0.99402000000000013"/>
    <x v="34"/>
    <n v="0.6"/>
    <x v="33"/>
    <x v="0"/>
    <x v="0"/>
    <n v="6.85"/>
    <n v="2.9734513274336283E-2"/>
  </r>
  <r>
    <n v="6.1"/>
    <n v="0.71499999999999997"/>
    <n v="0.1"/>
    <n v="2.6"/>
    <n v="5.2999999999999999E-2"/>
    <n v="13"/>
    <n v="27"/>
    <n v="0.99362000000000006"/>
    <x v="55"/>
    <n v="0.5"/>
    <x v="36"/>
    <x v="0"/>
    <x v="0"/>
    <n v="6.9149999999999991"/>
    <n v="3.0042016806722686E-2"/>
  </r>
  <r>
    <n v="6.2"/>
    <n v="0.46"/>
    <n v="0.28999999999999998"/>
    <n v="2.1"/>
    <n v="7.400000000000001E-2"/>
    <n v="32"/>
    <n v="98"/>
    <n v="0.99577999999999989"/>
    <x v="24"/>
    <n v="0.62"/>
    <x v="1"/>
    <x v="0"/>
    <x v="0"/>
    <n v="6.95"/>
    <n v="2.910204081632653E-2"/>
  </r>
  <r>
    <n v="6.7"/>
    <n v="0.32"/>
    <n v="0.44"/>
    <n v="2.4"/>
    <n v="6.0999999999999999E-2"/>
    <n v="24"/>
    <n v="34"/>
    <n v="0.99483999999999995"/>
    <x v="40"/>
    <n v="0.8"/>
    <x v="41"/>
    <x v="2"/>
    <x v="1"/>
    <n v="7.4600000000000009"/>
    <n v="2.2068965517241381E-2"/>
  </r>
  <r>
    <n v="7.2"/>
    <n v="0.39"/>
    <n v="0.44"/>
    <n v="2.6"/>
    <n v="6.6000000000000003E-2"/>
    <n v="22"/>
    <n v="48"/>
    <n v="0.99493999999999994"/>
    <x v="4"/>
    <n v="0.84"/>
    <x v="24"/>
    <x v="1"/>
    <x v="0"/>
    <n v="8.0299999999999994"/>
    <n v="2.8486956521739132E-2"/>
  </r>
  <r>
    <n v="7.5"/>
    <n v="0.31"/>
    <n v="0.41"/>
    <n v="2.4"/>
    <n v="6.5000000000000002E-2"/>
    <n v="34"/>
    <n v="60"/>
    <n v="0.99492000000000003"/>
    <x v="16"/>
    <n v="0.85"/>
    <x v="25"/>
    <x v="1"/>
    <x v="0"/>
    <n v="8.2199999999999989"/>
    <n v="2.3114035087719299E-2"/>
  </r>
  <r>
    <n v="5.8"/>
    <n v="0.61"/>
    <n v="0.11"/>
    <n v="1.8"/>
    <n v="6.6000000000000003E-2"/>
    <n v="18"/>
    <n v="28"/>
    <n v="0.99482999999999988"/>
    <x v="66"/>
    <n v="0.66"/>
    <x v="18"/>
    <x v="1"/>
    <x v="0"/>
    <n v="6.5200000000000005"/>
    <n v="3.6935779816513761E-2"/>
  </r>
  <r>
    <n v="7.2"/>
    <n v="0.66"/>
    <n v="0.33"/>
    <n v="2.5"/>
    <n v="6.8000000000000005E-2"/>
    <n v="34"/>
    <n v="102"/>
    <n v="0.99413999999999991"/>
    <x v="63"/>
    <n v="0.78"/>
    <x v="29"/>
    <x v="1"/>
    <x v="0"/>
    <n v="8.19"/>
    <n v="4.0218749999999998E-2"/>
  </r>
  <r>
    <n v="6.6"/>
    <n v="0.72499999999999998"/>
    <n v="0.2"/>
    <n v="7.8"/>
    <n v="7.2999999999999995E-2"/>
    <n v="29"/>
    <n v="79"/>
    <n v="0.99770000000000003"/>
    <x v="40"/>
    <n v="0.54"/>
    <x v="5"/>
    <x v="0"/>
    <x v="0"/>
    <n v="7.5249999999999995"/>
    <n v="4.2554347826086962E-2"/>
  </r>
  <r>
    <n v="6.3"/>
    <n v="0.55000000000000004"/>
    <n v="0.15"/>
    <n v="1.8"/>
    <n v="7.6999999999999999E-2"/>
    <n v="26"/>
    <n v="35"/>
    <n v="0.99313999999999991"/>
    <x v="29"/>
    <n v="0.82"/>
    <x v="41"/>
    <x v="1"/>
    <x v="0"/>
    <n v="7"/>
    <n v="3.887931034482759E-2"/>
  </r>
  <r>
    <n v="5.4"/>
    <n v="0.74"/>
    <n v="0.09"/>
    <n v="1.7"/>
    <n v="8.900000000000001E-2"/>
    <n v="16"/>
    <n v="26"/>
    <n v="0.99402000000000013"/>
    <x v="62"/>
    <n v="0.56000000000000005"/>
    <x v="41"/>
    <x v="1"/>
    <x v="0"/>
    <n v="6.23"/>
    <n v="3.5724137931034489E-2"/>
  </r>
  <r>
    <n v="6.3"/>
    <n v="0.51"/>
    <n v="0.13"/>
    <n v="2.2999999999999998"/>
    <n v="7.5999999999999998E-2"/>
    <n v="29"/>
    <n v="40"/>
    <n v="0.99573999999999996"/>
    <x v="21"/>
    <n v="0.75"/>
    <x v="27"/>
    <x v="1"/>
    <x v="0"/>
    <n v="6.9399999999999995"/>
    <n v="3.4772727272727275E-2"/>
  </r>
  <r>
    <n v="6.8"/>
    <n v="0.62"/>
    <n v="0.08"/>
    <n v="1.9"/>
    <n v="6.8000000000000005E-2"/>
    <n v="28"/>
    <n v="38"/>
    <n v="0.99651000000000001"/>
    <x v="21"/>
    <n v="0.82"/>
    <x v="3"/>
    <x v="1"/>
    <x v="0"/>
    <n v="7.5"/>
    <n v="5.3515789473684204E-2"/>
  </r>
  <r>
    <n v="6.2"/>
    <n v="0.6"/>
    <n v="0.08"/>
    <n v="2"/>
    <n v="0.09"/>
    <n v="32"/>
    <n v="44"/>
    <n v="0.99490000000000001"/>
    <x v="19"/>
    <n v="0.57999999999999996"/>
    <x v="4"/>
    <x v="0"/>
    <x v="0"/>
    <n v="6.88"/>
    <n v="3.3142857142857141E-2"/>
  </r>
  <r>
    <n v="5.9"/>
    <n v="0.55000000000000004"/>
    <n v="0.1"/>
    <n v="2.2000000000000002"/>
    <n v="6.2E-2"/>
    <n v="39"/>
    <n v="51"/>
    <n v="0.99512000000000012"/>
    <x v="14"/>
    <n v="0.76"/>
    <x v="40"/>
    <x v="1"/>
    <x v="0"/>
    <n v="6.55"/>
    <n v="3.7321428571428575E-2"/>
  </r>
  <r>
    <n v="6.3"/>
    <n v="0.51"/>
    <n v="0.13"/>
    <n v="2.2999999999999998"/>
    <n v="7.5999999999999998E-2"/>
    <n v="29"/>
    <n v="40"/>
    <n v="0.99573999999999996"/>
    <x v="21"/>
    <n v="0.75"/>
    <x v="27"/>
    <x v="1"/>
    <x v="0"/>
    <n v="6.9399999999999995"/>
    <n v="3.4772727272727275E-2"/>
  </r>
  <r>
    <n v="5.9"/>
    <n v="0.64500000000000002"/>
    <n v="0.12"/>
    <n v="2"/>
    <n v="7.4999999999999997E-2"/>
    <n v="32"/>
    <n v="44"/>
    <n v="0.99547000000000008"/>
    <x v="55"/>
    <n v="0.71"/>
    <x v="17"/>
    <x v="0"/>
    <x v="0"/>
    <n v="6.665"/>
    <n v="4.4897058823529415E-2"/>
  </r>
  <r>
    <n v="6"/>
    <n v="0.31"/>
    <n v="0.47"/>
    <n v="3.6"/>
    <n v="6.7000000000000004E-2"/>
    <n v="18"/>
    <n v="42"/>
    <n v="0.99548999999999999"/>
    <x v="5"/>
    <n v="0.66"/>
    <x v="27"/>
    <x v="1"/>
    <x v="0"/>
    <n v="6.7799999999999994"/>
    <n v="1.8600000000000002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557F119-A27D-4505-B739-E9CD1401970E}" name="PivotTable1" cacheId="2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C10" firstHeaderRow="0" firstDataRow="1" firstDataCol="1"/>
  <pivotFields count="15">
    <pivotField showAll="0"/>
    <pivotField showAll="0"/>
    <pivotField showAll="0"/>
    <pivotField showAll="0"/>
    <pivotField showAll="0"/>
    <pivotField showAll="0"/>
    <pivotField showAll="0"/>
    <pivotField dataField="1" showAll="0"/>
    <pivotField showAll="0">
      <items count="90">
        <item x="51"/>
        <item x="76"/>
        <item x="80"/>
        <item x="72"/>
        <item x="81"/>
        <item x="88"/>
        <item x="78"/>
        <item x="36"/>
        <item x="82"/>
        <item x="73"/>
        <item x="74"/>
        <item x="67"/>
        <item x="53"/>
        <item x="68"/>
        <item x="65"/>
        <item x="70"/>
        <item x="13"/>
        <item x="61"/>
        <item x="57"/>
        <item x="44"/>
        <item x="41"/>
        <item x="75"/>
        <item x="60"/>
        <item x="11"/>
        <item x="54"/>
        <item x="35"/>
        <item x="37"/>
        <item x="30"/>
        <item x="3"/>
        <item x="10"/>
        <item x="64"/>
        <item x="43"/>
        <item x="1"/>
        <item x="25"/>
        <item x="49"/>
        <item x="22"/>
        <item x="47"/>
        <item x="28"/>
        <item x="2"/>
        <item x="63"/>
        <item x="8"/>
        <item x="40"/>
        <item x="4"/>
        <item x="33"/>
        <item x="29"/>
        <item x="24"/>
        <item x="16"/>
        <item x="7"/>
        <item x="6"/>
        <item x="42"/>
        <item x="12"/>
        <item x="5"/>
        <item x="20"/>
        <item x="31"/>
        <item x="21"/>
        <item x="15"/>
        <item x="32"/>
        <item x="19"/>
        <item x="18"/>
        <item x="17"/>
        <item x="26"/>
        <item x="45"/>
        <item x="23"/>
        <item x="0"/>
        <item x="14"/>
        <item x="46"/>
        <item x="34"/>
        <item x="66"/>
        <item x="69"/>
        <item x="55"/>
        <item x="9"/>
        <item x="52"/>
        <item x="58"/>
        <item x="56"/>
        <item x="71"/>
        <item x="48"/>
        <item x="83"/>
        <item x="62"/>
        <item x="50"/>
        <item x="59"/>
        <item x="86"/>
        <item x="84"/>
        <item x="79"/>
        <item x="77"/>
        <item x="38"/>
        <item x="85"/>
        <item x="39"/>
        <item x="27"/>
        <item x="87"/>
        <item t="default"/>
      </items>
    </pivotField>
    <pivotField showAll="0"/>
    <pivotField dataField="1" showAll="0">
      <items count="66">
        <item x="45"/>
        <item x="53"/>
        <item x="38"/>
        <item x="57"/>
        <item x="9"/>
        <item x="63"/>
        <item x="7"/>
        <item x="5"/>
        <item x="61"/>
        <item x="62"/>
        <item x="8"/>
        <item x="0"/>
        <item x="3"/>
        <item x="52"/>
        <item x="55"/>
        <item x="13"/>
        <item x="10"/>
        <item x="1"/>
        <item x="6"/>
        <item x="60"/>
        <item x="2"/>
        <item x="51"/>
        <item x="11"/>
        <item x="17"/>
        <item x="15"/>
        <item x="21"/>
        <item x="4"/>
        <item x="56"/>
        <item x="12"/>
        <item x="19"/>
        <item x="64"/>
        <item x="14"/>
        <item x="18"/>
        <item x="27"/>
        <item x="54"/>
        <item x="42"/>
        <item x="40"/>
        <item x="33"/>
        <item x="25"/>
        <item x="24"/>
        <item x="41"/>
        <item x="32"/>
        <item x="37"/>
        <item x="36"/>
        <item x="59"/>
        <item x="35"/>
        <item x="44"/>
        <item x="28"/>
        <item x="34"/>
        <item x="26"/>
        <item x="31"/>
        <item x="30"/>
        <item x="46"/>
        <item x="29"/>
        <item x="20"/>
        <item x="22"/>
        <item x="16"/>
        <item x="48"/>
        <item x="39"/>
        <item x="43"/>
        <item x="50"/>
        <item x="58"/>
        <item x="49"/>
        <item x="23"/>
        <item x="47"/>
        <item t="default"/>
      </items>
    </pivotField>
    <pivotField axis="axisRow" showAll="0">
      <items count="7">
        <item x="5"/>
        <item x="3"/>
        <item x="0"/>
        <item x="1"/>
        <item x="2"/>
        <item x="4"/>
        <item t="default"/>
      </items>
    </pivotField>
    <pivotField showAll="0">
      <items count="4">
        <item x="1"/>
        <item x="2"/>
        <item x="0"/>
        <item t="default"/>
      </items>
    </pivotField>
    <pivotField showAll="0"/>
    <pivotField showAll="0"/>
  </pivotFields>
  <rowFields count="1">
    <field x="11"/>
  </rowFields>
  <rowItems count="7">
    <i>
      <x/>
    </i>
    <i>
      <x v="1"/>
    </i>
    <i>
      <x v="2"/>
    </i>
    <i>
      <x v="3"/>
    </i>
    <i>
      <x v="4"/>
    </i>
    <i>
      <x v="5"/>
    </i>
    <i t="grand">
      <x/>
    </i>
  </rowItems>
  <colFields count="1">
    <field x="-2"/>
  </colFields>
  <colItems count="2">
    <i>
      <x/>
    </i>
    <i i="1">
      <x v="1"/>
    </i>
  </colItems>
  <dataFields count="2">
    <dataField name="Sum of alcohol" fld="10" baseField="0" baseItem="0"/>
    <dataField name="Sum of density" fld="7"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2">
          <reference field="4294967294" count="1" selected="0">
            <x v="0"/>
          </reference>
          <reference field="11" count="1" selected="0">
            <x v="3"/>
          </reference>
        </references>
      </pivotArea>
    </chartFormat>
    <chartFormat chart="0" format="4" series="1">
      <pivotArea type="data" outline="0" fieldPosition="0">
        <references count="2">
          <reference field="4294967294" count="1" selected="0">
            <x v="0"/>
          </reference>
          <reference field="11" count="1" selected="0">
            <x v="4"/>
          </reference>
        </references>
      </pivotArea>
    </chartFormat>
    <chartFormat chart="0" format="5" series="1">
      <pivotArea type="data" outline="0" fieldPosition="0">
        <references count="2">
          <reference field="4294967294" count="1" selected="0">
            <x v="0"/>
          </reference>
          <reference field="11" count="1" selected="0">
            <x v="5"/>
          </reference>
        </references>
      </pivotArea>
    </chartFormat>
    <chartFormat chart="0" format="6" series="1">
      <pivotArea type="data" outline="0" fieldPosition="0">
        <references count="2">
          <reference field="4294967294" count="1" selected="0">
            <x v="1"/>
          </reference>
          <reference field="11" count="1" selected="0">
            <x v="0"/>
          </reference>
        </references>
      </pivotArea>
    </chartFormat>
    <chartFormat chart="0" format="7" series="1">
      <pivotArea type="data" outline="0" fieldPosition="0">
        <references count="2">
          <reference field="4294967294" count="1" selected="0">
            <x v="1"/>
          </reference>
          <reference field="11" count="1" selected="0">
            <x v="1"/>
          </reference>
        </references>
      </pivotArea>
    </chartFormat>
    <chartFormat chart="0" format="8" series="1">
      <pivotArea type="data" outline="0" fieldPosition="0">
        <references count="2">
          <reference field="4294967294" count="1" selected="0">
            <x v="1"/>
          </reference>
          <reference field="11" count="1" selected="0">
            <x v="2"/>
          </reference>
        </references>
      </pivotArea>
    </chartFormat>
    <chartFormat chart="0" format="9" series="1">
      <pivotArea type="data" outline="0" fieldPosition="0">
        <references count="2">
          <reference field="4294967294" count="1" selected="0">
            <x v="1"/>
          </reference>
          <reference field="11" count="1" selected="0">
            <x v="3"/>
          </reference>
        </references>
      </pivotArea>
    </chartFormat>
    <chartFormat chart="0" format="10" series="1">
      <pivotArea type="data" outline="0" fieldPosition="0">
        <references count="2">
          <reference field="4294967294" count="1" selected="0">
            <x v="1"/>
          </reference>
          <reference field="11" count="1" selected="0">
            <x v="4"/>
          </reference>
        </references>
      </pivotArea>
    </chartFormat>
    <chartFormat chart="0" format="11" series="1">
      <pivotArea type="data" outline="0" fieldPosition="0">
        <references count="2">
          <reference field="4294967294" count="1" selected="0">
            <x v="1"/>
          </reference>
          <reference field="1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E461B7A-8571-475A-A6B2-27802301D6F3}" autoFormatId="16" applyNumberFormats="0" applyBorderFormats="0" applyFontFormats="0" applyPatternFormats="0" applyAlignmentFormats="0" applyWidthHeightFormats="0">
  <queryTableRefresh nextId="16" unboundColumnsRight="3">
    <queryTableFields count="15">
      <queryTableField id="1" name="fixed acidity" tableColumnId="1"/>
      <queryTableField id="2" name="volatile acidity" tableColumnId="2"/>
      <queryTableField id="3" name="citric acid" tableColumnId="3"/>
      <queryTableField id="4" name="residual sugar" tableColumnId="4"/>
      <queryTableField id="5" name="chlorides" tableColumnId="5"/>
      <queryTableField id="6" name="free sulfur dioxide" tableColumnId="6"/>
      <queryTableField id="7" name="total sulfur dioxide" tableColumnId="7"/>
      <queryTableField id="8" name="density" tableColumnId="8"/>
      <queryTableField id="9" name="pH" tableColumnId="9"/>
      <queryTableField id="10" name="sulphates" tableColumnId="10"/>
      <queryTableField id="11" name="alcohol" tableColumnId="11"/>
      <queryTableField id="12" name="quality" tableColumnId="12"/>
      <queryTableField id="13" dataBound="0" tableColumnId="13"/>
      <queryTableField id="14" dataBound="0" tableColumnId="14"/>
      <queryTableField id="15" dataBound="0"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 xr10:uid="{7D05EB95-8A07-4C9A-B29B-AFFFB283A895}" sourceName="pH">
  <pivotTables>
    <pivotTable tabId="3" name="PivotTable1"/>
  </pivotTables>
  <data>
    <tabular pivotCacheId="1629835653">
      <items count="89">
        <i x="51" s="1"/>
        <i x="76" s="1"/>
        <i x="80" s="1"/>
        <i x="72" s="1"/>
        <i x="81" s="1"/>
        <i x="88" s="1"/>
        <i x="78" s="1"/>
        <i x="36" s="1"/>
        <i x="82" s="1"/>
        <i x="73" s="1"/>
        <i x="74" s="1"/>
        <i x="67" s="1"/>
        <i x="53" s="1"/>
        <i x="68" s="1"/>
        <i x="65" s="1"/>
        <i x="70" s="1"/>
        <i x="13" s="1"/>
        <i x="61" s="1"/>
        <i x="57" s="1"/>
        <i x="44" s="1"/>
        <i x="41" s="1"/>
        <i x="75" s="1"/>
        <i x="60" s="1"/>
        <i x="11" s="1"/>
        <i x="54" s="1"/>
        <i x="35" s="1"/>
        <i x="37" s="1"/>
        <i x="30" s="1"/>
        <i x="3" s="1"/>
        <i x="10" s="1"/>
        <i x="64" s="1"/>
        <i x="43" s="1"/>
        <i x="1" s="1"/>
        <i x="25" s="1"/>
        <i x="49" s="1"/>
        <i x="22" s="1"/>
        <i x="47" s="1"/>
        <i x="28" s="1"/>
        <i x="2" s="1"/>
        <i x="63" s="1"/>
        <i x="8" s="1"/>
        <i x="40" s="1"/>
        <i x="4" s="1"/>
        <i x="33" s="1"/>
        <i x="29" s="1"/>
        <i x="24" s="1"/>
        <i x="16" s="1"/>
        <i x="7" s="1"/>
        <i x="6" s="1"/>
        <i x="42" s="1"/>
        <i x="12" s="1"/>
        <i x="5" s="1"/>
        <i x="20" s="1"/>
        <i x="31" s="1"/>
        <i x="21" s="1"/>
        <i x="15" s="1"/>
        <i x="32" s="1"/>
        <i x="19" s="1"/>
        <i x="18" s="1"/>
        <i x="17" s="1"/>
        <i x="26" s="1"/>
        <i x="45" s="1"/>
        <i x="23" s="1"/>
        <i x="0" s="1"/>
        <i x="14" s="1"/>
        <i x="46" s="1"/>
        <i x="34" s="1"/>
        <i x="66" s="1"/>
        <i x="69" s="1"/>
        <i x="55" s="1"/>
        <i x="9" s="1"/>
        <i x="52" s="1"/>
        <i x="58" s="1"/>
        <i x="56" s="1"/>
        <i x="71" s="1"/>
        <i x="48" s="1"/>
        <i x="83" s="1"/>
        <i x="62" s="1"/>
        <i x="50" s="1"/>
        <i x="59" s="1"/>
        <i x="86" s="1"/>
        <i x="84" s="1"/>
        <i x="79" s="1"/>
        <i x="77" s="1"/>
        <i x="38" s="1"/>
        <i x="85" s="1"/>
        <i x="39" s="1"/>
        <i x="27" s="1"/>
        <i x="8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lcohol" xr10:uid="{D76C2AB6-5519-48C2-A126-6BFC6165604E}" sourceName="alcohol">
  <pivotTables>
    <pivotTable tabId="3" name="PivotTable1"/>
  </pivotTables>
  <data>
    <tabular pivotCacheId="1629835653">
      <items count="65">
        <i x="45" s="1"/>
        <i x="53" s="1"/>
        <i x="38" s="1"/>
        <i x="57" s="1"/>
        <i x="9" s="1"/>
        <i x="63" s="1"/>
        <i x="7" s="1"/>
        <i x="5" s="1"/>
        <i x="61" s="1"/>
        <i x="62" s="1"/>
        <i x="8" s="1"/>
        <i x="0" s="1"/>
        <i x="3" s="1"/>
        <i x="52" s="1"/>
        <i x="55" s="1"/>
        <i x="13" s="1"/>
        <i x="10" s="1"/>
        <i x="1" s="1"/>
        <i x="6" s="1"/>
        <i x="60" s="1"/>
        <i x="2" s="1"/>
        <i x="51" s="1"/>
        <i x="11" s="1"/>
        <i x="17" s="1"/>
        <i x="15" s="1"/>
        <i x="21" s="1"/>
        <i x="4" s="1"/>
        <i x="56" s="1"/>
        <i x="12" s="1"/>
        <i x="19" s="1"/>
        <i x="64" s="1"/>
        <i x="14" s="1"/>
        <i x="18" s="1"/>
        <i x="27" s="1"/>
        <i x="54" s="1"/>
        <i x="42" s="1"/>
        <i x="40" s="1"/>
        <i x="33" s="1"/>
        <i x="25" s="1"/>
        <i x="24" s="1"/>
        <i x="41" s="1"/>
        <i x="32" s="1"/>
        <i x="37" s="1"/>
        <i x="36" s="1"/>
        <i x="59" s="1"/>
        <i x="35" s="1"/>
        <i x="44" s="1"/>
        <i x="28" s="1"/>
        <i x="34" s="1"/>
        <i x="26" s="1"/>
        <i x="31" s="1"/>
        <i x="30" s="1"/>
        <i x="46" s="1"/>
        <i x="29" s="1"/>
        <i x="20" s="1"/>
        <i x="22" s="1"/>
        <i x="16" s="1"/>
        <i x="48" s="1"/>
        <i x="39" s="1"/>
        <i x="43" s="1"/>
        <i x="50" s="1"/>
        <i x="58" s="1"/>
        <i x="49" s="1"/>
        <i x="23" s="1"/>
        <i x="4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lity" xr10:uid="{C079D82C-F77F-4F5B-A618-96717006AF02}" sourceName="quality">
  <pivotTables>
    <pivotTable tabId="3" name="PivotTable1"/>
  </pivotTables>
  <data>
    <tabular pivotCacheId="1629835653">
      <items count="6">
        <i x="5" s="1"/>
        <i x="3" s="1"/>
        <i x="0" s="1"/>
        <i x="1" s="1"/>
        <i x="2"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ding" xr10:uid="{E031DA92-A3AC-4628-91AD-13913381924B}" sourceName="Banding">
  <pivotTables>
    <pivotTable tabId="3" name="PivotTable1"/>
  </pivotTables>
  <data>
    <tabular pivotCacheId="1629835653">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 xr10:uid="{92FD709E-653A-4C3F-A023-A2647471E7BF}" cache="Slicer_pH" caption="pH" rowHeight="234950"/>
  <slicer name="alcohol" xr10:uid="{79D9F998-7688-42C3-8AB1-D3B6E2725E08}" cache="Slicer_alcohol" caption="alcohol" rowHeight="234950"/>
  <slicer name="quality" xr10:uid="{BA421148-4569-40EA-A359-5771D950F55E}" cache="Slicer_quality" caption="quality" rowHeight="234950"/>
  <slicer name="Banding" xr10:uid="{29B3208E-88CB-4D20-891B-606052C46E9E}" cache="Slicer_Banding" caption="Banding"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0ED62-DFC1-4BFB-89B2-A0A4A57404CE}" name="winequality_red" displayName="winequality_red" ref="A1:O1600" tableType="queryTable" totalsRowShown="0">
  <autoFilter ref="A1:O1600" xr:uid="{2D50ED62-DFC1-4BFB-89B2-A0A4A57404CE}"/>
  <tableColumns count="15">
    <tableColumn id="1" xr3:uid="{48D543DF-57DA-456B-AC85-8F72832E3D9B}" uniqueName="1" name="Updated Quality &amp; Alcohol Analysis" queryTableFieldId="1"/>
    <tableColumn id="2" xr3:uid="{08323E9E-2F34-40E1-9521-6654A585879E}" uniqueName="2" name="volatile acidity" queryTableFieldId="2"/>
    <tableColumn id="3" xr3:uid="{670CEBB7-D851-4408-B671-27C7B596290D}" uniqueName="3" name="citric acid" queryTableFieldId="3"/>
    <tableColumn id="4" xr3:uid="{2738BFCD-137A-425C-BDAB-B76570C7A74F}" uniqueName="4" name="residual sugar" queryTableFieldId="4"/>
    <tableColumn id="5" xr3:uid="{1A92A1E5-BAAF-4BC8-AACF-604A293913D2}" uniqueName="5" name="chlorides" queryTableFieldId="5"/>
    <tableColumn id="6" xr3:uid="{EB1E0EFE-97A4-4CD4-9993-B43B4BCD31E5}" uniqueName="6" name="free sulfur dioxide" queryTableFieldId="6"/>
    <tableColumn id="7" xr3:uid="{D01181C4-EF88-4B5F-9B24-2AA8B917975B}" uniqueName="7" name="total sulfur dioxide" queryTableFieldId="7"/>
    <tableColumn id="8" xr3:uid="{ED7477DB-683E-4EB4-805B-D653E0B8EB0C}" uniqueName="8" name="density" queryTableFieldId="8"/>
    <tableColumn id="9" xr3:uid="{D0937B66-5D22-47EC-82A3-2D1C75417EED}" uniqueName="9" name="pH" queryTableFieldId="9"/>
    <tableColumn id="10" xr3:uid="{7F3A551A-5A8B-4E77-ABB3-1C7020850EDB}" uniqueName="10" name="sulphates" queryTableFieldId="10"/>
    <tableColumn id="11" xr3:uid="{DE76FC64-23FC-407D-86BD-C52166642A95}" uniqueName="11" name="alcohol" queryTableFieldId="11"/>
    <tableColumn id="12" xr3:uid="{3E28CD4B-B562-4D98-B6D3-1ECAF79F6A16}" uniqueName="12" name="quality" queryTableFieldId="12"/>
    <tableColumn id="13" xr3:uid="{E0EE04EF-3FDF-42BF-914B-2DA95AD4F309}" uniqueName="13" name="Banding" queryTableFieldId="13" dataDxfId="4">
      <calculatedColumnFormula>IF($L2&gt;=7,"High",IF($L2&gt;=5,"Medium","Low"))</calculatedColumnFormula>
    </tableColumn>
    <tableColumn id="14" xr3:uid="{39141B8E-6EE4-44DE-87EB-4F6E1F57BA5A}" uniqueName="14" name="Acidity " queryTableFieldId="14" dataDxfId="3">
      <calculatedColumnFormula>(winequality_red[[#This Row],[Updated Quality &amp; Alcohol Analysis]]+winequality_red[[#This Row],[volatile acidity]]+winequality_red[[#This Row],[citric acid]])</calculatedColumnFormula>
    </tableColumn>
    <tableColumn id="15" xr3:uid="{D9E90300-EBF3-4BB8-B4F4-BE901C9C4AF3}" uniqueName="15" name="Risk Score" queryTableFieldId="15" dataDxfId="0">
      <calculatedColumnFormula>($B2*$J2)/$K2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EF5C9-BE79-48DE-8A6A-A3754FB427DC}">
  <sheetPr codeName="Sheet1"/>
  <dimension ref="A3:C10"/>
  <sheetViews>
    <sheetView workbookViewId="0">
      <selection activeCell="K17" sqref="K17"/>
    </sheetView>
  </sheetViews>
  <sheetFormatPr defaultRowHeight="14.4" x14ac:dyDescent="0.3"/>
  <cols>
    <col min="1" max="1" width="12.5546875" bestFit="1" customWidth="1"/>
    <col min="2" max="3" width="13.6640625" bestFit="1" customWidth="1"/>
    <col min="4" max="12" width="15.5546875" bestFit="1" customWidth="1"/>
    <col min="13" max="14" width="18.44140625" bestFit="1" customWidth="1"/>
  </cols>
  <sheetData>
    <row r="3" spans="1:3" x14ac:dyDescent="0.3">
      <c r="A3" s="2" t="s">
        <v>15</v>
      </c>
      <c r="B3" t="s">
        <v>13</v>
      </c>
      <c r="C3" t="s">
        <v>14</v>
      </c>
    </row>
    <row r="4" spans="1:3" x14ac:dyDescent="0.3">
      <c r="A4" s="3">
        <v>3</v>
      </c>
      <c r="B4" s="1">
        <v>99.550000000000011</v>
      </c>
      <c r="C4" s="1">
        <v>9.9746400000000008</v>
      </c>
    </row>
    <row r="5" spans="1:3" x14ac:dyDescent="0.3">
      <c r="A5" s="3">
        <v>4</v>
      </c>
      <c r="B5" s="1">
        <v>544.04999999999984</v>
      </c>
      <c r="C5" s="1">
        <v>52.816750000000006</v>
      </c>
    </row>
    <row r="6" spans="1:3" x14ac:dyDescent="0.3">
      <c r="A6" s="3">
        <v>5</v>
      </c>
      <c r="B6" s="1">
        <v>6741.6999999999953</v>
      </c>
      <c r="C6" s="1">
        <v>679.02756999999951</v>
      </c>
    </row>
    <row r="7" spans="1:3" x14ac:dyDescent="0.3">
      <c r="A7" s="3">
        <v>6</v>
      </c>
      <c r="B7" s="1">
        <v>6781.6333333333296</v>
      </c>
      <c r="C7" s="1">
        <v>635.84041000000047</v>
      </c>
    </row>
    <row r="8" spans="1:3" x14ac:dyDescent="0.3">
      <c r="A8" s="3">
        <v>7</v>
      </c>
      <c r="B8" s="1">
        <v>2281.7166666666662</v>
      </c>
      <c r="C8" s="1">
        <v>198.22474999999977</v>
      </c>
    </row>
    <row r="9" spans="1:3" x14ac:dyDescent="0.3">
      <c r="A9" s="3">
        <v>8</v>
      </c>
      <c r="B9" s="1">
        <v>217.7</v>
      </c>
      <c r="C9" s="1">
        <v>17.913820000000001</v>
      </c>
    </row>
    <row r="10" spans="1:3" x14ac:dyDescent="0.3">
      <c r="A10" s="3" t="s">
        <v>16</v>
      </c>
      <c r="B10" s="1">
        <v>16666.349999999991</v>
      </c>
      <c r="C10" s="1">
        <v>1593.7979399999997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C31AA-BF6A-4246-BE1A-65B46EEAC426}">
  <sheetPr codeName="Sheet2"/>
  <dimension ref="A1:X1600"/>
  <sheetViews>
    <sheetView tabSelected="1" zoomScale="106" zoomScaleNormal="106" workbookViewId="0">
      <selection activeCell="H18" sqref="H18"/>
    </sheetView>
  </sheetViews>
  <sheetFormatPr defaultRowHeight="14.4" x14ac:dyDescent="0.3"/>
  <cols>
    <col min="1" max="1" width="33.44140625" bestFit="1" customWidth="1"/>
    <col min="2" max="2" width="15.44140625" bestFit="1" customWidth="1"/>
    <col min="3" max="3" width="11.109375" bestFit="1" customWidth="1"/>
    <col min="4" max="4" width="14.77734375" bestFit="1" customWidth="1"/>
    <col min="5" max="5" width="10.77734375" bestFit="1" customWidth="1"/>
    <col min="6" max="6" width="18.44140625" bestFit="1" customWidth="1"/>
    <col min="7" max="7" width="19" bestFit="1" customWidth="1"/>
    <col min="8" max="8" width="9.33203125" bestFit="1" customWidth="1"/>
    <col min="9" max="9" width="5.5546875" bestFit="1" customWidth="1"/>
    <col min="10" max="10" width="11.21875" bestFit="1" customWidth="1"/>
    <col min="11" max="11" width="12.44140625" bestFit="1" customWidth="1"/>
    <col min="12" max="12" width="9" bestFit="1" customWidth="1"/>
    <col min="13" max="13" width="10.109375" bestFit="1" customWidth="1"/>
    <col min="14" max="14" width="9.44140625" bestFit="1" customWidth="1"/>
    <col min="15" max="15" width="12.44140625" bestFit="1" customWidth="1"/>
    <col min="19" max="19" width="6.5546875" bestFit="1" customWidth="1"/>
    <col min="20" max="20" width="6.77734375" bestFit="1" customWidth="1"/>
    <col min="21" max="21" width="12.44140625" bestFit="1" customWidth="1"/>
    <col min="22" max="22" width="10.21875" bestFit="1" customWidth="1"/>
    <col min="23" max="23" width="12.44140625" bestFit="1" customWidth="1"/>
    <col min="24" max="24" width="7.109375" bestFit="1" customWidth="1"/>
  </cols>
  <sheetData>
    <row r="1" spans="1:24" x14ac:dyDescent="0.3">
      <c r="A1" s="4" t="s">
        <v>17</v>
      </c>
      <c r="B1" t="s">
        <v>0</v>
      </c>
      <c r="C1" t="s">
        <v>1</v>
      </c>
      <c r="D1" t="s">
        <v>2</v>
      </c>
      <c r="E1" t="s">
        <v>3</v>
      </c>
      <c r="F1" t="s">
        <v>4</v>
      </c>
      <c r="G1" t="s">
        <v>5</v>
      </c>
      <c r="H1" t="s">
        <v>6</v>
      </c>
      <c r="I1" t="s">
        <v>7</v>
      </c>
      <c r="J1" t="s">
        <v>8</v>
      </c>
      <c r="K1" t="s">
        <v>9</v>
      </c>
      <c r="L1" t="s">
        <v>10</v>
      </c>
      <c r="M1" t="s">
        <v>11</v>
      </c>
      <c r="N1" t="s">
        <v>12</v>
      </c>
      <c r="O1" t="s">
        <v>18</v>
      </c>
      <c r="S1" t="s">
        <v>24</v>
      </c>
      <c r="T1" t="s">
        <v>23</v>
      </c>
      <c r="U1" t="s">
        <v>21</v>
      </c>
      <c r="V1" t="s">
        <v>22</v>
      </c>
      <c r="W1" t="s">
        <v>19</v>
      </c>
      <c r="X1" t="s">
        <v>20</v>
      </c>
    </row>
    <row r="2" spans="1:24" x14ac:dyDescent="0.3">
      <c r="A2">
        <v>7.4</v>
      </c>
      <c r="B2">
        <v>0.7</v>
      </c>
      <c r="C2">
        <v>0</v>
      </c>
      <c r="D2">
        <v>1.9</v>
      </c>
      <c r="E2">
        <v>7.5999999999999998E-2</v>
      </c>
      <c r="F2">
        <v>11</v>
      </c>
      <c r="G2">
        <v>34</v>
      </c>
      <c r="H2">
        <v>0.99780000000000002</v>
      </c>
      <c r="I2">
        <v>3.51</v>
      </c>
      <c r="J2">
        <v>0.56000000000000005</v>
      </c>
      <c r="K2">
        <v>9.4</v>
      </c>
      <c r="L2">
        <v>5</v>
      </c>
      <c r="M2" t="str">
        <f t="shared" ref="M2:M65" si="0">IF($L2&gt;=7,"High",IF($L2&gt;=5,"Medium","Low"))</f>
        <v>Medium</v>
      </c>
      <c r="N2">
        <f>(winequality_red[[#This Row],[Updated Quality &amp; Alcohol Analysis]]+winequality_red[[#This Row],[volatile acidity]]+winequality_red[[#This Row],[citric acid]])</f>
        <v>8.1</v>
      </c>
      <c r="O2">
        <f t="shared" ref="O2:O65" si="1">($B2*$J2)/$K2</f>
        <v>4.170212765957447E-2</v>
      </c>
      <c r="S2" t="e">
        <f>IF($M2="Low",$K2,NA())</f>
        <v>#N/A</v>
      </c>
      <c r="T2" t="e">
        <f>IF($M2="Low",$L2,NA())</f>
        <v>#N/A</v>
      </c>
      <c r="U2">
        <f>IF($M2="Medium",$K2,NA())</f>
        <v>9.4</v>
      </c>
      <c r="V2">
        <f>IF($M2="Medium",$L2,NA())</f>
        <v>5</v>
      </c>
      <c r="W2" t="e">
        <f>IF($M2="High",$K2,NA())</f>
        <v>#N/A</v>
      </c>
      <c r="X2" t="e">
        <f>IF($M2="High",$L2,NA())</f>
        <v>#N/A</v>
      </c>
    </row>
    <row r="3" spans="1:24" x14ac:dyDescent="0.3">
      <c r="A3">
        <v>7.8</v>
      </c>
      <c r="B3">
        <v>0.88</v>
      </c>
      <c r="C3">
        <v>0</v>
      </c>
      <c r="D3">
        <v>2.6</v>
      </c>
      <c r="E3">
        <v>9.8000000000000004E-2</v>
      </c>
      <c r="F3">
        <v>25</v>
      </c>
      <c r="G3">
        <v>67</v>
      </c>
      <c r="H3">
        <v>0.99680000000000002</v>
      </c>
      <c r="I3">
        <v>3.2</v>
      </c>
      <c r="J3">
        <v>0.68</v>
      </c>
      <c r="K3">
        <v>9.8000000000000007</v>
      </c>
      <c r="L3">
        <v>5</v>
      </c>
      <c r="M3" t="str">
        <f t="shared" si="0"/>
        <v>Medium</v>
      </c>
      <c r="N3">
        <f>(winequality_red[[#This Row],[Updated Quality &amp; Alcohol Analysis]]+winequality_red[[#This Row],[volatile acidity]]+winequality_red[[#This Row],[citric acid]])</f>
        <v>8.68</v>
      </c>
      <c r="O3">
        <f t="shared" si="1"/>
        <v>6.1061224489795916E-2</v>
      </c>
      <c r="S3" t="e">
        <f t="shared" ref="S3:S66" si="2">IF($M3="Low",$K3,NA())</f>
        <v>#N/A</v>
      </c>
      <c r="T3" t="e">
        <f t="shared" ref="T3:T66" si="3">IF($M3="Low",$L3,NA())</f>
        <v>#N/A</v>
      </c>
      <c r="U3">
        <f t="shared" ref="U3:U66" si="4">IF($M3="Medium",$K3,NA())</f>
        <v>9.8000000000000007</v>
      </c>
      <c r="V3">
        <f t="shared" ref="V3:V66" si="5">IF($M3="Medium",$L3,NA())</f>
        <v>5</v>
      </c>
      <c r="W3" t="e">
        <f t="shared" ref="W3:W66" si="6">IF($M3="High",$K3,NA())</f>
        <v>#N/A</v>
      </c>
      <c r="X3" t="e">
        <f t="shared" ref="X3:X66" si="7">IF($M3="High",$L3,NA())</f>
        <v>#N/A</v>
      </c>
    </row>
    <row r="4" spans="1:24" x14ac:dyDescent="0.3">
      <c r="A4">
        <v>7.8</v>
      </c>
      <c r="B4">
        <v>0.76</v>
      </c>
      <c r="C4">
        <v>0.04</v>
      </c>
      <c r="D4">
        <v>2.2999999999999998</v>
      </c>
      <c r="E4">
        <v>9.1999999999999998E-2</v>
      </c>
      <c r="F4">
        <v>15</v>
      </c>
      <c r="G4">
        <v>54</v>
      </c>
      <c r="H4">
        <v>0.997</v>
      </c>
      <c r="I4">
        <v>3.26</v>
      </c>
      <c r="J4">
        <v>0.65</v>
      </c>
      <c r="K4">
        <v>9.8000000000000007</v>
      </c>
      <c r="L4">
        <v>5</v>
      </c>
      <c r="M4" t="str">
        <f t="shared" si="0"/>
        <v>Medium</v>
      </c>
      <c r="N4">
        <f>(winequality_red[[#This Row],[Updated Quality &amp; Alcohol Analysis]]+winequality_red[[#This Row],[volatile acidity]]+winequality_red[[#This Row],[citric acid]])</f>
        <v>8.6</v>
      </c>
      <c r="O4">
        <f t="shared" si="1"/>
        <v>5.0408163265306123E-2</v>
      </c>
      <c r="S4" t="e">
        <f t="shared" si="2"/>
        <v>#N/A</v>
      </c>
      <c r="T4" t="e">
        <f t="shared" si="3"/>
        <v>#N/A</v>
      </c>
      <c r="U4">
        <f t="shared" si="4"/>
        <v>9.8000000000000007</v>
      </c>
      <c r="V4">
        <f t="shared" si="5"/>
        <v>5</v>
      </c>
      <c r="W4" t="e">
        <f t="shared" si="6"/>
        <v>#N/A</v>
      </c>
      <c r="X4" t="e">
        <f t="shared" si="7"/>
        <v>#N/A</v>
      </c>
    </row>
    <row r="5" spans="1:24" x14ac:dyDescent="0.3">
      <c r="A5">
        <v>11.2</v>
      </c>
      <c r="B5">
        <v>0.28000000000000003</v>
      </c>
      <c r="C5">
        <v>0.56000000000000005</v>
      </c>
      <c r="D5">
        <v>1.9</v>
      </c>
      <c r="E5">
        <v>7.4999999999999997E-2</v>
      </c>
      <c r="F5">
        <v>17</v>
      </c>
      <c r="G5">
        <v>60</v>
      </c>
      <c r="H5">
        <v>0.998</v>
      </c>
      <c r="I5">
        <v>3.16</v>
      </c>
      <c r="J5">
        <v>0.57999999999999996</v>
      </c>
      <c r="K5">
        <v>9.8000000000000007</v>
      </c>
      <c r="L5">
        <v>6</v>
      </c>
      <c r="M5" t="str">
        <f t="shared" si="0"/>
        <v>Medium</v>
      </c>
      <c r="N5">
        <f>(winequality_red[[#This Row],[Updated Quality &amp; Alcohol Analysis]]+winequality_red[[#This Row],[volatile acidity]]+winequality_red[[#This Row],[citric acid]])</f>
        <v>12.04</v>
      </c>
      <c r="O5">
        <f t="shared" si="1"/>
        <v>1.657142857142857E-2</v>
      </c>
      <c r="S5" t="e">
        <f t="shared" si="2"/>
        <v>#N/A</v>
      </c>
      <c r="T5" t="e">
        <f t="shared" si="3"/>
        <v>#N/A</v>
      </c>
      <c r="U5">
        <f t="shared" si="4"/>
        <v>9.8000000000000007</v>
      </c>
      <c r="V5">
        <f t="shared" si="5"/>
        <v>6</v>
      </c>
      <c r="W5" t="e">
        <f t="shared" si="6"/>
        <v>#N/A</v>
      </c>
      <c r="X5" t="e">
        <f t="shared" si="7"/>
        <v>#N/A</v>
      </c>
    </row>
    <row r="6" spans="1:24" x14ac:dyDescent="0.3">
      <c r="A6">
        <v>7.4</v>
      </c>
      <c r="B6">
        <v>0.7</v>
      </c>
      <c r="C6">
        <v>0</v>
      </c>
      <c r="D6">
        <v>1.9</v>
      </c>
      <c r="E6">
        <v>7.5999999999999998E-2</v>
      </c>
      <c r="F6">
        <v>11</v>
      </c>
      <c r="G6">
        <v>34</v>
      </c>
      <c r="H6">
        <v>0.99780000000000002</v>
      </c>
      <c r="I6">
        <v>3.51</v>
      </c>
      <c r="J6">
        <v>0.56000000000000005</v>
      </c>
      <c r="K6">
        <v>9.4</v>
      </c>
      <c r="L6">
        <v>5</v>
      </c>
      <c r="M6" t="str">
        <f t="shared" si="0"/>
        <v>Medium</v>
      </c>
      <c r="N6">
        <f>(winequality_red[[#This Row],[Updated Quality &amp; Alcohol Analysis]]+winequality_red[[#This Row],[volatile acidity]]+winequality_red[[#This Row],[citric acid]])</f>
        <v>8.1</v>
      </c>
      <c r="O6">
        <f t="shared" si="1"/>
        <v>4.170212765957447E-2</v>
      </c>
      <c r="S6" t="e">
        <f t="shared" si="2"/>
        <v>#N/A</v>
      </c>
      <c r="T6" t="e">
        <f t="shared" si="3"/>
        <v>#N/A</v>
      </c>
      <c r="U6">
        <f t="shared" si="4"/>
        <v>9.4</v>
      </c>
      <c r="V6">
        <f t="shared" si="5"/>
        <v>5</v>
      </c>
      <c r="W6" t="e">
        <f t="shared" si="6"/>
        <v>#N/A</v>
      </c>
      <c r="X6" t="e">
        <f t="shared" si="7"/>
        <v>#N/A</v>
      </c>
    </row>
    <row r="7" spans="1:24" x14ac:dyDescent="0.3">
      <c r="A7">
        <v>7.4</v>
      </c>
      <c r="B7">
        <v>0.66</v>
      </c>
      <c r="C7">
        <v>0</v>
      </c>
      <c r="D7">
        <v>1.8</v>
      </c>
      <c r="E7">
        <v>7.4999999999999997E-2</v>
      </c>
      <c r="F7">
        <v>13</v>
      </c>
      <c r="G7">
        <v>40</v>
      </c>
      <c r="H7">
        <v>0.99780000000000002</v>
      </c>
      <c r="I7">
        <v>3.51</v>
      </c>
      <c r="J7">
        <v>0.56000000000000005</v>
      </c>
      <c r="K7">
        <v>9.4</v>
      </c>
      <c r="L7">
        <v>5</v>
      </c>
      <c r="M7" t="str">
        <f t="shared" si="0"/>
        <v>Medium</v>
      </c>
      <c r="N7">
        <f>(winequality_red[[#This Row],[Updated Quality &amp; Alcohol Analysis]]+winequality_red[[#This Row],[volatile acidity]]+winequality_red[[#This Row],[citric acid]])</f>
        <v>8.06</v>
      </c>
      <c r="O7">
        <f t="shared" si="1"/>
        <v>3.9319148936170216E-2</v>
      </c>
      <c r="S7" t="e">
        <f t="shared" si="2"/>
        <v>#N/A</v>
      </c>
      <c r="T7" t="e">
        <f t="shared" si="3"/>
        <v>#N/A</v>
      </c>
      <c r="U7">
        <f t="shared" si="4"/>
        <v>9.4</v>
      </c>
      <c r="V7">
        <f t="shared" si="5"/>
        <v>5</v>
      </c>
      <c r="W7" t="e">
        <f t="shared" si="6"/>
        <v>#N/A</v>
      </c>
      <c r="X7" t="e">
        <f t="shared" si="7"/>
        <v>#N/A</v>
      </c>
    </row>
    <row r="8" spans="1:24" x14ac:dyDescent="0.3">
      <c r="A8">
        <v>7.9</v>
      </c>
      <c r="B8">
        <v>0.6</v>
      </c>
      <c r="C8">
        <v>0.06</v>
      </c>
      <c r="D8">
        <v>1.6</v>
      </c>
      <c r="E8">
        <v>6.9000000000000006E-2</v>
      </c>
      <c r="F8">
        <v>15</v>
      </c>
      <c r="G8">
        <v>59</v>
      </c>
      <c r="H8">
        <v>0.99639999999999995</v>
      </c>
      <c r="I8">
        <v>3.3</v>
      </c>
      <c r="J8">
        <v>0.46</v>
      </c>
      <c r="K8">
        <v>9.4</v>
      </c>
      <c r="L8">
        <v>5</v>
      </c>
      <c r="M8" t="str">
        <f t="shared" si="0"/>
        <v>Medium</v>
      </c>
      <c r="N8">
        <f>(winequality_red[[#This Row],[Updated Quality &amp; Alcohol Analysis]]+winequality_red[[#This Row],[volatile acidity]]+winequality_red[[#This Row],[citric acid]])</f>
        <v>8.56</v>
      </c>
      <c r="O8">
        <f t="shared" si="1"/>
        <v>2.9361702127659577E-2</v>
      </c>
      <c r="S8" t="e">
        <f t="shared" si="2"/>
        <v>#N/A</v>
      </c>
      <c r="T8" t="e">
        <f t="shared" si="3"/>
        <v>#N/A</v>
      </c>
      <c r="U8">
        <f t="shared" si="4"/>
        <v>9.4</v>
      </c>
      <c r="V8">
        <f t="shared" si="5"/>
        <v>5</v>
      </c>
      <c r="W8" t="e">
        <f t="shared" si="6"/>
        <v>#N/A</v>
      </c>
      <c r="X8" t="e">
        <f t="shared" si="7"/>
        <v>#N/A</v>
      </c>
    </row>
    <row r="9" spans="1:24" x14ac:dyDescent="0.3">
      <c r="A9">
        <v>7.3</v>
      </c>
      <c r="B9">
        <v>0.65</v>
      </c>
      <c r="C9">
        <v>0</v>
      </c>
      <c r="D9">
        <v>1.2</v>
      </c>
      <c r="E9">
        <v>6.5000000000000002E-2</v>
      </c>
      <c r="F9">
        <v>15</v>
      </c>
      <c r="G9">
        <v>21</v>
      </c>
      <c r="H9">
        <v>0.99460000000000004</v>
      </c>
      <c r="I9">
        <v>3.39</v>
      </c>
      <c r="J9">
        <v>0.47</v>
      </c>
      <c r="K9">
        <v>10</v>
      </c>
      <c r="L9">
        <v>7</v>
      </c>
      <c r="M9" t="str">
        <f t="shared" si="0"/>
        <v>High</v>
      </c>
      <c r="N9">
        <f>(winequality_red[[#This Row],[Updated Quality &amp; Alcohol Analysis]]+winequality_red[[#This Row],[volatile acidity]]+winequality_red[[#This Row],[citric acid]])</f>
        <v>7.95</v>
      </c>
      <c r="O9">
        <f t="shared" si="1"/>
        <v>3.0550000000000001E-2</v>
      </c>
      <c r="S9" t="e">
        <f t="shared" si="2"/>
        <v>#N/A</v>
      </c>
      <c r="T9" t="e">
        <f t="shared" si="3"/>
        <v>#N/A</v>
      </c>
      <c r="U9" t="e">
        <f t="shared" si="4"/>
        <v>#N/A</v>
      </c>
      <c r="V9" t="e">
        <f t="shared" si="5"/>
        <v>#N/A</v>
      </c>
      <c r="W9">
        <f t="shared" si="6"/>
        <v>10</v>
      </c>
      <c r="X9">
        <f t="shared" si="7"/>
        <v>7</v>
      </c>
    </row>
    <row r="10" spans="1:24" x14ac:dyDescent="0.3">
      <c r="A10">
        <v>7.8</v>
      </c>
      <c r="B10">
        <v>0.57999999999999996</v>
      </c>
      <c r="C10">
        <v>0.02</v>
      </c>
      <c r="D10">
        <v>2</v>
      </c>
      <c r="E10">
        <v>7.2999999999999995E-2</v>
      </c>
      <c r="F10">
        <v>9</v>
      </c>
      <c r="G10">
        <v>18</v>
      </c>
      <c r="H10">
        <v>0.99680000000000002</v>
      </c>
      <c r="I10">
        <v>3.36</v>
      </c>
      <c r="J10">
        <v>0.56999999999999995</v>
      </c>
      <c r="K10">
        <v>9.5</v>
      </c>
      <c r="L10">
        <v>7</v>
      </c>
      <c r="M10" t="str">
        <f t="shared" si="0"/>
        <v>High</v>
      </c>
      <c r="N10">
        <f>(winequality_red[[#This Row],[Updated Quality &amp; Alcohol Analysis]]+winequality_red[[#This Row],[volatile acidity]]+winequality_red[[#This Row],[citric acid]])</f>
        <v>8.3999999999999986</v>
      </c>
      <c r="O10">
        <f t="shared" si="1"/>
        <v>3.4799999999999998E-2</v>
      </c>
      <c r="S10" t="e">
        <f t="shared" si="2"/>
        <v>#N/A</v>
      </c>
      <c r="T10" t="e">
        <f t="shared" si="3"/>
        <v>#N/A</v>
      </c>
      <c r="U10" t="e">
        <f t="shared" si="4"/>
        <v>#N/A</v>
      </c>
      <c r="V10" t="e">
        <f t="shared" si="5"/>
        <v>#N/A</v>
      </c>
      <c r="W10">
        <f t="shared" si="6"/>
        <v>9.5</v>
      </c>
      <c r="X10">
        <f t="shared" si="7"/>
        <v>7</v>
      </c>
    </row>
    <row r="11" spans="1:24" x14ac:dyDescent="0.3">
      <c r="A11">
        <v>7.5</v>
      </c>
      <c r="B11">
        <v>0.5</v>
      </c>
      <c r="C11">
        <v>0.36</v>
      </c>
      <c r="D11">
        <v>6.1</v>
      </c>
      <c r="E11">
        <v>7.0999999999999994E-2</v>
      </c>
      <c r="F11">
        <v>17</v>
      </c>
      <c r="G11">
        <v>102</v>
      </c>
      <c r="H11">
        <v>0.99780000000000002</v>
      </c>
      <c r="I11">
        <v>3.35</v>
      </c>
      <c r="J11">
        <v>0.8</v>
      </c>
      <c r="K11">
        <v>10.5</v>
      </c>
      <c r="L11">
        <v>5</v>
      </c>
      <c r="M11" t="str">
        <f t="shared" si="0"/>
        <v>Medium</v>
      </c>
      <c r="N11">
        <f>(winequality_red[[#This Row],[Updated Quality &amp; Alcohol Analysis]]+winequality_red[[#This Row],[volatile acidity]]+winequality_red[[#This Row],[citric acid]])</f>
        <v>8.36</v>
      </c>
      <c r="O11">
        <f t="shared" si="1"/>
        <v>3.8095238095238099E-2</v>
      </c>
      <c r="S11" t="e">
        <f t="shared" si="2"/>
        <v>#N/A</v>
      </c>
      <c r="T11" t="e">
        <f t="shared" si="3"/>
        <v>#N/A</v>
      </c>
      <c r="U11">
        <f t="shared" si="4"/>
        <v>10.5</v>
      </c>
      <c r="V11">
        <f t="shared" si="5"/>
        <v>5</v>
      </c>
      <c r="W11" t="e">
        <f t="shared" si="6"/>
        <v>#N/A</v>
      </c>
      <c r="X11" t="e">
        <f t="shared" si="7"/>
        <v>#N/A</v>
      </c>
    </row>
    <row r="12" spans="1:24" x14ac:dyDescent="0.3">
      <c r="A12">
        <v>6.7</v>
      </c>
      <c r="B12">
        <v>0.57999999999999996</v>
      </c>
      <c r="C12">
        <v>0.08</v>
      </c>
      <c r="D12">
        <v>1.8</v>
      </c>
      <c r="E12">
        <v>9.6999999999999989E-2</v>
      </c>
      <c r="F12">
        <v>15</v>
      </c>
      <c r="G12">
        <v>65</v>
      </c>
      <c r="H12">
        <v>0.99590000000000001</v>
      </c>
      <c r="I12">
        <v>3.28</v>
      </c>
      <c r="J12">
        <v>0.54</v>
      </c>
      <c r="K12">
        <v>9.1999999999999993</v>
      </c>
      <c r="L12">
        <v>5</v>
      </c>
      <c r="M12" t="str">
        <f t="shared" si="0"/>
        <v>Medium</v>
      </c>
      <c r="N12">
        <f>(winequality_red[[#This Row],[Updated Quality &amp; Alcohol Analysis]]+winequality_red[[#This Row],[volatile acidity]]+winequality_red[[#This Row],[citric acid]])</f>
        <v>7.36</v>
      </c>
      <c r="O12">
        <f t="shared" si="1"/>
        <v>3.4043478260869564E-2</v>
      </c>
      <c r="S12" t="e">
        <f t="shared" si="2"/>
        <v>#N/A</v>
      </c>
      <c r="T12" t="e">
        <f t="shared" si="3"/>
        <v>#N/A</v>
      </c>
      <c r="U12">
        <f t="shared" si="4"/>
        <v>9.1999999999999993</v>
      </c>
      <c r="V12">
        <f t="shared" si="5"/>
        <v>5</v>
      </c>
      <c r="W12" t="e">
        <f t="shared" si="6"/>
        <v>#N/A</v>
      </c>
      <c r="X12" t="e">
        <f t="shared" si="7"/>
        <v>#N/A</v>
      </c>
    </row>
    <row r="13" spans="1:24" x14ac:dyDescent="0.3">
      <c r="A13">
        <v>7.5</v>
      </c>
      <c r="B13">
        <v>0.5</v>
      </c>
      <c r="C13">
        <v>0.36</v>
      </c>
      <c r="D13">
        <v>6.1</v>
      </c>
      <c r="E13">
        <v>7.0999999999999994E-2</v>
      </c>
      <c r="F13">
        <v>17</v>
      </c>
      <c r="G13">
        <v>102</v>
      </c>
      <c r="H13">
        <v>0.99780000000000002</v>
      </c>
      <c r="I13">
        <v>3.35</v>
      </c>
      <c r="J13">
        <v>0.8</v>
      </c>
      <c r="K13">
        <v>10.5</v>
      </c>
      <c r="L13">
        <v>5</v>
      </c>
      <c r="M13" t="str">
        <f t="shared" si="0"/>
        <v>Medium</v>
      </c>
      <c r="N13">
        <f>(winequality_red[[#This Row],[Updated Quality &amp; Alcohol Analysis]]+winequality_red[[#This Row],[volatile acidity]]+winequality_red[[#This Row],[citric acid]])</f>
        <v>8.36</v>
      </c>
      <c r="O13">
        <f t="shared" si="1"/>
        <v>3.8095238095238099E-2</v>
      </c>
      <c r="S13" t="e">
        <f t="shared" si="2"/>
        <v>#N/A</v>
      </c>
      <c r="T13" t="e">
        <f t="shared" si="3"/>
        <v>#N/A</v>
      </c>
      <c r="U13">
        <f t="shared" si="4"/>
        <v>10.5</v>
      </c>
      <c r="V13">
        <f t="shared" si="5"/>
        <v>5</v>
      </c>
      <c r="W13" t="e">
        <f t="shared" si="6"/>
        <v>#N/A</v>
      </c>
      <c r="X13" t="e">
        <f t="shared" si="7"/>
        <v>#N/A</v>
      </c>
    </row>
    <row r="14" spans="1:24" x14ac:dyDescent="0.3">
      <c r="A14">
        <v>5.6</v>
      </c>
      <c r="B14">
        <v>0.61499999999999999</v>
      </c>
      <c r="C14">
        <v>0</v>
      </c>
      <c r="D14">
        <v>1.6</v>
      </c>
      <c r="E14">
        <v>8.900000000000001E-2</v>
      </c>
      <c r="F14">
        <v>16</v>
      </c>
      <c r="G14">
        <v>59</v>
      </c>
      <c r="H14">
        <v>0.99429999999999996</v>
      </c>
      <c r="I14">
        <v>3.58</v>
      </c>
      <c r="J14">
        <v>0.52</v>
      </c>
      <c r="K14">
        <v>9.9</v>
      </c>
      <c r="L14">
        <v>5</v>
      </c>
      <c r="M14" t="str">
        <f t="shared" si="0"/>
        <v>Medium</v>
      </c>
      <c r="N14">
        <f>(winequality_red[[#This Row],[Updated Quality &amp; Alcohol Analysis]]+winequality_red[[#This Row],[volatile acidity]]+winequality_red[[#This Row],[citric acid]])</f>
        <v>6.2149999999999999</v>
      </c>
      <c r="O14">
        <f t="shared" si="1"/>
        <v>3.2303030303030306E-2</v>
      </c>
      <c r="S14" t="e">
        <f t="shared" si="2"/>
        <v>#N/A</v>
      </c>
      <c r="T14" t="e">
        <f t="shared" si="3"/>
        <v>#N/A</v>
      </c>
      <c r="U14">
        <f t="shared" si="4"/>
        <v>9.9</v>
      </c>
      <c r="V14">
        <f t="shared" si="5"/>
        <v>5</v>
      </c>
      <c r="W14" t="e">
        <f t="shared" si="6"/>
        <v>#N/A</v>
      </c>
      <c r="X14" t="e">
        <f t="shared" si="7"/>
        <v>#N/A</v>
      </c>
    </row>
    <row r="15" spans="1:24" x14ac:dyDescent="0.3">
      <c r="A15">
        <v>7.8</v>
      </c>
      <c r="B15">
        <v>0.61</v>
      </c>
      <c r="C15">
        <v>0.28999999999999998</v>
      </c>
      <c r="D15">
        <v>1.6</v>
      </c>
      <c r="E15">
        <v>0.114</v>
      </c>
      <c r="F15">
        <v>9</v>
      </c>
      <c r="G15">
        <v>29</v>
      </c>
      <c r="H15">
        <v>0.99739999999999995</v>
      </c>
      <c r="I15">
        <v>3.26</v>
      </c>
      <c r="J15">
        <v>1.56</v>
      </c>
      <c r="K15">
        <v>9.1</v>
      </c>
      <c r="L15">
        <v>5</v>
      </c>
      <c r="M15" t="str">
        <f t="shared" si="0"/>
        <v>Medium</v>
      </c>
      <c r="N15">
        <f>(winequality_red[[#This Row],[Updated Quality &amp; Alcohol Analysis]]+winequality_red[[#This Row],[volatile acidity]]+winequality_red[[#This Row],[citric acid]])</f>
        <v>8.6999999999999993</v>
      </c>
      <c r="O15">
        <f t="shared" si="1"/>
        <v>0.10457142857142858</v>
      </c>
      <c r="S15" t="e">
        <f>IF($M15="Low",$K15,NA())</f>
        <v>#N/A</v>
      </c>
      <c r="T15" t="e">
        <f>IF($M15="Low",$L15,NA())</f>
        <v>#N/A</v>
      </c>
      <c r="U15">
        <f t="shared" si="4"/>
        <v>9.1</v>
      </c>
      <c r="V15">
        <f t="shared" si="5"/>
        <v>5</v>
      </c>
      <c r="W15" t="e">
        <f t="shared" si="6"/>
        <v>#N/A</v>
      </c>
      <c r="X15" t="e">
        <f t="shared" si="7"/>
        <v>#N/A</v>
      </c>
    </row>
    <row r="16" spans="1:24" x14ac:dyDescent="0.3">
      <c r="A16">
        <v>8.9</v>
      </c>
      <c r="B16">
        <v>0.62</v>
      </c>
      <c r="C16">
        <v>0.18</v>
      </c>
      <c r="D16">
        <v>3.8</v>
      </c>
      <c r="E16">
        <v>0.17600000000000002</v>
      </c>
      <c r="F16">
        <v>52</v>
      </c>
      <c r="G16">
        <v>145</v>
      </c>
      <c r="H16">
        <v>0.99860000000000004</v>
      </c>
      <c r="I16">
        <v>3.16</v>
      </c>
      <c r="J16">
        <v>0.88</v>
      </c>
      <c r="K16">
        <v>9.1999999999999993</v>
      </c>
      <c r="L16">
        <v>5</v>
      </c>
      <c r="M16" t="str">
        <f t="shared" si="0"/>
        <v>Medium</v>
      </c>
      <c r="N16">
        <f>(winequality_red[[#This Row],[Updated Quality &amp; Alcohol Analysis]]+winequality_red[[#This Row],[volatile acidity]]+winequality_red[[#This Row],[citric acid]])</f>
        <v>9.6999999999999993</v>
      </c>
      <c r="O16">
        <f t="shared" si="1"/>
        <v>5.9304347826086956E-2</v>
      </c>
      <c r="S16" t="e">
        <f t="shared" si="2"/>
        <v>#N/A</v>
      </c>
      <c r="T16" t="e">
        <f t="shared" si="3"/>
        <v>#N/A</v>
      </c>
      <c r="U16">
        <f t="shared" si="4"/>
        <v>9.1999999999999993</v>
      </c>
      <c r="V16">
        <f t="shared" si="5"/>
        <v>5</v>
      </c>
      <c r="W16" t="e">
        <f t="shared" si="6"/>
        <v>#N/A</v>
      </c>
      <c r="X16" t="e">
        <f t="shared" si="7"/>
        <v>#N/A</v>
      </c>
    </row>
    <row r="17" spans="1:24" x14ac:dyDescent="0.3">
      <c r="A17">
        <v>8.9</v>
      </c>
      <c r="B17">
        <v>0.62</v>
      </c>
      <c r="C17">
        <v>0.19</v>
      </c>
      <c r="D17">
        <v>3.9</v>
      </c>
      <c r="E17">
        <v>0.17</v>
      </c>
      <c r="F17">
        <v>51</v>
      </c>
      <c r="G17">
        <v>148</v>
      </c>
      <c r="H17">
        <v>0.99860000000000004</v>
      </c>
      <c r="I17">
        <v>3.17</v>
      </c>
      <c r="J17">
        <v>0.93</v>
      </c>
      <c r="K17">
        <v>9.1999999999999993</v>
      </c>
      <c r="L17">
        <v>5</v>
      </c>
      <c r="M17" t="str">
        <f t="shared" si="0"/>
        <v>Medium</v>
      </c>
      <c r="N17">
        <f>(winequality_red[[#This Row],[Updated Quality &amp; Alcohol Analysis]]+winequality_red[[#This Row],[volatile acidity]]+winequality_red[[#This Row],[citric acid]])</f>
        <v>9.7099999999999991</v>
      </c>
      <c r="O17">
        <f t="shared" si="1"/>
        <v>6.267391304347826E-2</v>
      </c>
      <c r="S17" t="e">
        <f t="shared" si="2"/>
        <v>#N/A</v>
      </c>
      <c r="T17" t="e">
        <f t="shared" si="3"/>
        <v>#N/A</v>
      </c>
      <c r="U17">
        <f t="shared" si="4"/>
        <v>9.1999999999999993</v>
      </c>
      <c r="V17">
        <f t="shared" si="5"/>
        <v>5</v>
      </c>
      <c r="W17" t="e">
        <f t="shared" si="6"/>
        <v>#N/A</v>
      </c>
      <c r="X17" t="e">
        <f t="shared" si="7"/>
        <v>#N/A</v>
      </c>
    </row>
    <row r="18" spans="1:24" x14ac:dyDescent="0.3">
      <c r="A18">
        <v>8.5</v>
      </c>
      <c r="B18">
        <v>0.28000000000000003</v>
      </c>
      <c r="C18">
        <v>0.56000000000000005</v>
      </c>
      <c r="D18">
        <v>1.8</v>
      </c>
      <c r="E18">
        <v>9.1999999999999998E-2</v>
      </c>
      <c r="F18">
        <v>35</v>
      </c>
      <c r="G18">
        <v>103</v>
      </c>
      <c r="H18">
        <v>0.99690000000000001</v>
      </c>
      <c r="I18">
        <v>3.3</v>
      </c>
      <c r="J18">
        <v>0.75</v>
      </c>
      <c r="K18">
        <v>10.5</v>
      </c>
      <c r="L18">
        <v>7</v>
      </c>
      <c r="M18" t="str">
        <f t="shared" si="0"/>
        <v>High</v>
      </c>
      <c r="N18">
        <f>(winequality_red[[#This Row],[Updated Quality &amp; Alcohol Analysis]]+winequality_red[[#This Row],[volatile acidity]]+winequality_red[[#This Row],[citric acid]])</f>
        <v>9.34</v>
      </c>
      <c r="O18">
        <f t="shared" si="1"/>
        <v>0.02</v>
      </c>
      <c r="S18" t="e">
        <f t="shared" si="2"/>
        <v>#N/A</v>
      </c>
      <c r="T18" t="e">
        <f t="shared" si="3"/>
        <v>#N/A</v>
      </c>
      <c r="U18" t="e">
        <f t="shared" si="4"/>
        <v>#N/A</v>
      </c>
      <c r="V18" t="e">
        <f t="shared" si="5"/>
        <v>#N/A</v>
      </c>
      <c r="W18">
        <f t="shared" si="6"/>
        <v>10.5</v>
      </c>
      <c r="X18">
        <f t="shared" si="7"/>
        <v>7</v>
      </c>
    </row>
    <row r="19" spans="1:24" x14ac:dyDescent="0.3">
      <c r="A19">
        <v>8.1</v>
      </c>
      <c r="B19">
        <v>0.56000000000000005</v>
      </c>
      <c r="C19">
        <v>0.28000000000000003</v>
      </c>
      <c r="D19">
        <v>1.7</v>
      </c>
      <c r="E19">
        <v>0.36799999999999999</v>
      </c>
      <c r="F19">
        <v>16</v>
      </c>
      <c r="G19">
        <v>56</v>
      </c>
      <c r="H19">
        <v>0.99680000000000002</v>
      </c>
      <c r="I19">
        <v>3.11</v>
      </c>
      <c r="J19">
        <v>1.28</v>
      </c>
      <c r="K19">
        <v>9.3000000000000007</v>
      </c>
      <c r="L19">
        <v>5</v>
      </c>
      <c r="M19" t="str">
        <f t="shared" si="0"/>
        <v>Medium</v>
      </c>
      <c r="N19">
        <f>(winequality_red[[#This Row],[Updated Quality &amp; Alcohol Analysis]]+winequality_red[[#This Row],[volatile acidity]]+winequality_red[[#This Row],[citric acid]])</f>
        <v>8.94</v>
      </c>
      <c r="O19">
        <f t="shared" si="1"/>
        <v>7.7075268817204307E-2</v>
      </c>
      <c r="S19" t="e">
        <f t="shared" si="2"/>
        <v>#N/A</v>
      </c>
      <c r="T19" t="e">
        <f t="shared" si="3"/>
        <v>#N/A</v>
      </c>
      <c r="U19">
        <f t="shared" si="4"/>
        <v>9.3000000000000007</v>
      </c>
      <c r="V19">
        <f t="shared" si="5"/>
        <v>5</v>
      </c>
      <c r="W19" t="e">
        <f t="shared" si="6"/>
        <v>#N/A</v>
      </c>
      <c r="X19" t="e">
        <f t="shared" si="7"/>
        <v>#N/A</v>
      </c>
    </row>
    <row r="20" spans="1:24" x14ac:dyDescent="0.3">
      <c r="A20">
        <v>7.4</v>
      </c>
      <c r="B20">
        <v>0.59</v>
      </c>
      <c r="C20">
        <v>0.08</v>
      </c>
      <c r="D20">
        <v>4.4000000000000004</v>
      </c>
      <c r="E20">
        <v>8.5999999999999993E-2</v>
      </c>
      <c r="F20">
        <v>6</v>
      </c>
      <c r="G20">
        <v>29</v>
      </c>
      <c r="H20">
        <v>0.99739999999999995</v>
      </c>
      <c r="I20">
        <v>3.38</v>
      </c>
      <c r="J20">
        <v>0.5</v>
      </c>
      <c r="K20">
        <v>9</v>
      </c>
      <c r="L20">
        <v>4</v>
      </c>
      <c r="M20" t="str">
        <f t="shared" si="0"/>
        <v>Low</v>
      </c>
      <c r="N20">
        <f>(winequality_red[[#This Row],[Updated Quality &amp; Alcohol Analysis]]+winequality_red[[#This Row],[volatile acidity]]+winequality_red[[#This Row],[citric acid]])</f>
        <v>8.07</v>
      </c>
      <c r="O20">
        <f t="shared" si="1"/>
        <v>3.2777777777777774E-2</v>
      </c>
      <c r="S20">
        <f t="shared" si="2"/>
        <v>9</v>
      </c>
      <c r="T20">
        <f t="shared" si="3"/>
        <v>4</v>
      </c>
      <c r="U20" t="e">
        <f t="shared" si="4"/>
        <v>#N/A</v>
      </c>
      <c r="V20" t="e">
        <f t="shared" si="5"/>
        <v>#N/A</v>
      </c>
      <c r="W20" t="e">
        <f t="shared" si="6"/>
        <v>#N/A</v>
      </c>
      <c r="X20" t="e">
        <f t="shared" si="7"/>
        <v>#N/A</v>
      </c>
    </row>
    <row r="21" spans="1:24" x14ac:dyDescent="0.3">
      <c r="A21">
        <v>7.9</v>
      </c>
      <c r="B21">
        <v>0.32</v>
      </c>
      <c r="C21">
        <v>0.51</v>
      </c>
      <c r="D21">
        <v>1.8</v>
      </c>
      <c r="E21">
        <v>0.34100000000000003</v>
      </c>
      <c r="F21">
        <v>17</v>
      </c>
      <c r="G21">
        <v>56</v>
      </c>
      <c r="H21">
        <v>0.99690000000000001</v>
      </c>
      <c r="I21">
        <v>3.04</v>
      </c>
      <c r="J21">
        <v>1.08</v>
      </c>
      <c r="K21">
        <v>9.1999999999999993</v>
      </c>
      <c r="L21">
        <v>6</v>
      </c>
      <c r="M21" t="str">
        <f t="shared" si="0"/>
        <v>Medium</v>
      </c>
      <c r="N21">
        <f>(winequality_red[[#This Row],[Updated Quality &amp; Alcohol Analysis]]+winequality_red[[#This Row],[volatile acidity]]+winequality_red[[#This Row],[citric acid]])</f>
        <v>8.73</v>
      </c>
      <c r="O21">
        <f t="shared" si="1"/>
        <v>3.7565217391304355E-2</v>
      </c>
      <c r="S21" t="e">
        <f t="shared" si="2"/>
        <v>#N/A</v>
      </c>
      <c r="T21" t="e">
        <f t="shared" si="3"/>
        <v>#N/A</v>
      </c>
      <c r="U21">
        <f t="shared" si="4"/>
        <v>9.1999999999999993</v>
      </c>
      <c r="V21">
        <f t="shared" si="5"/>
        <v>6</v>
      </c>
      <c r="W21" t="e">
        <f t="shared" si="6"/>
        <v>#N/A</v>
      </c>
      <c r="X21" t="e">
        <f t="shared" si="7"/>
        <v>#N/A</v>
      </c>
    </row>
    <row r="22" spans="1:24" x14ac:dyDescent="0.3">
      <c r="A22">
        <v>8.9</v>
      </c>
      <c r="B22">
        <v>0.22</v>
      </c>
      <c r="C22">
        <v>0.48</v>
      </c>
      <c r="D22">
        <v>1.8</v>
      </c>
      <c r="E22">
        <v>7.6999999999999999E-2</v>
      </c>
      <c r="F22">
        <v>29</v>
      </c>
      <c r="G22">
        <v>60</v>
      </c>
      <c r="H22">
        <v>0.99680000000000002</v>
      </c>
      <c r="I22">
        <v>3.39</v>
      </c>
      <c r="J22">
        <v>0.53</v>
      </c>
      <c r="K22">
        <v>9.4</v>
      </c>
      <c r="L22">
        <v>6</v>
      </c>
      <c r="M22" t="str">
        <f t="shared" si="0"/>
        <v>Medium</v>
      </c>
      <c r="N22">
        <f>(winequality_red[[#This Row],[Updated Quality &amp; Alcohol Analysis]]+winequality_red[[#This Row],[volatile acidity]]+winequality_red[[#This Row],[citric acid]])</f>
        <v>9.6000000000000014</v>
      </c>
      <c r="O22">
        <f t="shared" si="1"/>
        <v>1.2404255319148936E-2</v>
      </c>
      <c r="S22" t="e">
        <f t="shared" si="2"/>
        <v>#N/A</v>
      </c>
      <c r="T22" t="e">
        <f t="shared" si="3"/>
        <v>#N/A</v>
      </c>
      <c r="U22">
        <f t="shared" si="4"/>
        <v>9.4</v>
      </c>
      <c r="V22">
        <f t="shared" si="5"/>
        <v>6</v>
      </c>
      <c r="W22" t="e">
        <f t="shared" si="6"/>
        <v>#N/A</v>
      </c>
      <c r="X22" t="e">
        <f t="shared" si="7"/>
        <v>#N/A</v>
      </c>
    </row>
    <row r="23" spans="1:24" x14ac:dyDescent="0.3">
      <c r="A23">
        <v>7.6</v>
      </c>
      <c r="B23">
        <v>0.39</v>
      </c>
      <c r="C23">
        <v>0.31</v>
      </c>
      <c r="D23">
        <v>2.2999999999999998</v>
      </c>
      <c r="E23">
        <v>8.199999999999999E-2</v>
      </c>
      <c r="F23">
        <v>23</v>
      </c>
      <c r="G23">
        <v>71</v>
      </c>
      <c r="H23">
        <v>0.99819999999999998</v>
      </c>
      <c r="I23">
        <v>3.52</v>
      </c>
      <c r="J23">
        <v>0.65</v>
      </c>
      <c r="K23">
        <v>9.6999999999999993</v>
      </c>
      <c r="L23">
        <v>5</v>
      </c>
      <c r="M23" t="str">
        <f t="shared" si="0"/>
        <v>Medium</v>
      </c>
      <c r="N23">
        <f>(winequality_red[[#This Row],[Updated Quality &amp; Alcohol Analysis]]+winequality_red[[#This Row],[volatile acidity]]+winequality_red[[#This Row],[citric acid]])</f>
        <v>8.2999999999999989</v>
      </c>
      <c r="O23">
        <f t="shared" si="1"/>
        <v>2.6134020618556703E-2</v>
      </c>
      <c r="S23" t="e">
        <f t="shared" si="2"/>
        <v>#N/A</v>
      </c>
      <c r="T23" t="e">
        <f t="shared" si="3"/>
        <v>#N/A</v>
      </c>
      <c r="U23">
        <f t="shared" si="4"/>
        <v>9.6999999999999993</v>
      </c>
      <c r="V23">
        <f t="shared" si="5"/>
        <v>5</v>
      </c>
      <c r="W23" t="e">
        <f t="shared" si="6"/>
        <v>#N/A</v>
      </c>
      <c r="X23" t="e">
        <f t="shared" si="7"/>
        <v>#N/A</v>
      </c>
    </row>
    <row r="24" spans="1:24" x14ac:dyDescent="0.3">
      <c r="A24">
        <v>7.9</v>
      </c>
      <c r="B24">
        <v>0.43</v>
      </c>
      <c r="C24">
        <v>0.21</v>
      </c>
      <c r="D24">
        <v>1.6</v>
      </c>
      <c r="E24">
        <v>0.106</v>
      </c>
      <c r="F24">
        <v>10</v>
      </c>
      <c r="G24">
        <v>37</v>
      </c>
      <c r="H24">
        <v>0.99660000000000004</v>
      </c>
      <c r="I24">
        <v>3.17</v>
      </c>
      <c r="J24">
        <v>0.91</v>
      </c>
      <c r="K24">
        <v>9.5</v>
      </c>
      <c r="L24">
        <v>5</v>
      </c>
      <c r="M24" t="str">
        <f t="shared" si="0"/>
        <v>Medium</v>
      </c>
      <c r="N24">
        <f>(winequality_red[[#This Row],[Updated Quality &amp; Alcohol Analysis]]+winequality_red[[#This Row],[volatile acidity]]+winequality_red[[#This Row],[citric acid]])</f>
        <v>8.5400000000000009</v>
      </c>
      <c r="O24">
        <f t="shared" si="1"/>
        <v>4.1189473684210526E-2</v>
      </c>
      <c r="S24" t="e">
        <f t="shared" si="2"/>
        <v>#N/A</v>
      </c>
      <c r="T24" t="e">
        <f t="shared" si="3"/>
        <v>#N/A</v>
      </c>
      <c r="U24">
        <f t="shared" si="4"/>
        <v>9.5</v>
      </c>
      <c r="V24">
        <f t="shared" si="5"/>
        <v>5</v>
      </c>
      <c r="W24" t="e">
        <f t="shared" si="6"/>
        <v>#N/A</v>
      </c>
      <c r="X24" t="e">
        <f t="shared" si="7"/>
        <v>#N/A</v>
      </c>
    </row>
    <row r="25" spans="1:24" x14ac:dyDescent="0.3">
      <c r="A25">
        <v>8.5</v>
      </c>
      <c r="B25">
        <v>0.49</v>
      </c>
      <c r="C25">
        <v>0.11</v>
      </c>
      <c r="D25">
        <v>2.2999999999999998</v>
      </c>
      <c r="E25">
        <v>8.4000000000000005E-2</v>
      </c>
      <c r="F25">
        <v>9</v>
      </c>
      <c r="G25">
        <v>67</v>
      </c>
      <c r="H25">
        <v>0.99680000000000002</v>
      </c>
      <c r="I25">
        <v>3.17</v>
      </c>
      <c r="J25">
        <v>0.53</v>
      </c>
      <c r="K25">
        <v>9.4</v>
      </c>
      <c r="L25">
        <v>5</v>
      </c>
      <c r="M25" t="str">
        <f t="shared" si="0"/>
        <v>Medium</v>
      </c>
      <c r="N25">
        <f>(winequality_red[[#This Row],[Updated Quality &amp; Alcohol Analysis]]+winequality_red[[#This Row],[volatile acidity]]+winequality_red[[#This Row],[citric acid]])</f>
        <v>9.1</v>
      </c>
      <c r="O25">
        <f t="shared" si="1"/>
        <v>2.7627659574468083E-2</v>
      </c>
      <c r="S25" t="e">
        <f t="shared" si="2"/>
        <v>#N/A</v>
      </c>
      <c r="T25" t="e">
        <f t="shared" si="3"/>
        <v>#N/A</v>
      </c>
      <c r="U25">
        <f t="shared" si="4"/>
        <v>9.4</v>
      </c>
      <c r="V25">
        <f t="shared" si="5"/>
        <v>5</v>
      </c>
      <c r="W25" t="e">
        <f t="shared" si="6"/>
        <v>#N/A</v>
      </c>
      <c r="X25" t="e">
        <f t="shared" si="7"/>
        <v>#N/A</v>
      </c>
    </row>
    <row r="26" spans="1:24" x14ac:dyDescent="0.3">
      <c r="A26">
        <v>6.9</v>
      </c>
      <c r="B26">
        <v>0.4</v>
      </c>
      <c r="C26">
        <v>0.14000000000000001</v>
      </c>
      <c r="D26">
        <v>2.4</v>
      </c>
      <c r="E26">
        <v>8.5000000000000006E-2</v>
      </c>
      <c r="F26">
        <v>21</v>
      </c>
      <c r="G26">
        <v>40</v>
      </c>
      <c r="H26">
        <v>0.99680000000000002</v>
      </c>
      <c r="I26">
        <v>3.43</v>
      </c>
      <c r="J26">
        <v>0.63</v>
      </c>
      <c r="K26">
        <v>9.6999999999999993</v>
      </c>
      <c r="L26">
        <v>6</v>
      </c>
      <c r="M26" t="str">
        <f t="shared" si="0"/>
        <v>Medium</v>
      </c>
      <c r="N26">
        <f>(winequality_red[[#This Row],[Updated Quality &amp; Alcohol Analysis]]+winequality_red[[#This Row],[volatile acidity]]+winequality_red[[#This Row],[citric acid]])</f>
        <v>7.44</v>
      </c>
      <c r="O26">
        <f t="shared" si="1"/>
        <v>2.597938144329897E-2</v>
      </c>
      <c r="S26" t="e">
        <f t="shared" si="2"/>
        <v>#N/A</v>
      </c>
      <c r="T26" t="e">
        <f t="shared" si="3"/>
        <v>#N/A</v>
      </c>
      <c r="U26">
        <f t="shared" si="4"/>
        <v>9.6999999999999993</v>
      </c>
      <c r="V26">
        <f t="shared" si="5"/>
        <v>6</v>
      </c>
      <c r="W26" t="e">
        <f t="shared" si="6"/>
        <v>#N/A</v>
      </c>
      <c r="X26" t="e">
        <f t="shared" si="7"/>
        <v>#N/A</v>
      </c>
    </row>
    <row r="27" spans="1:24" x14ac:dyDescent="0.3">
      <c r="A27">
        <v>6.3</v>
      </c>
      <c r="B27">
        <v>0.39</v>
      </c>
      <c r="C27">
        <v>0.16</v>
      </c>
      <c r="D27">
        <v>1.4</v>
      </c>
      <c r="E27">
        <v>0.08</v>
      </c>
      <c r="F27">
        <v>11</v>
      </c>
      <c r="G27">
        <v>23</v>
      </c>
      <c r="H27">
        <v>0.99550000000000005</v>
      </c>
      <c r="I27">
        <v>3.34</v>
      </c>
      <c r="J27">
        <v>0.56000000000000005</v>
      </c>
      <c r="K27">
        <v>9.3000000000000007</v>
      </c>
      <c r="L27">
        <v>5</v>
      </c>
      <c r="M27" t="str">
        <f t="shared" si="0"/>
        <v>Medium</v>
      </c>
      <c r="N27">
        <f>(winequality_red[[#This Row],[Updated Quality &amp; Alcohol Analysis]]+winequality_red[[#This Row],[volatile acidity]]+winequality_red[[#This Row],[citric acid]])</f>
        <v>6.85</v>
      </c>
      <c r="O27">
        <f t="shared" si="1"/>
        <v>2.3483870967741939E-2</v>
      </c>
      <c r="S27" t="e">
        <f t="shared" si="2"/>
        <v>#N/A</v>
      </c>
      <c r="T27" t="e">
        <f t="shared" si="3"/>
        <v>#N/A</v>
      </c>
      <c r="U27">
        <f t="shared" si="4"/>
        <v>9.3000000000000007</v>
      </c>
      <c r="V27">
        <f t="shared" si="5"/>
        <v>5</v>
      </c>
      <c r="W27" t="e">
        <f t="shared" si="6"/>
        <v>#N/A</v>
      </c>
      <c r="X27" t="e">
        <f t="shared" si="7"/>
        <v>#N/A</v>
      </c>
    </row>
    <row r="28" spans="1:24" x14ac:dyDescent="0.3">
      <c r="A28">
        <v>7.6</v>
      </c>
      <c r="B28">
        <v>0.41</v>
      </c>
      <c r="C28">
        <v>0.24</v>
      </c>
      <c r="D28">
        <v>1.8</v>
      </c>
      <c r="E28">
        <v>0.08</v>
      </c>
      <c r="F28">
        <v>4</v>
      </c>
      <c r="G28">
        <v>11</v>
      </c>
      <c r="H28">
        <v>0.99619999999999997</v>
      </c>
      <c r="I28">
        <v>3.28</v>
      </c>
      <c r="J28">
        <v>0.59</v>
      </c>
      <c r="K28">
        <v>9.5</v>
      </c>
      <c r="L28">
        <v>5</v>
      </c>
      <c r="M28" t="str">
        <f t="shared" si="0"/>
        <v>Medium</v>
      </c>
      <c r="N28">
        <f>(winequality_red[[#This Row],[Updated Quality &amp; Alcohol Analysis]]+winequality_red[[#This Row],[volatile acidity]]+winequality_red[[#This Row],[citric acid]])</f>
        <v>8.25</v>
      </c>
      <c r="O28">
        <f t="shared" si="1"/>
        <v>2.546315789473684E-2</v>
      </c>
      <c r="S28" t="e">
        <f t="shared" si="2"/>
        <v>#N/A</v>
      </c>
      <c r="T28" t="e">
        <f t="shared" si="3"/>
        <v>#N/A</v>
      </c>
      <c r="U28">
        <f t="shared" si="4"/>
        <v>9.5</v>
      </c>
      <c r="V28">
        <f t="shared" si="5"/>
        <v>5</v>
      </c>
      <c r="W28" t="e">
        <f t="shared" si="6"/>
        <v>#N/A</v>
      </c>
      <c r="X28" t="e">
        <f t="shared" si="7"/>
        <v>#N/A</v>
      </c>
    </row>
    <row r="29" spans="1:24" x14ac:dyDescent="0.3">
      <c r="A29">
        <v>7.9</v>
      </c>
      <c r="B29">
        <v>0.43</v>
      </c>
      <c r="C29">
        <v>0.21</v>
      </c>
      <c r="D29">
        <v>1.6</v>
      </c>
      <c r="E29">
        <v>0.106</v>
      </c>
      <c r="F29">
        <v>10</v>
      </c>
      <c r="G29">
        <v>37</v>
      </c>
      <c r="H29">
        <v>0.99660000000000004</v>
      </c>
      <c r="I29">
        <v>3.17</v>
      </c>
      <c r="J29">
        <v>0.91</v>
      </c>
      <c r="K29">
        <v>9.5</v>
      </c>
      <c r="L29">
        <v>5</v>
      </c>
      <c r="M29" t="str">
        <f t="shared" si="0"/>
        <v>Medium</v>
      </c>
      <c r="N29">
        <f>(winequality_red[[#This Row],[Updated Quality &amp; Alcohol Analysis]]+winequality_red[[#This Row],[volatile acidity]]+winequality_red[[#This Row],[citric acid]])</f>
        <v>8.5400000000000009</v>
      </c>
      <c r="O29">
        <f t="shared" si="1"/>
        <v>4.1189473684210526E-2</v>
      </c>
      <c r="S29" t="e">
        <f t="shared" si="2"/>
        <v>#N/A</v>
      </c>
      <c r="T29" t="e">
        <f t="shared" si="3"/>
        <v>#N/A</v>
      </c>
      <c r="U29">
        <f t="shared" si="4"/>
        <v>9.5</v>
      </c>
      <c r="V29">
        <f t="shared" si="5"/>
        <v>5</v>
      </c>
      <c r="W29" t="e">
        <f t="shared" si="6"/>
        <v>#N/A</v>
      </c>
      <c r="X29" t="e">
        <f t="shared" si="7"/>
        <v>#N/A</v>
      </c>
    </row>
    <row r="30" spans="1:24" x14ac:dyDescent="0.3">
      <c r="A30">
        <v>7.1</v>
      </c>
      <c r="B30">
        <v>0.71</v>
      </c>
      <c r="C30">
        <v>0</v>
      </c>
      <c r="D30">
        <v>1.9</v>
      </c>
      <c r="E30">
        <v>0.08</v>
      </c>
      <c r="F30">
        <v>14</v>
      </c>
      <c r="G30">
        <v>35</v>
      </c>
      <c r="H30">
        <v>0.99719999999999998</v>
      </c>
      <c r="I30">
        <v>3.47</v>
      </c>
      <c r="J30">
        <v>0.55000000000000004</v>
      </c>
      <c r="K30">
        <v>9.4</v>
      </c>
      <c r="L30">
        <v>5</v>
      </c>
      <c r="M30" t="str">
        <f t="shared" si="0"/>
        <v>Medium</v>
      </c>
      <c r="N30">
        <f>(winequality_red[[#This Row],[Updated Quality &amp; Alcohol Analysis]]+winequality_red[[#This Row],[volatile acidity]]+winequality_red[[#This Row],[citric acid]])</f>
        <v>7.81</v>
      </c>
      <c r="O30">
        <f t="shared" si="1"/>
        <v>4.1542553191489362E-2</v>
      </c>
      <c r="S30" t="e">
        <f t="shared" si="2"/>
        <v>#N/A</v>
      </c>
      <c r="T30" t="e">
        <f t="shared" si="3"/>
        <v>#N/A</v>
      </c>
      <c r="U30">
        <f t="shared" si="4"/>
        <v>9.4</v>
      </c>
      <c r="V30">
        <f t="shared" si="5"/>
        <v>5</v>
      </c>
      <c r="W30" t="e">
        <f t="shared" si="6"/>
        <v>#N/A</v>
      </c>
      <c r="X30" t="e">
        <f t="shared" si="7"/>
        <v>#N/A</v>
      </c>
    </row>
    <row r="31" spans="1:24" x14ac:dyDescent="0.3">
      <c r="A31">
        <v>7.8</v>
      </c>
      <c r="B31">
        <v>0.64500000000000002</v>
      </c>
      <c r="C31">
        <v>0</v>
      </c>
      <c r="D31">
        <v>2</v>
      </c>
      <c r="E31">
        <v>8.199999999999999E-2</v>
      </c>
      <c r="F31">
        <v>8</v>
      </c>
      <c r="G31">
        <v>16</v>
      </c>
      <c r="H31">
        <v>0.99639999999999995</v>
      </c>
      <c r="I31">
        <v>3.38</v>
      </c>
      <c r="J31">
        <v>0.59</v>
      </c>
      <c r="K31">
        <v>9.8000000000000007</v>
      </c>
      <c r="L31">
        <v>6</v>
      </c>
      <c r="M31" t="str">
        <f t="shared" si="0"/>
        <v>Medium</v>
      </c>
      <c r="N31">
        <f>(winequality_red[[#This Row],[Updated Quality &amp; Alcohol Analysis]]+winequality_red[[#This Row],[volatile acidity]]+winequality_red[[#This Row],[citric acid]])</f>
        <v>8.4450000000000003</v>
      </c>
      <c r="O31">
        <f t="shared" si="1"/>
        <v>3.8831632653061221E-2</v>
      </c>
      <c r="S31" t="e">
        <f t="shared" si="2"/>
        <v>#N/A</v>
      </c>
      <c r="T31" t="e">
        <f t="shared" si="3"/>
        <v>#N/A</v>
      </c>
      <c r="U31">
        <f t="shared" si="4"/>
        <v>9.8000000000000007</v>
      </c>
      <c r="V31">
        <f t="shared" si="5"/>
        <v>6</v>
      </c>
      <c r="W31" t="e">
        <f t="shared" si="6"/>
        <v>#N/A</v>
      </c>
      <c r="X31" t="e">
        <f t="shared" si="7"/>
        <v>#N/A</v>
      </c>
    </row>
    <row r="32" spans="1:24" x14ac:dyDescent="0.3">
      <c r="A32">
        <v>6.7</v>
      </c>
      <c r="B32">
        <v>0.67500000000000004</v>
      </c>
      <c r="C32">
        <v>7.0000000000000007E-2</v>
      </c>
      <c r="D32">
        <v>2.4</v>
      </c>
      <c r="E32">
        <v>8.900000000000001E-2</v>
      </c>
      <c r="F32">
        <v>17</v>
      </c>
      <c r="G32">
        <v>82</v>
      </c>
      <c r="H32">
        <v>0.99580000000000002</v>
      </c>
      <c r="I32">
        <v>3.35</v>
      </c>
      <c r="J32">
        <v>0.54</v>
      </c>
      <c r="K32">
        <v>10.1</v>
      </c>
      <c r="L32">
        <v>5</v>
      </c>
      <c r="M32" t="str">
        <f t="shared" si="0"/>
        <v>Medium</v>
      </c>
      <c r="N32">
        <f>(winequality_red[[#This Row],[Updated Quality &amp; Alcohol Analysis]]+winequality_red[[#This Row],[volatile acidity]]+winequality_red[[#This Row],[citric acid]])</f>
        <v>7.4450000000000003</v>
      </c>
      <c r="O32">
        <f t="shared" si="1"/>
        <v>3.6089108910891093E-2</v>
      </c>
      <c r="S32" t="e">
        <f t="shared" si="2"/>
        <v>#N/A</v>
      </c>
      <c r="T32" t="e">
        <f t="shared" si="3"/>
        <v>#N/A</v>
      </c>
      <c r="U32">
        <f t="shared" si="4"/>
        <v>10.1</v>
      </c>
      <c r="V32">
        <f t="shared" si="5"/>
        <v>5</v>
      </c>
      <c r="W32" t="e">
        <f t="shared" si="6"/>
        <v>#N/A</v>
      </c>
      <c r="X32" t="e">
        <f t="shared" si="7"/>
        <v>#N/A</v>
      </c>
    </row>
    <row r="33" spans="1:24" x14ac:dyDescent="0.3">
      <c r="A33">
        <v>6.9</v>
      </c>
      <c r="B33">
        <v>0.68500000000000005</v>
      </c>
      <c r="C33">
        <v>0</v>
      </c>
      <c r="D33">
        <v>2.5</v>
      </c>
      <c r="E33">
        <v>0.105</v>
      </c>
      <c r="F33">
        <v>22</v>
      </c>
      <c r="G33">
        <v>37</v>
      </c>
      <c r="H33">
        <v>0.99660000000000004</v>
      </c>
      <c r="I33">
        <v>3.46</v>
      </c>
      <c r="J33">
        <v>0.56999999999999995</v>
      </c>
      <c r="K33">
        <v>10.6</v>
      </c>
      <c r="L33">
        <v>6</v>
      </c>
      <c r="M33" t="str">
        <f t="shared" si="0"/>
        <v>Medium</v>
      </c>
      <c r="N33">
        <f>(winequality_red[[#This Row],[Updated Quality &amp; Alcohol Analysis]]+winequality_red[[#This Row],[volatile acidity]]+winequality_red[[#This Row],[citric acid]])</f>
        <v>7.5850000000000009</v>
      </c>
      <c r="O33">
        <f t="shared" si="1"/>
        <v>3.6834905660377358E-2</v>
      </c>
      <c r="S33" t="e">
        <f t="shared" si="2"/>
        <v>#N/A</v>
      </c>
      <c r="T33" t="e">
        <f t="shared" si="3"/>
        <v>#N/A</v>
      </c>
      <c r="U33">
        <f t="shared" si="4"/>
        <v>10.6</v>
      </c>
      <c r="V33">
        <f t="shared" si="5"/>
        <v>6</v>
      </c>
      <c r="W33" t="e">
        <f t="shared" si="6"/>
        <v>#N/A</v>
      </c>
      <c r="X33" t="e">
        <f t="shared" si="7"/>
        <v>#N/A</v>
      </c>
    </row>
    <row r="34" spans="1:24" x14ac:dyDescent="0.3">
      <c r="A34">
        <v>8.3000000000000007</v>
      </c>
      <c r="B34">
        <v>0.65500000000000003</v>
      </c>
      <c r="C34">
        <v>0.12</v>
      </c>
      <c r="D34">
        <v>2.2999999999999998</v>
      </c>
      <c r="E34">
        <v>8.3000000000000004E-2</v>
      </c>
      <c r="F34">
        <v>15</v>
      </c>
      <c r="G34">
        <v>113</v>
      </c>
      <c r="H34">
        <v>0.99660000000000004</v>
      </c>
      <c r="I34">
        <v>3.17</v>
      </c>
      <c r="J34">
        <v>0.66</v>
      </c>
      <c r="K34">
        <v>9.8000000000000007</v>
      </c>
      <c r="L34">
        <v>5</v>
      </c>
      <c r="M34" t="str">
        <f t="shared" si="0"/>
        <v>Medium</v>
      </c>
      <c r="N34">
        <f>(winequality_red[[#This Row],[Updated Quality &amp; Alcohol Analysis]]+winequality_red[[#This Row],[volatile acidity]]+winequality_red[[#This Row],[citric acid]])</f>
        <v>9.0749999999999993</v>
      </c>
      <c r="O34">
        <f t="shared" si="1"/>
        <v>4.4112244897959181E-2</v>
      </c>
      <c r="S34" t="e">
        <f t="shared" si="2"/>
        <v>#N/A</v>
      </c>
      <c r="T34" t="e">
        <f t="shared" si="3"/>
        <v>#N/A</v>
      </c>
      <c r="U34">
        <f t="shared" si="4"/>
        <v>9.8000000000000007</v>
      </c>
      <c r="V34">
        <f t="shared" si="5"/>
        <v>5</v>
      </c>
      <c r="W34" t="e">
        <f t="shared" si="6"/>
        <v>#N/A</v>
      </c>
      <c r="X34" t="e">
        <f t="shared" si="7"/>
        <v>#N/A</v>
      </c>
    </row>
    <row r="35" spans="1:24" x14ac:dyDescent="0.3">
      <c r="A35">
        <v>6.9</v>
      </c>
      <c r="B35">
        <v>0.60499999999999998</v>
      </c>
      <c r="C35">
        <v>0.12</v>
      </c>
      <c r="D35">
        <v>10.7</v>
      </c>
      <c r="E35">
        <v>7.2999999999999995E-2</v>
      </c>
      <c r="F35">
        <v>40</v>
      </c>
      <c r="G35">
        <v>83</v>
      </c>
      <c r="H35">
        <v>0.99929999999999997</v>
      </c>
      <c r="I35">
        <v>3.45</v>
      </c>
      <c r="J35">
        <v>0.52</v>
      </c>
      <c r="K35">
        <v>9.4</v>
      </c>
      <c r="L35">
        <v>6</v>
      </c>
      <c r="M35" t="str">
        <f t="shared" si="0"/>
        <v>Medium</v>
      </c>
      <c r="N35">
        <f>(winequality_red[[#This Row],[Updated Quality &amp; Alcohol Analysis]]+winequality_red[[#This Row],[volatile acidity]]+winequality_red[[#This Row],[citric acid]])</f>
        <v>7.6250000000000009</v>
      </c>
      <c r="O35">
        <f t="shared" si="1"/>
        <v>3.3468085106382973E-2</v>
      </c>
      <c r="S35" t="e">
        <f t="shared" si="2"/>
        <v>#N/A</v>
      </c>
      <c r="T35" t="e">
        <f t="shared" si="3"/>
        <v>#N/A</v>
      </c>
      <c r="U35">
        <f t="shared" si="4"/>
        <v>9.4</v>
      </c>
      <c r="V35">
        <f t="shared" si="5"/>
        <v>6</v>
      </c>
      <c r="W35" t="e">
        <f t="shared" si="6"/>
        <v>#N/A</v>
      </c>
      <c r="X35" t="e">
        <f t="shared" si="7"/>
        <v>#N/A</v>
      </c>
    </row>
    <row r="36" spans="1:24" x14ac:dyDescent="0.3">
      <c r="A36">
        <v>5.2</v>
      </c>
      <c r="B36">
        <v>0.32</v>
      </c>
      <c r="C36">
        <v>0.25</v>
      </c>
      <c r="D36">
        <v>1.8</v>
      </c>
      <c r="E36">
        <v>0.10300000000000001</v>
      </c>
      <c r="F36">
        <v>13</v>
      </c>
      <c r="G36">
        <v>50</v>
      </c>
      <c r="H36">
        <v>0.99570000000000003</v>
      </c>
      <c r="I36">
        <v>3.38</v>
      </c>
      <c r="J36">
        <v>0.55000000000000004</v>
      </c>
      <c r="K36">
        <v>9.1999999999999993</v>
      </c>
      <c r="L36">
        <v>5</v>
      </c>
      <c r="M36" t="str">
        <f t="shared" si="0"/>
        <v>Medium</v>
      </c>
      <c r="N36">
        <f>(winequality_red[[#This Row],[Updated Quality &amp; Alcohol Analysis]]+winequality_red[[#This Row],[volatile acidity]]+winequality_red[[#This Row],[citric acid]])</f>
        <v>5.7700000000000005</v>
      </c>
      <c r="O36">
        <f t="shared" si="1"/>
        <v>1.9130434782608698E-2</v>
      </c>
      <c r="S36" t="e">
        <f t="shared" si="2"/>
        <v>#N/A</v>
      </c>
      <c r="T36" t="e">
        <f t="shared" si="3"/>
        <v>#N/A</v>
      </c>
      <c r="U36">
        <f t="shared" si="4"/>
        <v>9.1999999999999993</v>
      </c>
      <c r="V36">
        <f t="shared" si="5"/>
        <v>5</v>
      </c>
      <c r="W36" t="e">
        <f t="shared" si="6"/>
        <v>#N/A</v>
      </c>
      <c r="X36" t="e">
        <f t="shared" si="7"/>
        <v>#N/A</v>
      </c>
    </row>
    <row r="37" spans="1:24" x14ac:dyDescent="0.3">
      <c r="A37">
        <v>7.8</v>
      </c>
      <c r="B37">
        <v>0.64500000000000002</v>
      </c>
      <c r="C37">
        <v>0</v>
      </c>
      <c r="D37">
        <v>5.5</v>
      </c>
      <c r="E37">
        <v>8.5999999999999993E-2</v>
      </c>
      <c r="F37">
        <v>5</v>
      </c>
      <c r="G37">
        <v>18</v>
      </c>
      <c r="H37">
        <v>0.99860000000000004</v>
      </c>
      <c r="I37">
        <v>3.4</v>
      </c>
      <c r="J37">
        <v>0.55000000000000004</v>
      </c>
      <c r="K37">
        <v>9.6</v>
      </c>
      <c r="L37">
        <v>6</v>
      </c>
      <c r="M37" t="str">
        <f t="shared" si="0"/>
        <v>Medium</v>
      </c>
      <c r="N37">
        <f>(winequality_red[[#This Row],[Updated Quality &amp; Alcohol Analysis]]+winequality_red[[#This Row],[volatile acidity]]+winequality_red[[#This Row],[citric acid]])</f>
        <v>8.4450000000000003</v>
      </c>
      <c r="O37">
        <f t="shared" si="1"/>
        <v>3.695312500000001E-2</v>
      </c>
      <c r="S37" t="e">
        <f t="shared" si="2"/>
        <v>#N/A</v>
      </c>
      <c r="T37" t="e">
        <f t="shared" si="3"/>
        <v>#N/A</v>
      </c>
      <c r="U37">
        <f t="shared" si="4"/>
        <v>9.6</v>
      </c>
      <c r="V37">
        <f t="shared" si="5"/>
        <v>6</v>
      </c>
      <c r="W37" t="e">
        <f t="shared" si="6"/>
        <v>#N/A</v>
      </c>
      <c r="X37" t="e">
        <f t="shared" si="7"/>
        <v>#N/A</v>
      </c>
    </row>
    <row r="38" spans="1:24" x14ac:dyDescent="0.3">
      <c r="A38">
        <v>7.8</v>
      </c>
      <c r="B38">
        <v>0.6</v>
      </c>
      <c r="C38">
        <v>0.14000000000000001</v>
      </c>
      <c r="D38">
        <v>2.4</v>
      </c>
      <c r="E38">
        <v>8.5999999999999993E-2</v>
      </c>
      <c r="F38">
        <v>3</v>
      </c>
      <c r="G38">
        <v>15</v>
      </c>
      <c r="H38">
        <v>0.99750000000000005</v>
      </c>
      <c r="I38">
        <v>3.42</v>
      </c>
      <c r="J38">
        <v>0.6</v>
      </c>
      <c r="K38">
        <v>10.8</v>
      </c>
      <c r="L38">
        <v>6</v>
      </c>
      <c r="M38" t="str">
        <f t="shared" si="0"/>
        <v>Medium</v>
      </c>
      <c r="N38">
        <f>(winequality_red[[#This Row],[Updated Quality &amp; Alcohol Analysis]]+winequality_red[[#This Row],[volatile acidity]]+winequality_red[[#This Row],[citric acid]])</f>
        <v>8.5400000000000009</v>
      </c>
      <c r="O38">
        <f t="shared" si="1"/>
        <v>3.3333333333333333E-2</v>
      </c>
      <c r="S38" t="e">
        <f t="shared" si="2"/>
        <v>#N/A</v>
      </c>
      <c r="T38" t="e">
        <f t="shared" si="3"/>
        <v>#N/A</v>
      </c>
      <c r="U38">
        <f t="shared" si="4"/>
        <v>10.8</v>
      </c>
      <c r="V38">
        <f t="shared" si="5"/>
        <v>6</v>
      </c>
      <c r="W38" t="e">
        <f t="shared" si="6"/>
        <v>#N/A</v>
      </c>
      <c r="X38" t="e">
        <f t="shared" si="7"/>
        <v>#N/A</v>
      </c>
    </row>
    <row r="39" spans="1:24" x14ac:dyDescent="0.3">
      <c r="A39">
        <v>8.1</v>
      </c>
      <c r="B39">
        <v>0.38</v>
      </c>
      <c r="C39">
        <v>0.28000000000000003</v>
      </c>
      <c r="D39">
        <v>2.1</v>
      </c>
      <c r="E39">
        <v>6.6000000000000003E-2</v>
      </c>
      <c r="F39">
        <v>13</v>
      </c>
      <c r="G39">
        <v>30</v>
      </c>
      <c r="H39">
        <v>0.99680000000000002</v>
      </c>
      <c r="I39">
        <v>3.23</v>
      </c>
      <c r="J39">
        <v>0.73</v>
      </c>
      <c r="K39">
        <v>9.6999999999999993</v>
      </c>
      <c r="L39">
        <v>7</v>
      </c>
      <c r="M39" t="str">
        <f t="shared" si="0"/>
        <v>High</v>
      </c>
      <c r="N39">
        <f>(winequality_red[[#This Row],[Updated Quality &amp; Alcohol Analysis]]+winequality_red[[#This Row],[volatile acidity]]+winequality_red[[#This Row],[citric acid]])</f>
        <v>8.76</v>
      </c>
      <c r="O39">
        <f t="shared" si="1"/>
        <v>2.8597938144329899E-2</v>
      </c>
      <c r="S39" t="e">
        <f t="shared" si="2"/>
        <v>#N/A</v>
      </c>
      <c r="T39" t="e">
        <f t="shared" si="3"/>
        <v>#N/A</v>
      </c>
      <c r="U39" t="e">
        <f t="shared" si="4"/>
        <v>#N/A</v>
      </c>
      <c r="V39" t="e">
        <f t="shared" si="5"/>
        <v>#N/A</v>
      </c>
      <c r="W39">
        <f t="shared" si="6"/>
        <v>9.6999999999999993</v>
      </c>
      <c r="X39">
        <f t="shared" si="7"/>
        <v>7</v>
      </c>
    </row>
    <row r="40" spans="1:24" x14ac:dyDescent="0.3">
      <c r="A40">
        <v>5.7</v>
      </c>
      <c r="B40">
        <v>1.1299999999999999</v>
      </c>
      <c r="C40">
        <v>0.09</v>
      </c>
      <c r="D40">
        <v>1.5</v>
      </c>
      <c r="E40">
        <v>0.17199999999999999</v>
      </c>
      <c r="F40">
        <v>7</v>
      </c>
      <c r="G40">
        <v>19</v>
      </c>
      <c r="H40">
        <v>0.99400000000000011</v>
      </c>
      <c r="I40">
        <v>3.5</v>
      </c>
      <c r="J40">
        <v>0.48</v>
      </c>
      <c r="K40">
        <v>9.8000000000000007</v>
      </c>
      <c r="L40">
        <v>4</v>
      </c>
      <c r="M40" t="str">
        <f t="shared" si="0"/>
        <v>Low</v>
      </c>
      <c r="N40">
        <f>(winequality_red[[#This Row],[Updated Quality &amp; Alcohol Analysis]]+winequality_red[[#This Row],[volatile acidity]]+winequality_red[[#This Row],[citric acid]])</f>
        <v>6.92</v>
      </c>
      <c r="O40">
        <f t="shared" si="1"/>
        <v>5.5346938775510189E-2</v>
      </c>
      <c r="S40">
        <f t="shared" si="2"/>
        <v>9.8000000000000007</v>
      </c>
      <c r="T40">
        <f t="shared" si="3"/>
        <v>4</v>
      </c>
      <c r="U40" t="e">
        <f t="shared" si="4"/>
        <v>#N/A</v>
      </c>
      <c r="V40" t="e">
        <f t="shared" si="5"/>
        <v>#N/A</v>
      </c>
      <c r="W40" t="e">
        <f t="shared" si="6"/>
        <v>#N/A</v>
      </c>
      <c r="X40" t="e">
        <f t="shared" si="7"/>
        <v>#N/A</v>
      </c>
    </row>
    <row r="41" spans="1:24" x14ac:dyDescent="0.3">
      <c r="A41">
        <v>7.3</v>
      </c>
      <c r="B41">
        <v>0.45</v>
      </c>
      <c r="C41">
        <v>0.36</v>
      </c>
      <c r="D41">
        <v>5.9</v>
      </c>
      <c r="E41">
        <v>7.400000000000001E-2</v>
      </c>
      <c r="F41">
        <v>12</v>
      </c>
      <c r="G41">
        <v>87</v>
      </c>
      <c r="H41">
        <v>0.99780000000000002</v>
      </c>
      <c r="I41">
        <v>3.33</v>
      </c>
      <c r="J41">
        <v>0.83</v>
      </c>
      <c r="K41">
        <v>10.5</v>
      </c>
      <c r="L41">
        <v>5</v>
      </c>
      <c r="M41" t="str">
        <f t="shared" si="0"/>
        <v>Medium</v>
      </c>
      <c r="N41">
        <f>(winequality_red[[#This Row],[Updated Quality &amp; Alcohol Analysis]]+winequality_red[[#This Row],[volatile acidity]]+winequality_red[[#This Row],[citric acid]])</f>
        <v>8.11</v>
      </c>
      <c r="O41">
        <f t="shared" si="1"/>
        <v>3.5571428571428573E-2</v>
      </c>
      <c r="S41" t="e">
        <f t="shared" si="2"/>
        <v>#N/A</v>
      </c>
      <c r="T41" t="e">
        <f t="shared" si="3"/>
        <v>#N/A</v>
      </c>
      <c r="U41">
        <f t="shared" si="4"/>
        <v>10.5</v>
      </c>
      <c r="V41">
        <f t="shared" si="5"/>
        <v>5</v>
      </c>
      <c r="W41" t="e">
        <f t="shared" si="6"/>
        <v>#N/A</v>
      </c>
      <c r="X41" t="e">
        <f t="shared" si="7"/>
        <v>#N/A</v>
      </c>
    </row>
    <row r="42" spans="1:24" x14ac:dyDescent="0.3">
      <c r="A42">
        <v>7.3</v>
      </c>
      <c r="B42">
        <v>0.45</v>
      </c>
      <c r="C42">
        <v>0.36</v>
      </c>
      <c r="D42">
        <v>5.9</v>
      </c>
      <c r="E42">
        <v>7.400000000000001E-2</v>
      </c>
      <c r="F42">
        <v>12</v>
      </c>
      <c r="G42">
        <v>87</v>
      </c>
      <c r="H42">
        <v>0.99780000000000002</v>
      </c>
      <c r="I42">
        <v>3.33</v>
      </c>
      <c r="J42">
        <v>0.83</v>
      </c>
      <c r="K42">
        <v>10.5</v>
      </c>
      <c r="L42">
        <v>5</v>
      </c>
      <c r="M42" t="str">
        <f t="shared" si="0"/>
        <v>Medium</v>
      </c>
      <c r="N42">
        <f>(winequality_red[[#This Row],[Updated Quality &amp; Alcohol Analysis]]+winequality_red[[#This Row],[volatile acidity]]+winequality_red[[#This Row],[citric acid]])</f>
        <v>8.11</v>
      </c>
      <c r="O42">
        <f t="shared" si="1"/>
        <v>3.5571428571428573E-2</v>
      </c>
      <c r="S42" t="e">
        <f t="shared" si="2"/>
        <v>#N/A</v>
      </c>
      <c r="T42" t="e">
        <f t="shared" si="3"/>
        <v>#N/A</v>
      </c>
      <c r="U42">
        <f t="shared" si="4"/>
        <v>10.5</v>
      </c>
      <c r="V42">
        <f t="shared" si="5"/>
        <v>5</v>
      </c>
      <c r="W42" t="e">
        <f t="shared" si="6"/>
        <v>#N/A</v>
      </c>
      <c r="X42" t="e">
        <f t="shared" si="7"/>
        <v>#N/A</v>
      </c>
    </row>
    <row r="43" spans="1:24" x14ac:dyDescent="0.3">
      <c r="A43">
        <v>8.8000000000000007</v>
      </c>
      <c r="B43">
        <v>0.61</v>
      </c>
      <c r="C43">
        <v>0.3</v>
      </c>
      <c r="D43">
        <v>2.8</v>
      </c>
      <c r="E43">
        <v>8.8000000000000009E-2</v>
      </c>
      <c r="F43">
        <v>17</v>
      </c>
      <c r="G43">
        <v>46</v>
      </c>
      <c r="H43">
        <v>0.99760000000000004</v>
      </c>
      <c r="I43">
        <v>3.26</v>
      </c>
      <c r="J43">
        <v>0.51</v>
      </c>
      <c r="K43">
        <v>9.3000000000000007</v>
      </c>
      <c r="L43">
        <v>4</v>
      </c>
      <c r="M43" t="str">
        <f t="shared" si="0"/>
        <v>Low</v>
      </c>
      <c r="N43">
        <f>(winequality_red[[#This Row],[Updated Quality &amp; Alcohol Analysis]]+winequality_red[[#This Row],[volatile acidity]]+winequality_red[[#This Row],[citric acid]])</f>
        <v>9.7100000000000009</v>
      </c>
      <c r="O43">
        <f t="shared" si="1"/>
        <v>3.3451612903225805E-2</v>
      </c>
      <c r="S43">
        <f t="shared" si="2"/>
        <v>9.3000000000000007</v>
      </c>
      <c r="T43">
        <f t="shared" si="3"/>
        <v>4</v>
      </c>
      <c r="U43" t="e">
        <f t="shared" si="4"/>
        <v>#N/A</v>
      </c>
      <c r="V43" t="e">
        <f t="shared" si="5"/>
        <v>#N/A</v>
      </c>
      <c r="W43" t="e">
        <f t="shared" si="6"/>
        <v>#N/A</v>
      </c>
      <c r="X43" t="e">
        <f t="shared" si="7"/>
        <v>#N/A</v>
      </c>
    </row>
    <row r="44" spans="1:24" x14ac:dyDescent="0.3">
      <c r="A44">
        <v>7.5</v>
      </c>
      <c r="B44">
        <v>0.49</v>
      </c>
      <c r="C44">
        <v>0.2</v>
      </c>
      <c r="D44">
        <v>2.6</v>
      </c>
      <c r="E44">
        <v>0.33200000000000002</v>
      </c>
      <c r="F44">
        <v>8</v>
      </c>
      <c r="G44">
        <v>14</v>
      </c>
      <c r="H44">
        <v>0.99680000000000002</v>
      </c>
      <c r="I44">
        <v>3.21</v>
      </c>
      <c r="J44">
        <v>0.9</v>
      </c>
      <c r="K44">
        <v>10.5</v>
      </c>
      <c r="L44">
        <v>6</v>
      </c>
      <c r="M44" t="str">
        <f t="shared" si="0"/>
        <v>Medium</v>
      </c>
      <c r="N44">
        <f>(winequality_red[[#This Row],[Updated Quality &amp; Alcohol Analysis]]+winequality_red[[#This Row],[volatile acidity]]+winequality_red[[#This Row],[citric acid]])</f>
        <v>8.19</v>
      </c>
      <c r="O44">
        <f t="shared" si="1"/>
        <v>4.2000000000000003E-2</v>
      </c>
      <c r="S44" t="e">
        <f t="shared" si="2"/>
        <v>#N/A</v>
      </c>
      <c r="T44" t="e">
        <f t="shared" si="3"/>
        <v>#N/A</v>
      </c>
      <c r="U44">
        <f t="shared" si="4"/>
        <v>10.5</v>
      </c>
      <c r="V44">
        <f t="shared" si="5"/>
        <v>6</v>
      </c>
      <c r="W44" t="e">
        <f t="shared" si="6"/>
        <v>#N/A</v>
      </c>
      <c r="X44" t="e">
        <f t="shared" si="7"/>
        <v>#N/A</v>
      </c>
    </row>
    <row r="45" spans="1:24" x14ac:dyDescent="0.3">
      <c r="A45">
        <v>8.1</v>
      </c>
      <c r="B45">
        <v>0.66</v>
      </c>
      <c r="C45">
        <v>0.22</v>
      </c>
      <c r="D45">
        <v>2.2000000000000002</v>
      </c>
      <c r="E45">
        <v>6.9000000000000006E-2</v>
      </c>
      <c r="F45">
        <v>9</v>
      </c>
      <c r="G45">
        <v>23</v>
      </c>
      <c r="H45">
        <v>0.99680000000000002</v>
      </c>
      <c r="I45">
        <v>3.3</v>
      </c>
      <c r="J45">
        <v>1.2</v>
      </c>
      <c r="K45">
        <v>10.3</v>
      </c>
      <c r="L45">
        <v>5</v>
      </c>
      <c r="M45" t="str">
        <f t="shared" si="0"/>
        <v>Medium</v>
      </c>
      <c r="N45">
        <f>(winequality_red[[#This Row],[Updated Quality &amp; Alcohol Analysis]]+winequality_red[[#This Row],[volatile acidity]]+winequality_red[[#This Row],[citric acid]])</f>
        <v>8.98</v>
      </c>
      <c r="O45">
        <f t="shared" si="1"/>
        <v>7.6893203883495145E-2</v>
      </c>
      <c r="S45" t="e">
        <f t="shared" si="2"/>
        <v>#N/A</v>
      </c>
      <c r="T45" t="e">
        <f t="shared" si="3"/>
        <v>#N/A</v>
      </c>
      <c r="U45">
        <f t="shared" si="4"/>
        <v>10.3</v>
      </c>
      <c r="V45">
        <f t="shared" si="5"/>
        <v>5</v>
      </c>
      <c r="W45" t="e">
        <f t="shared" si="6"/>
        <v>#N/A</v>
      </c>
      <c r="X45" t="e">
        <f t="shared" si="7"/>
        <v>#N/A</v>
      </c>
    </row>
    <row r="46" spans="1:24" x14ac:dyDescent="0.3">
      <c r="A46">
        <v>6.8</v>
      </c>
      <c r="B46">
        <v>0.67</v>
      </c>
      <c r="C46">
        <v>0.02</v>
      </c>
      <c r="D46">
        <v>1.8</v>
      </c>
      <c r="E46">
        <v>0.05</v>
      </c>
      <c r="F46">
        <v>5</v>
      </c>
      <c r="G46">
        <v>11</v>
      </c>
      <c r="H46">
        <v>0.99619999999999997</v>
      </c>
      <c r="I46">
        <v>3.48</v>
      </c>
      <c r="J46">
        <v>0.52</v>
      </c>
      <c r="K46">
        <v>9.5</v>
      </c>
      <c r="L46">
        <v>5</v>
      </c>
      <c r="M46" t="str">
        <f t="shared" si="0"/>
        <v>Medium</v>
      </c>
      <c r="N46">
        <f>(winequality_red[[#This Row],[Updated Quality &amp; Alcohol Analysis]]+winequality_red[[#This Row],[volatile acidity]]+winequality_red[[#This Row],[citric acid]])</f>
        <v>7.4899999999999993</v>
      </c>
      <c r="O46">
        <f t="shared" si="1"/>
        <v>3.6673684210526324E-2</v>
      </c>
      <c r="S46" t="e">
        <f t="shared" si="2"/>
        <v>#N/A</v>
      </c>
      <c r="T46" t="e">
        <f t="shared" si="3"/>
        <v>#N/A</v>
      </c>
      <c r="U46">
        <f t="shared" si="4"/>
        <v>9.5</v>
      </c>
      <c r="V46">
        <f t="shared" si="5"/>
        <v>5</v>
      </c>
      <c r="W46" t="e">
        <f t="shared" si="6"/>
        <v>#N/A</v>
      </c>
      <c r="X46" t="e">
        <f t="shared" si="7"/>
        <v>#N/A</v>
      </c>
    </row>
    <row r="47" spans="1:24" x14ac:dyDescent="0.3">
      <c r="A47">
        <v>4.5999999999999996</v>
      </c>
      <c r="B47">
        <v>0.52</v>
      </c>
      <c r="C47">
        <v>0.15</v>
      </c>
      <c r="D47">
        <v>2.1</v>
      </c>
      <c r="E47">
        <v>5.4000000000000006E-2</v>
      </c>
      <c r="F47">
        <v>8</v>
      </c>
      <c r="G47">
        <v>65</v>
      </c>
      <c r="H47">
        <v>0.99339999999999995</v>
      </c>
      <c r="I47">
        <v>3.9</v>
      </c>
      <c r="J47">
        <v>0.56000000000000005</v>
      </c>
      <c r="K47">
        <v>13.1</v>
      </c>
      <c r="L47">
        <v>4</v>
      </c>
      <c r="M47" t="str">
        <f t="shared" si="0"/>
        <v>Low</v>
      </c>
      <c r="N47">
        <f>(winequality_red[[#This Row],[Updated Quality &amp; Alcohol Analysis]]+winequality_red[[#This Row],[volatile acidity]]+winequality_red[[#This Row],[citric acid]])</f>
        <v>5.27</v>
      </c>
      <c r="O47">
        <f t="shared" si="1"/>
        <v>2.2229007633587788E-2</v>
      </c>
      <c r="S47">
        <f t="shared" si="2"/>
        <v>13.1</v>
      </c>
      <c r="T47">
        <f t="shared" si="3"/>
        <v>4</v>
      </c>
      <c r="U47" t="e">
        <f t="shared" si="4"/>
        <v>#N/A</v>
      </c>
      <c r="V47" t="e">
        <f t="shared" si="5"/>
        <v>#N/A</v>
      </c>
      <c r="W47" t="e">
        <f t="shared" si="6"/>
        <v>#N/A</v>
      </c>
      <c r="X47" t="e">
        <f t="shared" si="7"/>
        <v>#N/A</v>
      </c>
    </row>
    <row r="48" spans="1:24" x14ac:dyDescent="0.3">
      <c r="A48">
        <v>7.7</v>
      </c>
      <c r="B48">
        <v>0.93500000000000005</v>
      </c>
      <c r="C48">
        <v>0.43</v>
      </c>
      <c r="D48">
        <v>2.2000000000000002</v>
      </c>
      <c r="E48">
        <v>0.114</v>
      </c>
      <c r="F48">
        <v>22</v>
      </c>
      <c r="G48">
        <v>114</v>
      </c>
      <c r="H48">
        <v>0.997</v>
      </c>
      <c r="I48">
        <v>3.25</v>
      </c>
      <c r="J48">
        <v>0.73</v>
      </c>
      <c r="K48">
        <v>9.1999999999999993</v>
      </c>
      <c r="L48">
        <v>5</v>
      </c>
      <c r="M48" t="str">
        <f t="shared" si="0"/>
        <v>Medium</v>
      </c>
      <c r="N48">
        <f>(winequality_red[[#This Row],[Updated Quality &amp; Alcohol Analysis]]+winequality_red[[#This Row],[volatile acidity]]+winequality_red[[#This Row],[citric acid]])</f>
        <v>9.0649999999999995</v>
      </c>
      <c r="O48">
        <f t="shared" si="1"/>
        <v>7.4190217391304353E-2</v>
      </c>
      <c r="S48" t="e">
        <f t="shared" si="2"/>
        <v>#N/A</v>
      </c>
      <c r="T48" t="e">
        <f t="shared" si="3"/>
        <v>#N/A</v>
      </c>
      <c r="U48">
        <f t="shared" si="4"/>
        <v>9.1999999999999993</v>
      </c>
      <c r="V48">
        <f t="shared" si="5"/>
        <v>5</v>
      </c>
      <c r="W48" t="e">
        <f t="shared" si="6"/>
        <v>#N/A</v>
      </c>
      <c r="X48" t="e">
        <f t="shared" si="7"/>
        <v>#N/A</v>
      </c>
    </row>
    <row r="49" spans="1:24" x14ac:dyDescent="0.3">
      <c r="A49">
        <v>8.6999999999999993</v>
      </c>
      <c r="B49">
        <v>0.28999999999999998</v>
      </c>
      <c r="C49">
        <v>0.52</v>
      </c>
      <c r="D49">
        <v>1.6</v>
      </c>
      <c r="E49">
        <v>0.113</v>
      </c>
      <c r="F49">
        <v>12</v>
      </c>
      <c r="G49">
        <v>37</v>
      </c>
      <c r="H49">
        <v>0.99690000000000001</v>
      </c>
      <c r="I49">
        <v>3.25</v>
      </c>
      <c r="J49">
        <v>0.57999999999999996</v>
      </c>
      <c r="K49">
        <v>9.5</v>
      </c>
      <c r="L49">
        <v>5</v>
      </c>
      <c r="M49" t="str">
        <f t="shared" si="0"/>
        <v>Medium</v>
      </c>
      <c r="N49">
        <f>(winequality_red[[#This Row],[Updated Quality &amp; Alcohol Analysis]]+winequality_red[[#This Row],[volatile acidity]]+winequality_red[[#This Row],[citric acid]])</f>
        <v>9.509999999999998</v>
      </c>
      <c r="O49">
        <f t="shared" si="1"/>
        <v>1.7705263157894734E-2</v>
      </c>
      <c r="S49" t="e">
        <f t="shared" si="2"/>
        <v>#N/A</v>
      </c>
      <c r="T49" t="e">
        <f t="shared" si="3"/>
        <v>#N/A</v>
      </c>
      <c r="U49">
        <f t="shared" si="4"/>
        <v>9.5</v>
      </c>
      <c r="V49">
        <f t="shared" si="5"/>
        <v>5</v>
      </c>
      <c r="W49" t="e">
        <f t="shared" si="6"/>
        <v>#N/A</v>
      </c>
      <c r="X49" t="e">
        <f t="shared" si="7"/>
        <v>#N/A</v>
      </c>
    </row>
    <row r="50" spans="1:24" x14ac:dyDescent="0.3">
      <c r="A50">
        <v>6.4</v>
      </c>
      <c r="B50">
        <v>0.4</v>
      </c>
      <c r="C50">
        <v>0.23</v>
      </c>
      <c r="D50">
        <v>1.6</v>
      </c>
      <c r="E50">
        <v>6.6000000000000003E-2</v>
      </c>
      <c r="F50">
        <v>5</v>
      </c>
      <c r="G50">
        <v>12</v>
      </c>
      <c r="H50">
        <v>0.99580000000000002</v>
      </c>
      <c r="I50">
        <v>3.34</v>
      </c>
      <c r="J50">
        <v>0.56000000000000005</v>
      </c>
      <c r="K50">
        <v>9.1999999999999993</v>
      </c>
      <c r="L50">
        <v>5</v>
      </c>
      <c r="M50" t="str">
        <f t="shared" si="0"/>
        <v>Medium</v>
      </c>
      <c r="N50">
        <f>(winequality_red[[#This Row],[Updated Quality &amp; Alcohol Analysis]]+winequality_red[[#This Row],[volatile acidity]]+winequality_red[[#This Row],[citric acid]])</f>
        <v>7.0300000000000011</v>
      </c>
      <c r="O50">
        <f t="shared" si="1"/>
        <v>2.4347826086956528E-2</v>
      </c>
      <c r="S50" t="e">
        <f t="shared" si="2"/>
        <v>#N/A</v>
      </c>
      <c r="T50" t="e">
        <f t="shared" si="3"/>
        <v>#N/A</v>
      </c>
      <c r="U50">
        <f t="shared" si="4"/>
        <v>9.1999999999999993</v>
      </c>
      <c r="V50">
        <f t="shared" si="5"/>
        <v>5</v>
      </c>
      <c r="W50" t="e">
        <f t="shared" si="6"/>
        <v>#N/A</v>
      </c>
      <c r="X50" t="e">
        <f t="shared" si="7"/>
        <v>#N/A</v>
      </c>
    </row>
    <row r="51" spans="1:24" x14ac:dyDescent="0.3">
      <c r="A51">
        <v>5.6</v>
      </c>
      <c r="B51">
        <v>0.31</v>
      </c>
      <c r="C51">
        <v>0.37</v>
      </c>
      <c r="D51">
        <v>1.4</v>
      </c>
      <c r="E51">
        <v>7.400000000000001E-2</v>
      </c>
      <c r="F51">
        <v>12</v>
      </c>
      <c r="G51">
        <v>96</v>
      </c>
      <c r="H51">
        <v>0.99539999999999995</v>
      </c>
      <c r="I51">
        <v>3.32</v>
      </c>
      <c r="J51">
        <v>0.57999999999999996</v>
      </c>
      <c r="K51">
        <v>9.1999999999999993</v>
      </c>
      <c r="L51">
        <v>5</v>
      </c>
      <c r="M51" t="str">
        <f t="shared" si="0"/>
        <v>Medium</v>
      </c>
      <c r="N51">
        <f>(winequality_red[[#This Row],[Updated Quality &amp; Alcohol Analysis]]+winequality_red[[#This Row],[volatile acidity]]+winequality_red[[#This Row],[citric acid]])</f>
        <v>6.2799999999999994</v>
      </c>
      <c r="O51">
        <f t="shared" si="1"/>
        <v>1.9543478260869565E-2</v>
      </c>
      <c r="S51" t="e">
        <f t="shared" si="2"/>
        <v>#N/A</v>
      </c>
      <c r="T51" t="e">
        <f t="shared" si="3"/>
        <v>#N/A</v>
      </c>
      <c r="U51">
        <f t="shared" si="4"/>
        <v>9.1999999999999993</v>
      </c>
      <c r="V51">
        <f t="shared" si="5"/>
        <v>5</v>
      </c>
      <c r="W51" t="e">
        <f t="shared" si="6"/>
        <v>#N/A</v>
      </c>
      <c r="X51" t="e">
        <f t="shared" si="7"/>
        <v>#N/A</v>
      </c>
    </row>
    <row r="52" spans="1:24" x14ac:dyDescent="0.3">
      <c r="A52">
        <v>8.8000000000000007</v>
      </c>
      <c r="B52">
        <v>0.66</v>
      </c>
      <c r="C52">
        <v>0.26</v>
      </c>
      <c r="D52">
        <v>1.7</v>
      </c>
      <c r="E52">
        <v>7.400000000000001E-2</v>
      </c>
      <c r="F52">
        <v>4</v>
      </c>
      <c r="G52">
        <v>23</v>
      </c>
      <c r="H52">
        <v>0.99709999999999999</v>
      </c>
      <c r="I52">
        <v>3.15</v>
      </c>
      <c r="J52">
        <v>0.74</v>
      </c>
      <c r="K52">
        <v>9.1999999999999993</v>
      </c>
      <c r="L52">
        <v>5</v>
      </c>
      <c r="M52" t="str">
        <f t="shared" si="0"/>
        <v>Medium</v>
      </c>
      <c r="N52">
        <f>(winequality_red[[#This Row],[Updated Quality &amp; Alcohol Analysis]]+winequality_red[[#This Row],[volatile acidity]]+winequality_red[[#This Row],[citric acid]])</f>
        <v>9.7200000000000006</v>
      </c>
      <c r="O52">
        <f t="shared" si="1"/>
        <v>5.3086956521739136E-2</v>
      </c>
      <c r="S52" t="e">
        <f t="shared" si="2"/>
        <v>#N/A</v>
      </c>
      <c r="T52" t="e">
        <f t="shared" si="3"/>
        <v>#N/A</v>
      </c>
      <c r="U52">
        <f t="shared" si="4"/>
        <v>9.1999999999999993</v>
      </c>
      <c r="V52">
        <f t="shared" si="5"/>
        <v>5</v>
      </c>
      <c r="W52" t="e">
        <f t="shared" si="6"/>
        <v>#N/A</v>
      </c>
      <c r="X52" t="e">
        <f t="shared" si="7"/>
        <v>#N/A</v>
      </c>
    </row>
    <row r="53" spans="1:24" x14ac:dyDescent="0.3">
      <c r="A53">
        <v>6.6</v>
      </c>
      <c r="B53">
        <v>0.52</v>
      </c>
      <c r="C53">
        <v>0.04</v>
      </c>
      <c r="D53">
        <v>2.2000000000000002</v>
      </c>
      <c r="E53">
        <v>6.9000000000000006E-2</v>
      </c>
      <c r="F53">
        <v>8</v>
      </c>
      <c r="G53">
        <v>15</v>
      </c>
      <c r="H53">
        <v>0.99560000000000004</v>
      </c>
      <c r="I53">
        <v>3.4</v>
      </c>
      <c r="J53">
        <v>0.63</v>
      </c>
      <c r="K53">
        <v>9.4</v>
      </c>
      <c r="L53">
        <v>6</v>
      </c>
      <c r="M53" t="str">
        <f t="shared" si="0"/>
        <v>Medium</v>
      </c>
      <c r="N53">
        <f>(winequality_red[[#This Row],[Updated Quality &amp; Alcohol Analysis]]+winequality_red[[#This Row],[volatile acidity]]+winequality_red[[#This Row],[citric acid]])</f>
        <v>7.1599999999999993</v>
      </c>
      <c r="O53">
        <f t="shared" si="1"/>
        <v>3.4851063829787234E-2</v>
      </c>
      <c r="S53" t="e">
        <f t="shared" si="2"/>
        <v>#N/A</v>
      </c>
      <c r="T53" t="e">
        <f t="shared" si="3"/>
        <v>#N/A</v>
      </c>
      <c r="U53">
        <f t="shared" si="4"/>
        <v>9.4</v>
      </c>
      <c r="V53">
        <f t="shared" si="5"/>
        <v>6</v>
      </c>
      <c r="W53" t="e">
        <f t="shared" si="6"/>
        <v>#N/A</v>
      </c>
      <c r="X53" t="e">
        <f t="shared" si="7"/>
        <v>#N/A</v>
      </c>
    </row>
    <row r="54" spans="1:24" x14ac:dyDescent="0.3">
      <c r="A54">
        <v>6.6</v>
      </c>
      <c r="B54">
        <v>0.5</v>
      </c>
      <c r="C54">
        <v>0.04</v>
      </c>
      <c r="D54">
        <v>2.1</v>
      </c>
      <c r="E54">
        <v>6.8000000000000005E-2</v>
      </c>
      <c r="F54">
        <v>6</v>
      </c>
      <c r="G54">
        <v>14</v>
      </c>
      <c r="H54">
        <v>0.99550000000000005</v>
      </c>
      <c r="I54">
        <v>3.39</v>
      </c>
      <c r="J54">
        <v>0.64</v>
      </c>
      <c r="K54">
        <v>9.4</v>
      </c>
      <c r="L54">
        <v>6</v>
      </c>
      <c r="M54" t="str">
        <f t="shared" si="0"/>
        <v>Medium</v>
      </c>
      <c r="N54">
        <f>(winequality_red[[#This Row],[Updated Quality &amp; Alcohol Analysis]]+winequality_red[[#This Row],[volatile acidity]]+winequality_red[[#This Row],[citric acid]])</f>
        <v>7.14</v>
      </c>
      <c r="O54">
        <f t="shared" si="1"/>
        <v>3.4042553191489362E-2</v>
      </c>
      <c r="S54" t="e">
        <f t="shared" si="2"/>
        <v>#N/A</v>
      </c>
      <c r="T54" t="e">
        <f t="shared" si="3"/>
        <v>#N/A</v>
      </c>
      <c r="U54">
        <f t="shared" si="4"/>
        <v>9.4</v>
      </c>
      <c r="V54">
        <f t="shared" si="5"/>
        <v>6</v>
      </c>
      <c r="W54" t="e">
        <f t="shared" si="6"/>
        <v>#N/A</v>
      </c>
      <c r="X54" t="e">
        <f t="shared" si="7"/>
        <v>#N/A</v>
      </c>
    </row>
    <row r="55" spans="1:24" x14ac:dyDescent="0.3">
      <c r="A55">
        <v>8.6</v>
      </c>
      <c r="B55">
        <v>0.38</v>
      </c>
      <c r="C55">
        <v>0.36</v>
      </c>
      <c r="D55">
        <v>3</v>
      </c>
      <c r="E55">
        <v>8.1000000000000003E-2</v>
      </c>
      <c r="F55">
        <v>30</v>
      </c>
      <c r="G55">
        <v>119</v>
      </c>
      <c r="H55">
        <v>0.997</v>
      </c>
      <c r="I55">
        <v>3.2</v>
      </c>
      <c r="J55">
        <v>0.56000000000000005</v>
      </c>
      <c r="K55">
        <v>9.4</v>
      </c>
      <c r="L55">
        <v>5</v>
      </c>
      <c r="M55" t="str">
        <f t="shared" si="0"/>
        <v>Medium</v>
      </c>
      <c r="N55">
        <f>(winequality_red[[#This Row],[Updated Quality &amp; Alcohol Analysis]]+winequality_red[[#This Row],[volatile acidity]]+winequality_red[[#This Row],[citric acid]])</f>
        <v>9.34</v>
      </c>
      <c r="O55">
        <f t="shared" si="1"/>
        <v>2.2638297872340427E-2</v>
      </c>
      <c r="S55" t="e">
        <f t="shared" si="2"/>
        <v>#N/A</v>
      </c>
      <c r="T55" t="e">
        <f t="shared" si="3"/>
        <v>#N/A</v>
      </c>
      <c r="U55">
        <f t="shared" si="4"/>
        <v>9.4</v>
      </c>
      <c r="V55">
        <f t="shared" si="5"/>
        <v>5</v>
      </c>
      <c r="W55" t="e">
        <f t="shared" si="6"/>
        <v>#N/A</v>
      </c>
      <c r="X55" t="e">
        <f t="shared" si="7"/>
        <v>#N/A</v>
      </c>
    </row>
    <row r="56" spans="1:24" x14ac:dyDescent="0.3">
      <c r="A56">
        <v>7.6</v>
      </c>
      <c r="B56">
        <v>0.51</v>
      </c>
      <c r="C56">
        <v>0.15</v>
      </c>
      <c r="D56">
        <v>2.8</v>
      </c>
      <c r="E56">
        <v>0.11</v>
      </c>
      <c r="F56">
        <v>33</v>
      </c>
      <c r="G56">
        <v>73</v>
      </c>
      <c r="H56">
        <v>0.99550000000000005</v>
      </c>
      <c r="I56">
        <v>3.17</v>
      </c>
      <c r="J56">
        <v>0.63</v>
      </c>
      <c r="K56">
        <v>10.199999999999999</v>
      </c>
      <c r="L56">
        <v>6</v>
      </c>
      <c r="M56" t="str">
        <f t="shared" si="0"/>
        <v>Medium</v>
      </c>
      <c r="N56">
        <f>(winequality_red[[#This Row],[Updated Quality &amp; Alcohol Analysis]]+winequality_red[[#This Row],[volatile acidity]]+winequality_red[[#This Row],[citric acid]])</f>
        <v>8.26</v>
      </c>
      <c r="O56">
        <f t="shared" si="1"/>
        <v>3.1500000000000007E-2</v>
      </c>
      <c r="S56" t="e">
        <f t="shared" si="2"/>
        <v>#N/A</v>
      </c>
      <c r="T56" t="e">
        <f t="shared" si="3"/>
        <v>#N/A</v>
      </c>
      <c r="U56">
        <f t="shared" si="4"/>
        <v>10.199999999999999</v>
      </c>
      <c r="V56">
        <f t="shared" si="5"/>
        <v>6</v>
      </c>
      <c r="W56" t="e">
        <f t="shared" si="6"/>
        <v>#N/A</v>
      </c>
      <c r="X56" t="e">
        <f t="shared" si="7"/>
        <v>#N/A</v>
      </c>
    </row>
    <row r="57" spans="1:24" x14ac:dyDescent="0.3">
      <c r="A57">
        <v>7.7</v>
      </c>
      <c r="B57">
        <v>0.62</v>
      </c>
      <c r="C57">
        <v>0.04</v>
      </c>
      <c r="D57">
        <v>3.8</v>
      </c>
      <c r="E57">
        <v>8.4000000000000005E-2</v>
      </c>
      <c r="F57">
        <v>25</v>
      </c>
      <c r="G57">
        <v>45</v>
      </c>
      <c r="H57">
        <v>0.99780000000000002</v>
      </c>
      <c r="I57">
        <v>3.34</v>
      </c>
      <c r="J57">
        <v>0.53</v>
      </c>
      <c r="K57">
        <v>9.5</v>
      </c>
      <c r="L57">
        <v>5</v>
      </c>
      <c r="M57" t="str">
        <f t="shared" si="0"/>
        <v>Medium</v>
      </c>
      <c r="N57">
        <f>(winequality_red[[#This Row],[Updated Quality &amp; Alcohol Analysis]]+winequality_red[[#This Row],[volatile acidity]]+winequality_red[[#This Row],[citric acid]])</f>
        <v>8.36</v>
      </c>
      <c r="O57">
        <f t="shared" si="1"/>
        <v>3.4589473684210524E-2</v>
      </c>
      <c r="S57" t="e">
        <f t="shared" si="2"/>
        <v>#N/A</v>
      </c>
      <c r="T57" t="e">
        <f t="shared" si="3"/>
        <v>#N/A</v>
      </c>
      <c r="U57">
        <f t="shared" si="4"/>
        <v>9.5</v>
      </c>
      <c r="V57">
        <f t="shared" si="5"/>
        <v>5</v>
      </c>
      <c r="W57" t="e">
        <f t="shared" si="6"/>
        <v>#N/A</v>
      </c>
      <c r="X57" t="e">
        <f t="shared" si="7"/>
        <v>#N/A</v>
      </c>
    </row>
    <row r="58" spans="1:24" x14ac:dyDescent="0.3">
      <c r="A58">
        <v>10.199999999999999</v>
      </c>
      <c r="B58">
        <v>0.42</v>
      </c>
      <c r="C58">
        <v>0.56999999999999995</v>
      </c>
      <c r="D58">
        <v>3.4</v>
      </c>
      <c r="E58">
        <v>7.0000000000000007E-2</v>
      </c>
      <c r="F58">
        <v>4</v>
      </c>
      <c r="G58">
        <v>10</v>
      </c>
      <c r="H58">
        <v>0.99709999999999999</v>
      </c>
      <c r="I58">
        <v>3.04</v>
      </c>
      <c r="J58">
        <v>0.63</v>
      </c>
      <c r="K58">
        <v>9.6</v>
      </c>
      <c r="L58">
        <v>5</v>
      </c>
      <c r="M58" t="str">
        <f t="shared" si="0"/>
        <v>Medium</v>
      </c>
      <c r="N58">
        <f>(winequality_red[[#This Row],[Updated Quality &amp; Alcohol Analysis]]+winequality_red[[#This Row],[volatile acidity]]+winequality_red[[#This Row],[citric acid]])</f>
        <v>11.19</v>
      </c>
      <c r="O58">
        <f t="shared" si="1"/>
        <v>2.75625E-2</v>
      </c>
      <c r="S58" t="e">
        <f t="shared" si="2"/>
        <v>#N/A</v>
      </c>
      <c r="T58" t="e">
        <f t="shared" si="3"/>
        <v>#N/A</v>
      </c>
      <c r="U58">
        <f t="shared" si="4"/>
        <v>9.6</v>
      </c>
      <c r="V58">
        <f t="shared" si="5"/>
        <v>5</v>
      </c>
      <c r="W58" t="e">
        <f t="shared" si="6"/>
        <v>#N/A</v>
      </c>
      <c r="X58" t="e">
        <f t="shared" si="7"/>
        <v>#N/A</v>
      </c>
    </row>
    <row r="59" spans="1:24" x14ac:dyDescent="0.3">
      <c r="A59">
        <v>7.5</v>
      </c>
      <c r="B59">
        <v>0.63</v>
      </c>
      <c r="C59">
        <v>0.12</v>
      </c>
      <c r="D59">
        <v>5.0999999999999996</v>
      </c>
      <c r="E59">
        <v>0.111</v>
      </c>
      <c r="F59">
        <v>50</v>
      </c>
      <c r="G59">
        <v>110</v>
      </c>
      <c r="H59">
        <v>0.99829999999999997</v>
      </c>
      <c r="I59">
        <v>3.26</v>
      </c>
      <c r="J59">
        <v>0.77</v>
      </c>
      <c r="K59">
        <v>9.4</v>
      </c>
      <c r="L59">
        <v>5</v>
      </c>
      <c r="M59" t="str">
        <f t="shared" si="0"/>
        <v>Medium</v>
      </c>
      <c r="N59">
        <f>(winequality_red[[#This Row],[Updated Quality &amp; Alcohol Analysis]]+winequality_red[[#This Row],[volatile acidity]]+winequality_red[[#This Row],[citric acid]])</f>
        <v>8.25</v>
      </c>
      <c r="O59">
        <f t="shared" si="1"/>
        <v>5.1606382978723407E-2</v>
      </c>
      <c r="S59" t="e">
        <f t="shared" si="2"/>
        <v>#N/A</v>
      </c>
      <c r="T59" t="e">
        <f t="shared" si="3"/>
        <v>#N/A</v>
      </c>
      <c r="U59">
        <f t="shared" si="4"/>
        <v>9.4</v>
      </c>
      <c r="V59">
        <f t="shared" si="5"/>
        <v>5</v>
      </c>
      <c r="W59" t="e">
        <f t="shared" si="6"/>
        <v>#N/A</v>
      </c>
      <c r="X59" t="e">
        <f t="shared" si="7"/>
        <v>#N/A</v>
      </c>
    </row>
    <row r="60" spans="1:24" x14ac:dyDescent="0.3">
      <c r="A60">
        <v>7.8</v>
      </c>
      <c r="B60">
        <v>0.59</v>
      </c>
      <c r="C60">
        <v>0.18</v>
      </c>
      <c r="D60">
        <v>2.2999999999999998</v>
      </c>
      <c r="E60">
        <v>7.5999999999999998E-2</v>
      </c>
      <c r="F60">
        <v>17</v>
      </c>
      <c r="G60">
        <v>54</v>
      </c>
      <c r="H60">
        <v>0.99750000000000005</v>
      </c>
      <c r="I60">
        <v>3.43</v>
      </c>
      <c r="J60">
        <v>0.59</v>
      </c>
      <c r="K60">
        <v>10</v>
      </c>
      <c r="L60">
        <v>5</v>
      </c>
      <c r="M60" t="str">
        <f t="shared" si="0"/>
        <v>Medium</v>
      </c>
      <c r="N60">
        <f>(winequality_red[[#This Row],[Updated Quality &amp; Alcohol Analysis]]+winequality_red[[#This Row],[volatile acidity]]+winequality_red[[#This Row],[citric acid]])</f>
        <v>8.57</v>
      </c>
      <c r="O60">
        <f t="shared" si="1"/>
        <v>3.4809999999999994E-2</v>
      </c>
      <c r="S60" t="e">
        <f t="shared" si="2"/>
        <v>#N/A</v>
      </c>
      <c r="T60" t="e">
        <f t="shared" si="3"/>
        <v>#N/A</v>
      </c>
      <c r="U60">
        <f t="shared" si="4"/>
        <v>10</v>
      </c>
      <c r="V60">
        <f t="shared" si="5"/>
        <v>5</v>
      </c>
      <c r="W60" t="e">
        <f t="shared" si="6"/>
        <v>#N/A</v>
      </c>
      <c r="X60" t="e">
        <f t="shared" si="7"/>
        <v>#N/A</v>
      </c>
    </row>
    <row r="61" spans="1:24" x14ac:dyDescent="0.3">
      <c r="A61">
        <v>7.3</v>
      </c>
      <c r="B61">
        <v>0.39</v>
      </c>
      <c r="C61">
        <v>0.31</v>
      </c>
      <c r="D61">
        <v>2.4</v>
      </c>
      <c r="E61">
        <v>7.400000000000001E-2</v>
      </c>
      <c r="F61">
        <v>9</v>
      </c>
      <c r="G61">
        <v>46</v>
      </c>
      <c r="H61">
        <v>0.99619999999999997</v>
      </c>
      <c r="I61">
        <v>3.41</v>
      </c>
      <c r="J61">
        <v>0.54</v>
      </c>
      <c r="K61">
        <v>9.4</v>
      </c>
      <c r="L61">
        <v>6</v>
      </c>
      <c r="M61" t="str">
        <f t="shared" si="0"/>
        <v>Medium</v>
      </c>
      <c r="N61">
        <f>(winequality_red[[#This Row],[Updated Quality &amp; Alcohol Analysis]]+winequality_red[[#This Row],[volatile acidity]]+winequality_red[[#This Row],[citric acid]])</f>
        <v>7.9999999999999991</v>
      </c>
      <c r="O61">
        <f t="shared" si="1"/>
        <v>2.2404255319148938E-2</v>
      </c>
      <c r="S61" t="e">
        <f t="shared" si="2"/>
        <v>#N/A</v>
      </c>
      <c r="T61" t="e">
        <f t="shared" si="3"/>
        <v>#N/A</v>
      </c>
      <c r="U61">
        <f t="shared" si="4"/>
        <v>9.4</v>
      </c>
      <c r="V61">
        <f t="shared" si="5"/>
        <v>6</v>
      </c>
      <c r="W61" t="e">
        <f t="shared" si="6"/>
        <v>#N/A</v>
      </c>
      <c r="X61" t="e">
        <f t="shared" si="7"/>
        <v>#N/A</v>
      </c>
    </row>
    <row r="62" spans="1:24" x14ac:dyDescent="0.3">
      <c r="A62">
        <v>8.8000000000000007</v>
      </c>
      <c r="B62">
        <v>0.4</v>
      </c>
      <c r="C62">
        <v>0.4</v>
      </c>
      <c r="D62">
        <v>2.2000000000000002</v>
      </c>
      <c r="E62">
        <v>7.9000000000000001E-2</v>
      </c>
      <c r="F62">
        <v>19</v>
      </c>
      <c r="G62">
        <v>52</v>
      </c>
      <c r="H62">
        <v>0.998</v>
      </c>
      <c r="I62">
        <v>3.44</v>
      </c>
      <c r="J62">
        <v>0.64</v>
      </c>
      <c r="K62">
        <v>9.1999999999999993</v>
      </c>
      <c r="L62">
        <v>5</v>
      </c>
      <c r="M62" t="str">
        <f t="shared" si="0"/>
        <v>Medium</v>
      </c>
      <c r="N62">
        <f>(winequality_red[[#This Row],[Updated Quality &amp; Alcohol Analysis]]+winequality_red[[#This Row],[volatile acidity]]+winequality_red[[#This Row],[citric acid]])</f>
        <v>9.6000000000000014</v>
      </c>
      <c r="O62">
        <f t="shared" si="1"/>
        <v>2.782608695652174E-2</v>
      </c>
      <c r="S62" t="e">
        <f t="shared" si="2"/>
        <v>#N/A</v>
      </c>
      <c r="T62" t="e">
        <f t="shared" si="3"/>
        <v>#N/A</v>
      </c>
      <c r="U62">
        <f t="shared" si="4"/>
        <v>9.1999999999999993</v>
      </c>
      <c r="V62">
        <f t="shared" si="5"/>
        <v>5</v>
      </c>
      <c r="W62" t="e">
        <f t="shared" si="6"/>
        <v>#N/A</v>
      </c>
      <c r="X62" t="e">
        <f t="shared" si="7"/>
        <v>#N/A</v>
      </c>
    </row>
    <row r="63" spans="1:24" x14ac:dyDescent="0.3">
      <c r="A63">
        <v>7.7</v>
      </c>
      <c r="B63">
        <v>0.69</v>
      </c>
      <c r="C63">
        <v>0.49</v>
      </c>
      <c r="D63">
        <v>1.8</v>
      </c>
      <c r="E63">
        <v>0.115</v>
      </c>
      <c r="F63">
        <v>20</v>
      </c>
      <c r="G63">
        <v>112</v>
      </c>
      <c r="H63">
        <v>0.99680000000000002</v>
      </c>
      <c r="I63">
        <v>3.21</v>
      </c>
      <c r="J63">
        <v>0.71</v>
      </c>
      <c r="K63">
        <v>9.3000000000000007</v>
      </c>
      <c r="L63">
        <v>5</v>
      </c>
      <c r="M63" t="str">
        <f t="shared" si="0"/>
        <v>Medium</v>
      </c>
      <c r="N63">
        <f>(winequality_red[[#This Row],[Updated Quality &amp; Alcohol Analysis]]+winequality_red[[#This Row],[volatile acidity]]+winequality_red[[#This Row],[citric acid]])</f>
        <v>8.8800000000000008</v>
      </c>
      <c r="O63">
        <f t="shared" si="1"/>
        <v>5.2677419354838703E-2</v>
      </c>
      <c r="S63" t="e">
        <f t="shared" si="2"/>
        <v>#N/A</v>
      </c>
      <c r="T63" t="e">
        <f t="shared" si="3"/>
        <v>#N/A</v>
      </c>
      <c r="U63">
        <f t="shared" si="4"/>
        <v>9.3000000000000007</v>
      </c>
      <c r="V63">
        <f t="shared" si="5"/>
        <v>5</v>
      </c>
      <c r="W63" t="e">
        <f t="shared" si="6"/>
        <v>#N/A</v>
      </c>
      <c r="X63" t="e">
        <f t="shared" si="7"/>
        <v>#N/A</v>
      </c>
    </row>
    <row r="64" spans="1:24" x14ac:dyDescent="0.3">
      <c r="A64">
        <v>7.5</v>
      </c>
      <c r="B64">
        <v>0.52</v>
      </c>
      <c r="C64">
        <v>0.16</v>
      </c>
      <c r="D64">
        <v>1.9</v>
      </c>
      <c r="E64">
        <v>8.5000000000000006E-2</v>
      </c>
      <c r="F64">
        <v>12</v>
      </c>
      <c r="G64">
        <v>35</v>
      </c>
      <c r="H64">
        <v>0.99680000000000002</v>
      </c>
      <c r="I64">
        <v>3.38</v>
      </c>
      <c r="J64">
        <v>0.62</v>
      </c>
      <c r="K64">
        <v>9.5</v>
      </c>
      <c r="L64">
        <v>7</v>
      </c>
      <c r="M64" t="str">
        <f t="shared" si="0"/>
        <v>High</v>
      </c>
      <c r="N64">
        <f>(winequality_red[[#This Row],[Updated Quality &amp; Alcohol Analysis]]+winequality_red[[#This Row],[volatile acidity]]+winequality_red[[#This Row],[citric acid]])</f>
        <v>8.18</v>
      </c>
      <c r="O64">
        <f t="shared" si="1"/>
        <v>3.3936842105263161E-2</v>
      </c>
      <c r="S64" t="e">
        <f t="shared" si="2"/>
        <v>#N/A</v>
      </c>
      <c r="T64" t="e">
        <f t="shared" si="3"/>
        <v>#N/A</v>
      </c>
      <c r="U64" t="e">
        <f t="shared" si="4"/>
        <v>#N/A</v>
      </c>
      <c r="V64" t="e">
        <f t="shared" si="5"/>
        <v>#N/A</v>
      </c>
      <c r="W64">
        <f t="shared" si="6"/>
        <v>9.5</v>
      </c>
      <c r="X64">
        <f t="shared" si="7"/>
        <v>7</v>
      </c>
    </row>
    <row r="65" spans="1:24" x14ac:dyDescent="0.3">
      <c r="A65">
        <v>7</v>
      </c>
      <c r="B65">
        <v>0.73499999999999999</v>
      </c>
      <c r="C65">
        <v>0.05</v>
      </c>
      <c r="D65">
        <v>2</v>
      </c>
      <c r="E65">
        <v>8.1000000000000003E-2</v>
      </c>
      <c r="F65">
        <v>13</v>
      </c>
      <c r="G65">
        <v>54</v>
      </c>
      <c r="H65">
        <v>0.99660000000000004</v>
      </c>
      <c r="I65">
        <v>3.39</v>
      </c>
      <c r="J65">
        <v>0.56999999999999995</v>
      </c>
      <c r="K65">
        <v>9.8000000000000007</v>
      </c>
      <c r="L65">
        <v>5</v>
      </c>
      <c r="M65" t="str">
        <f t="shared" si="0"/>
        <v>Medium</v>
      </c>
      <c r="N65">
        <f>(winequality_red[[#This Row],[Updated Quality &amp; Alcohol Analysis]]+winequality_red[[#This Row],[volatile acidity]]+winequality_red[[#This Row],[citric acid]])</f>
        <v>7.7850000000000001</v>
      </c>
      <c r="O65">
        <f t="shared" si="1"/>
        <v>4.2749999999999989E-2</v>
      </c>
      <c r="S65" t="e">
        <f t="shared" si="2"/>
        <v>#N/A</v>
      </c>
      <c r="T65" t="e">
        <f t="shared" si="3"/>
        <v>#N/A</v>
      </c>
      <c r="U65">
        <f t="shared" si="4"/>
        <v>9.8000000000000007</v>
      </c>
      <c r="V65">
        <f t="shared" si="5"/>
        <v>5</v>
      </c>
      <c r="W65" t="e">
        <f t="shared" si="6"/>
        <v>#N/A</v>
      </c>
      <c r="X65" t="e">
        <f t="shared" si="7"/>
        <v>#N/A</v>
      </c>
    </row>
    <row r="66" spans="1:24" x14ac:dyDescent="0.3">
      <c r="A66">
        <v>7.2</v>
      </c>
      <c r="B66">
        <v>0.72499999999999998</v>
      </c>
      <c r="C66">
        <v>0.05</v>
      </c>
      <c r="D66">
        <v>4.6500000000000004</v>
      </c>
      <c r="E66">
        <v>8.5999999999999993E-2</v>
      </c>
      <c r="F66">
        <v>4</v>
      </c>
      <c r="G66">
        <v>11</v>
      </c>
      <c r="H66">
        <v>0.99619999999999997</v>
      </c>
      <c r="I66">
        <v>3.41</v>
      </c>
      <c r="J66">
        <v>0.39</v>
      </c>
      <c r="K66">
        <v>10.9</v>
      </c>
      <c r="L66">
        <v>5</v>
      </c>
      <c r="M66" t="str">
        <f t="shared" ref="M66:M129" si="8">IF($L66&gt;=7,"High",IF($L66&gt;=5,"Medium","Low"))</f>
        <v>Medium</v>
      </c>
      <c r="N66">
        <f>(winequality_red[[#This Row],[Updated Quality &amp; Alcohol Analysis]]+winequality_red[[#This Row],[volatile acidity]]+winequality_red[[#This Row],[citric acid]])</f>
        <v>7.9749999999999996</v>
      </c>
      <c r="O66">
        <f t="shared" ref="O66:O129" si="9">($B66*$J66)/$K66</f>
        <v>2.5940366972477064E-2</v>
      </c>
      <c r="S66" t="e">
        <f t="shared" si="2"/>
        <v>#N/A</v>
      </c>
      <c r="T66" t="e">
        <f t="shared" si="3"/>
        <v>#N/A</v>
      </c>
      <c r="U66">
        <f t="shared" si="4"/>
        <v>10.9</v>
      </c>
      <c r="V66">
        <f t="shared" si="5"/>
        <v>5</v>
      </c>
      <c r="W66" t="e">
        <f t="shared" si="6"/>
        <v>#N/A</v>
      </c>
      <c r="X66" t="e">
        <f t="shared" si="7"/>
        <v>#N/A</v>
      </c>
    </row>
    <row r="67" spans="1:24" x14ac:dyDescent="0.3">
      <c r="A67">
        <v>7.2</v>
      </c>
      <c r="B67">
        <v>0.72499999999999998</v>
      </c>
      <c r="C67">
        <v>0.05</v>
      </c>
      <c r="D67">
        <v>4.6500000000000004</v>
      </c>
      <c r="E67">
        <v>8.5999999999999993E-2</v>
      </c>
      <c r="F67">
        <v>4</v>
      </c>
      <c r="G67">
        <v>11</v>
      </c>
      <c r="H67">
        <v>0.99619999999999997</v>
      </c>
      <c r="I67">
        <v>3.41</v>
      </c>
      <c r="J67">
        <v>0.39</v>
      </c>
      <c r="K67">
        <v>10.9</v>
      </c>
      <c r="L67">
        <v>5</v>
      </c>
      <c r="M67" t="str">
        <f t="shared" si="8"/>
        <v>Medium</v>
      </c>
      <c r="N67">
        <f>(winequality_red[[#This Row],[Updated Quality &amp; Alcohol Analysis]]+winequality_red[[#This Row],[volatile acidity]]+winequality_red[[#This Row],[citric acid]])</f>
        <v>7.9749999999999996</v>
      </c>
      <c r="O67">
        <f t="shared" si="9"/>
        <v>2.5940366972477064E-2</v>
      </c>
      <c r="S67" t="e">
        <f t="shared" ref="S67:S130" si="10">IF($M67="Low",$K67,NA())</f>
        <v>#N/A</v>
      </c>
      <c r="T67" t="e">
        <f t="shared" ref="T67:T130" si="11">IF($M67="Low",$L67,NA())</f>
        <v>#N/A</v>
      </c>
      <c r="U67">
        <f t="shared" ref="U67:U130" si="12">IF($M67="Medium",$K67,NA())</f>
        <v>10.9</v>
      </c>
      <c r="V67">
        <f t="shared" ref="V67:V130" si="13">IF($M67="Medium",$L67,NA())</f>
        <v>5</v>
      </c>
      <c r="W67" t="e">
        <f t="shared" ref="W67:W130" si="14">IF($M67="High",$K67,NA())</f>
        <v>#N/A</v>
      </c>
      <c r="X67" t="e">
        <f t="shared" ref="X67:X130" si="15">IF($M67="High",$L67,NA())</f>
        <v>#N/A</v>
      </c>
    </row>
    <row r="68" spans="1:24" x14ac:dyDescent="0.3">
      <c r="A68">
        <v>7.5</v>
      </c>
      <c r="B68">
        <v>0.52</v>
      </c>
      <c r="C68">
        <v>0.11</v>
      </c>
      <c r="D68">
        <v>1.5</v>
      </c>
      <c r="E68">
        <v>7.9000000000000001E-2</v>
      </c>
      <c r="F68">
        <v>11</v>
      </c>
      <c r="G68">
        <v>39</v>
      </c>
      <c r="H68">
        <v>0.99680000000000002</v>
      </c>
      <c r="I68">
        <v>3.42</v>
      </c>
      <c r="J68">
        <v>0.57999999999999996</v>
      </c>
      <c r="K68">
        <v>9.6</v>
      </c>
      <c r="L68">
        <v>5</v>
      </c>
      <c r="M68" t="str">
        <f t="shared" si="8"/>
        <v>Medium</v>
      </c>
      <c r="N68">
        <f>(winequality_red[[#This Row],[Updated Quality &amp; Alcohol Analysis]]+winequality_red[[#This Row],[volatile acidity]]+winequality_red[[#This Row],[citric acid]])</f>
        <v>8.129999999999999</v>
      </c>
      <c r="O68">
        <f t="shared" si="9"/>
        <v>3.1416666666666669E-2</v>
      </c>
      <c r="S68" t="e">
        <f t="shared" si="10"/>
        <v>#N/A</v>
      </c>
      <c r="T68" t="e">
        <f t="shared" si="11"/>
        <v>#N/A</v>
      </c>
      <c r="U68">
        <f t="shared" si="12"/>
        <v>9.6</v>
      </c>
      <c r="V68">
        <f t="shared" si="13"/>
        <v>5</v>
      </c>
      <c r="W68" t="e">
        <f t="shared" si="14"/>
        <v>#N/A</v>
      </c>
      <c r="X68" t="e">
        <f t="shared" si="15"/>
        <v>#N/A</v>
      </c>
    </row>
    <row r="69" spans="1:24" x14ac:dyDescent="0.3">
      <c r="A69">
        <v>6.6</v>
      </c>
      <c r="B69">
        <v>0.70499999999999996</v>
      </c>
      <c r="C69">
        <v>7.0000000000000007E-2</v>
      </c>
      <c r="D69">
        <v>1.6</v>
      </c>
      <c r="E69">
        <v>7.5999999999999998E-2</v>
      </c>
      <c r="F69">
        <v>6</v>
      </c>
      <c r="G69">
        <v>15</v>
      </c>
      <c r="H69">
        <v>0.99619999999999997</v>
      </c>
      <c r="I69">
        <v>3.44</v>
      </c>
      <c r="J69">
        <v>0.57999999999999996</v>
      </c>
      <c r="K69">
        <v>10.7</v>
      </c>
      <c r="L69">
        <v>5</v>
      </c>
      <c r="M69" t="str">
        <f t="shared" si="8"/>
        <v>Medium</v>
      </c>
      <c r="N69">
        <f>(winequality_red[[#This Row],[Updated Quality &amp; Alcohol Analysis]]+winequality_red[[#This Row],[volatile acidity]]+winequality_red[[#This Row],[citric acid]])</f>
        <v>7.375</v>
      </c>
      <c r="O69">
        <f t="shared" si="9"/>
        <v>3.8214953271028036E-2</v>
      </c>
      <c r="S69" t="e">
        <f t="shared" si="10"/>
        <v>#N/A</v>
      </c>
      <c r="T69" t="e">
        <f t="shared" si="11"/>
        <v>#N/A</v>
      </c>
      <c r="U69">
        <f t="shared" si="12"/>
        <v>10.7</v>
      </c>
      <c r="V69">
        <f t="shared" si="13"/>
        <v>5</v>
      </c>
      <c r="W69" t="e">
        <f t="shared" si="14"/>
        <v>#N/A</v>
      </c>
      <c r="X69" t="e">
        <f t="shared" si="15"/>
        <v>#N/A</v>
      </c>
    </row>
    <row r="70" spans="1:24" x14ac:dyDescent="0.3">
      <c r="A70">
        <v>9.3000000000000007</v>
      </c>
      <c r="B70">
        <v>0.32</v>
      </c>
      <c r="C70">
        <v>0.56999999999999995</v>
      </c>
      <c r="D70">
        <v>2</v>
      </c>
      <c r="E70">
        <v>7.400000000000001E-2</v>
      </c>
      <c r="F70">
        <v>27</v>
      </c>
      <c r="G70">
        <v>65</v>
      </c>
      <c r="H70">
        <v>0.99690000000000001</v>
      </c>
      <c r="I70">
        <v>3.28</v>
      </c>
      <c r="J70">
        <v>0.79</v>
      </c>
      <c r="K70">
        <v>10.7</v>
      </c>
      <c r="L70">
        <v>5</v>
      </c>
      <c r="M70" t="str">
        <f t="shared" si="8"/>
        <v>Medium</v>
      </c>
      <c r="N70">
        <f>(winequality_red[[#This Row],[Updated Quality &amp; Alcohol Analysis]]+winequality_red[[#This Row],[volatile acidity]]+winequality_red[[#This Row],[citric acid]])</f>
        <v>10.190000000000001</v>
      </c>
      <c r="O70">
        <f t="shared" si="9"/>
        <v>2.3626168224299068E-2</v>
      </c>
      <c r="S70" t="e">
        <f t="shared" si="10"/>
        <v>#N/A</v>
      </c>
      <c r="T70" t="e">
        <f t="shared" si="11"/>
        <v>#N/A</v>
      </c>
      <c r="U70">
        <f t="shared" si="12"/>
        <v>10.7</v>
      </c>
      <c r="V70">
        <f t="shared" si="13"/>
        <v>5</v>
      </c>
      <c r="W70" t="e">
        <f t="shared" si="14"/>
        <v>#N/A</v>
      </c>
      <c r="X70" t="e">
        <f t="shared" si="15"/>
        <v>#N/A</v>
      </c>
    </row>
    <row r="71" spans="1:24" x14ac:dyDescent="0.3">
      <c r="A71">
        <v>8</v>
      </c>
      <c r="B71">
        <v>0.70499999999999996</v>
      </c>
      <c r="C71">
        <v>0.05</v>
      </c>
      <c r="D71">
        <v>1.9</v>
      </c>
      <c r="E71">
        <v>7.400000000000001E-2</v>
      </c>
      <c r="F71">
        <v>8</v>
      </c>
      <c r="G71">
        <v>19</v>
      </c>
      <c r="H71">
        <v>0.99619999999999997</v>
      </c>
      <c r="I71">
        <v>3.34</v>
      </c>
      <c r="J71">
        <v>0.95</v>
      </c>
      <c r="K71">
        <v>10.5</v>
      </c>
      <c r="L71">
        <v>6</v>
      </c>
      <c r="M71" t="str">
        <f t="shared" si="8"/>
        <v>Medium</v>
      </c>
      <c r="N71">
        <f>(winequality_red[[#This Row],[Updated Quality &amp; Alcohol Analysis]]+winequality_red[[#This Row],[volatile acidity]]+winequality_red[[#This Row],[citric acid]])</f>
        <v>8.7550000000000008</v>
      </c>
      <c r="O71">
        <f t="shared" si="9"/>
        <v>6.3785714285714279E-2</v>
      </c>
      <c r="S71" t="e">
        <f t="shared" si="10"/>
        <v>#N/A</v>
      </c>
      <c r="T71" t="e">
        <f t="shared" si="11"/>
        <v>#N/A</v>
      </c>
      <c r="U71">
        <f t="shared" si="12"/>
        <v>10.5</v>
      </c>
      <c r="V71">
        <f t="shared" si="13"/>
        <v>6</v>
      </c>
      <c r="W71" t="e">
        <f t="shared" si="14"/>
        <v>#N/A</v>
      </c>
      <c r="X71" t="e">
        <f t="shared" si="15"/>
        <v>#N/A</v>
      </c>
    </row>
    <row r="72" spans="1:24" x14ac:dyDescent="0.3">
      <c r="A72">
        <v>7.7</v>
      </c>
      <c r="B72">
        <v>0.63</v>
      </c>
      <c r="C72">
        <v>0.08</v>
      </c>
      <c r="D72">
        <v>1.9</v>
      </c>
      <c r="E72">
        <v>7.5999999999999998E-2</v>
      </c>
      <c r="F72">
        <v>15</v>
      </c>
      <c r="G72">
        <v>27</v>
      </c>
      <c r="H72">
        <v>0.99670000000000003</v>
      </c>
      <c r="I72">
        <v>3.32</v>
      </c>
      <c r="J72">
        <v>0.54</v>
      </c>
      <c r="K72">
        <v>9.5</v>
      </c>
      <c r="L72">
        <v>6</v>
      </c>
      <c r="M72" t="str">
        <f t="shared" si="8"/>
        <v>Medium</v>
      </c>
      <c r="N72">
        <f>(winequality_red[[#This Row],[Updated Quality &amp; Alcohol Analysis]]+winequality_red[[#This Row],[volatile acidity]]+winequality_red[[#This Row],[citric acid]])</f>
        <v>8.41</v>
      </c>
      <c r="O72">
        <f t="shared" si="9"/>
        <v>3.5810526315789473E-2</v>
      </c>
      <c r="S72" t="e">
        <f t="shared" si="10"/>
        <v>#N/A</v>
      </c>
      <c r="T72" t="e">
        <f t="shared" si="11"/>
        <v>#N/A</v>
      </c>
      <c r="U72">
        <f t="shared" si="12"/>
        <v>9.5</v>
      </c>
      <c r="V72">
        <f t="shared" si="13"/>
        <v>6</v>
      </c>
      <c r="W72" t="e">
        <f t="shared" si="14"/>
        <v>#N/A</v>
      </c>
      <c r="X72" t="e">
        <f t="shared" si="15"/>
        <v>#N/A</v>
      </c>
    </row>
    <row r="73" spans="1:24" x14ac:dyDescent="0.3">
      <c r="A73">
        <v>7.7</v>
      </c>
      <c r="B73">
        <v>0.67</v>
      </c>
      <c r="C73">
        <v>0.23</v>
      </c>
      <c r="D73">
        <v>2.1</v>
      </c>
      <c r="E73">
        <v>8.8000000000000009E-2</v>
      </c>
      <c r="F73">
        <v>17</v>
      </c>
      <c r="G73">
        <v>96</v>
      </c>
      <c r="H73">
        <v>0.99619999999999997</v>
      </c>
      <c r="I73">
        <v>3.32</v>
      </c>
      <c r="J73">
        <v>0.48</v>
      </c>
      <c r="K73">
        <v>9.5</v>
      </c>
      <c r="L73">
        <v>5</v>
      </c>
      <c r="M73" t="str">
        <f t="shared" si="8"/>
        <v>Medium</v>
      </c>
      <c r="N73">
        <f>(winequality_red[[#This Row],[Updated Quality &amp; Alcohol Analysis]]+winequality_red[[#This Row],[volatile acidity]]+winequality_red[[#This Row],[citric acid]])</f>
        <v>8.6000000000000014</v>
      </c>
      <c r="O73">
        <f t="shared" si="9"/>
        <v>3.385263157894737E-2</v>
      </c>
      <c r="S73" t="e">
        <f t="shared" si="10"/>
        <v>#N/A</v>
      </c>
      <c r="T73" t="e">
        <f t="shared" si="11"/>
        <v>#N/A</v>
      </c>
      <c r="U73">
        <f t="shared" si="12"/>
        <v>9.5</v>
      </c>
      <c r="V73">
        <f t="shared" si="13"/>
        <v>5</v>
      </c>
      <c r="W73" t="e">
        <f t="shared" si="14"/>
        <v>#N/A</v>
      </c>
      <c r="X73" t="e">
        <f t="shared" si="15"/>
        <v>#N/A</v>
      </c>
    </row>
    <row r="74" spans="1:24" x14ac:dyDescent="0.3">
      <c r="A74">
        <v>7.7</v>
      </c>
      <c r="B74">
        <v>0.69</v>
      </c>
      <c r="C74">
        <v>0.22</v>
      </c>
      <c r="D74">
        <v>1.9</v>
      </c>
      <c r="E74">
        <v>8.4000000000000005E-2</v>
      </c>
      <c r="F74">
        <v>18</v>
      </c>
      <c r="G74">
        <v>94</v>
      </c>
      <c r="H74">
        <v>0.99609999999999999</v>
      </c>
      <c r="I74">
        <v>3.31</v>
      </c>
      <c r="J74">
        <v>0.48</v>
      </c>
      <c r="K74">
        <v>9.5</v>
      </c>
      <c r="L74">
        <v>5</v>
      </c>
      <c r="M74" t="str">
        <f t="shared" si="8"/>
        <v>Medium</v>
      </c>
      <c r="N74">
        <f>(winequality_red[[#This Row],[Updated Quality &amp; Alcohol Analysis]]+winequality_red[[#This Row],[volatile acidity]]+winequality_red[[#This Row],[citric acid]])</f>
        <v>8.6100000000000012</v>
      </c>
      <c r="O74">
        <f t="shared" si="9"/>
        <v>3.4863157894736839E-2</v>
      </c>
      <c r="S74" t="e">
        <f t="shared" si="10"/>
        <v>#N/A</v>
      </c>
      <c r="T74" t="e">
        <f t="shared" si="11"/>
        <v>#N/A</v>
      </c>
      <c r="U74">
        <f t="shared" si="12"/>
        <v>9.5</v>
      </c>
      <c r="V74">
        <f t="shared" si="13"/>
        <v>5</v>
      </c>
      <c r="W74" t="e">
        <f t="shared" si="14"/>
        <v>#N/A</v>
      </c>
      <c r="X74" t="e">
        <f t="shared" si="15"/>
        <v>#N/A</v>
      </c>
    </row>
    <row r="75" spans="1:24" x14ac:dyDescent="0.3">
      <c r="A75">
        <v>8.3000000000000007</v>
      </c>
      <c r="B75">
        <v>0.67500000000000004</v>
      </c>
      <c r="C75">
        <v>0.26</v>
      </c>
      <c r="D75">
        <v>2.1</v>
      </c>
      <c r="E75">
        <v>8.4000000000000005E-2</v>
      </c>
      <c r="F75">
        <v>11</v>
      </c>
      <c r="G75">
        <v>43</v>
      </c>
      <c r="H75">
        <v>0.99760000000000004</v>
      </c>
      <c r="I75">
        <v>3.31</v>
      </c>
      <c r="J75">
        <v>0.53</v>
      </c>
      <c r="K75">
        <v>9.1999999999999993</v>
      </c>
      <c r="L75">
        <v>4</v>
      </c>
      <c r="M75" t="str">
        <f t="shared" si="8"/>
        <v>Low</v>
      </c>
      <c r="N75">
        <f>(winequality_red[[#This Row],[Updated Quality &amp; Alcohol Analysis]]+winequality_red[[#This Row],[volatile acidity]]+winequality_red[[#This Row],[citric acid]])</f>
        <v>9.2350000000000012</v>
      </c>
      <c r="O75">
        <f t="shared" si="9"/>
        <v>3.8885869565217404E-2</v>
      </c>
      <c r="S75">
        <f t="shared" si="10"/>
        <v>9.1999999999999993</v>
      </c>
      <c r="T75">
        <f t="shared" si="11"/>
        <v>4</v>
      </c>
      <c r="U75" t="e">
        <f t="shared" si="12"/>
        <v>#N/A</v>
      </c>
      <c r="V75" t="e">
        <f t="shared" si="13"/>
        <v>#N/A</v>
      </c>
      <c r="W75" t="e">
        <f t="shared" si="14"/>
        <v>#N/A</v>
      </c>
      <c r="X75" t="e">
        <f t="shared" si="15"/>
        <v>#N/A</v>
      </c>
    </row>
    <row r="76" spans="1:24" x14ac:dyDescent="0.3">
      <c r="A76">
        <v>9.6999999999999993</v>
      </c>
      <c r="B76">
        <v>0.32</v>
      </c>
      <c r="C76">
        <v>0.54</v>
      </c>
      <c r="D76">
        <v>2.5</v>
      </c>
      <c r="E76">
        <v>9.4E-2</v>
      </c>
      <c r="F76">
        <v>28</v>
      </c>
      <c r="G76">
        <v>83</v>
      </c>
      <c r="H76">
        <v>0.99839999999999995</v>
      </c>
      <c r="I76">
        <v>3.28</v>
      </c>
      <c r="J76">
        <v>0.82</v>
      </c>
      <c r="K76">
        <v>9.6</v>
      </c>
      <c r="L76">
        <v>5</v>
      </c>
      <c r="M76" t="str">
        <f t="shared" si="8"/>
        <v>Medium</v>
      </c>
      <c r="N76">
        <f>(winequality_red[[#This Row],[Updated Quality &amp; Alcohol Analysis]]+winequality_red[[#This Row],[volatile acidity]]+winequality_red[[#This Row],[citric acid]])</f>
        <v>10.559999999999999</v>
      </c>
      <c r="O76">
        <f t="shared" si="9"/>
        <v>2.7333333333333331E-2</v>
      </c>
      <c r="S76" t="e">
        <f t="shared" si="10"/>
        <v>#N/A</v>
      </c>
      <c r="T76" t="e">
        <f t="shared" si="11"/>
        <v>#N/A</v>
      </c>
      <c r="U76">
        <f t="shared" si="12"/>
        <v>9.6</v>
      </c>
      <c r="V76">
        <f t="shared" si="13"/>
        <v>5</v>
      </c>
      <c r="W76" t="e">
        <f t="shared" si="14"/>
        <v>#N/A</v>
      </c>
      <c r="X76" t="e">
        <f t="shared" si="15"/>
        <v>#N/A</v>
      </c>
    </row>
    <row r="77" spans="1:24" x14ac:dyDescent="0.3">
      <c r="A77">
        <v>8.8000000000000007</v>
      </c>
      <c r="B77">
        <v>0.41</v>
      </c>
      <c r="C77">
        <v>0.64</v>
      </c>
      <c r="D77">
        <v>2.2000000000000002</v>
      </c>
      <c r="E77">
        <v>9.3000000000000013E-2</v>
      </c>
      <c r="F77">
        <v>9</v>
      </c>
      <c r="G77">
        <v>42</v>
      </c>
      <c r="H77">
        <v>0.99860000000000004</v>
      </c>
      <c r="I77">
        <v>3.54</v>
      </c>
      <c r="J77">
        <v>0.66</v>
      </c>
      <c r="K77">
        <v>10.5</v>
      </c>
      <c r="L77">
        <v>5</v>
      </c>
      <c r="M77" t="str">
        <f t="shared" si="8"/>
        <v>Medium</v>
      </c>
      <c r="N77">
        <f>(winequality_red[[#This Row],[Updated Quality &amp; Alcohol Analysis]]+winequality_red[[#This Row],[volatile acidity]]+winequality_red[[#This Row],[citric acid]])</f>
        <v>9.8500000000000014</v>
      </c>
      <c r="O77">
        <f t="shared" si="9"/>
        <v>2.5771428571428574E-2</v>
      </c>
      <c r="S77" t="e">
        <f t="shared" si="10"/>
        <v>#N/A</v>
      </c>
      <c r="T77" t="e">
        <f t="shared" si="11"/>
        <v>#N/A</v>
      </c>
      <c r="U77">
        <f t="shared" si="12"/>
        <v>10.5</v>
      </c>
      <c r="V77">
        <f t="shared" si="13"/>
        <v>5</v>
      </c>
      <c r="W77" t="e">
        <f t="shared" si="14"/>
        <v>#N/A</v>
      </c>
      <c r="X77" t="e">
        <f t="shared" si="15"/>
        <v>#N/A</v>
      </c>
    </row>
    <row r="78" spans="1:24" x14ac:dyDescent="0.3">
      <c r="A78">
        <v>8.8000000000000007</v>
      </c>
      <c r="B78">
        <v>0.41</v>
      </c>
      <c r="C78">
        <v>0.64</v>
      </c>
      <c r="D78">
        <v>2.2000000000000002</v>
      </c>
      <c r="E78">
        <v>9.3000000000000013E-2</v>
      </c>
      <c r="F78">
        <v>9</v>
      </c>
      <c r="G78">
        <v>42</v>
      </c>
      <c r="H78">
        <v>0.99860000000000004</v>
      </c>
      <c r="I78">
        <v>3.54</v>
      </c>
      <c r="J78">
        <v>0.66</v>
      </c>
      <c r="K78">
        <v>10.5</v>
      </c>
      <c r="L78">
        <v>5</v>
      </c>
      <c r="M78" t="str">
        <f t="shared" si="8"/>
        <v>Medium</v>
      </c>
      <c r="N78">
        <f>(winequality_red[[#This Row],[Updated Quality &amp; Alcohol Analysis]]+winequality_red[[#This Row],[volatile acidity]]+winequality_red[[#This Row],[citric acid]])</f>
        <v>9.8500000000000014</v>
      </c>
      <c r="O78">
        <f t="shared" si="9"/>
        <v>2.5771428571428574E-2</v>
      </c>
      <c r="S78" t="e">
        <f t="shared" si="10"/>
        <v>#N/A</v>
      </c>
      <c r="T78" t="e">
        <f t="shared" si="11"/>
        <v>#N/A</v>
      </c>
      <c r="U78">
        <f t="shared" si="12"/>
        <v>10.5</v>
      </c>
      <c r="V78">
        <f t="shared" si="13"/>
        <v>5</v>
      </c>
      <c r="W78" t="e">
        <f t="shared" si="14"/>
        <v>#N/A</v>
      </c>
      <c r="X78" t="e">
        <f t="shared" si="15"/>
        <v>#N/A</v>
      </c>
    </row>
    <row r="79" spans="1:24" x14ac:dyDescent="0.3">
      <c r="A79">
        <v>6.8</v>
      </c>
      <c r="B79">
        <v>0.78500000000000003</v>
      </c>
      <c r="C79">
        <v>0</v>
      </c>
      <c r="D79">
        <v>2.4</v>
      </c>
      <c r="E79">
        <v>0.10400000000000001</v>
      </c>
      <c r="F79">
        <v>14</v>
      </c>
      <c r="G79">
        <v>30</v>
      </c>
      <c r="H79">
        <v>0.99660000000000004</v>
      </c>
      <c r="I79">
        <v>3.52</v>
      </c>
      <c r="J79">
        <v>0.55000000000000004</v>
      </c>
      <c r="K79">
        <v>10.7</v>
      </c>
      <c r="L79">
        <v>6</v>
      </c>
      <c r="M79" t="str">
        <f t="shared" si="8"/>
        <v>Medium</v>
      </c>
      <c r="N79">
        <f>(winequality_red[[#This Row],[Updated Quality &amp; Alcohol Analysis]]+winequality_red[[#This Row],[volatile acidity]]+winequality_red[[#This Row],[citric acid]])</f>
        <v>7.585</v>
      </c>
      <c r="O79">
        <f t="shared" si="9"/>
        <v>4.0350467289719638E-2</v>
      </c>
      <c r="S79" t="e">
        <f t="shared" si="10"/>
        <v>#N/A</v>
      </c>
      <c r="T79" t="e">
        <f t="shared" si="11"/>
        <v>#N/A</v>
      </c>
      <c r="U79">
        <f t="shared" si="12"/>
        <v>10.7</v>
      </c>
      <c r="V79">
        <f t="shared" si="13"/>
        <v>6</v>
      </c>
      <c r="W79" t="e">
        <f t="shared" si="14"/>
        <v>#N/A</v>
      </c>
      <c r="X79" t="e">
        <f t="shared" si="15"/>
        <v>#N/A</v>
      </c>
    </row>
    <row r="80" spans="1:24" x14ac:dyDescent="0.3">
      <c r="A80">
        <v>6.7</v>
      </c>
      <c r="B80">
        <v>0.75</v>
      </c>
      <c r="C80">
        <v>0.12</v>
      </c>
      <c r="D80">
        <v>2</v>
      </c>
      <c r="E80">
        <v>8.5999999999999993E-2</v>
      </c>
      <c r="F80">
        <v>12</v>
      </c>
      <c r="G80">
        <v>80</v>
      </c>
      <c r="H80">
        <v>0.99580000000000002</v>
      </c>
      <c r="I80">
        <v>3.38</v>
      </c>
      <c r="J80">
        <v>0.52</v>
      </c>
      <c r="K80">
        <v>10.1</v>
      </c>
      <c r="L80">
        <v>5</v>
      </c>
      <c r="M80" t="str">
        <f t="shared" si="8"/>
        <v>Medium</v>
      </c>
      <c r="N80">
        <f>(winequality_red[[#This Row],[Updated Quality &amp; Alcohol Analysis]]+winequality_red[[#This Row],[volatile acidity]]+winequality_red[[#This Row],[citric acid]])</f>
        <v>7.57</v>
      </c>
      <c r="O80">
        <f t="shared" si="9"/>
        <v>3.8613861386138613E-2</v>
      </c>
      <c r="S80" t="e">
        <f t="shared" si="10"/>
        <v>#N/A</v>
      </c>
      <c r="T80" t="e">
        <f t="shared" si="11"/>
        <v>#N/A</v>
      </c>
      <c r="U80">
        <f t="shared" si="12"/>
        <v>10.1</v>
      </c>
      <c r="V80">
        <f t="shared" si="13"/>
        <v>5</v>
      </c>
      <c r="W80" t="e">
        <f t="shared" si="14"/>
        <v>#N/A</v>
      </c>
      <c r="X80" t="e">
        <f t="shared" si="15"/>
        <v>#N/A</v>
      </c>
    </row>
    <row r="81" spans="1:24" x14ac:dyDescent="0.3">
      <c r="A81">
        <v>8.3000000000000007</v>
      </c>
      <c r="B81">
        <v>0.625</v>
      </c>
      <c r="C81">
        <v>0.2</v>
      </c>
      <c r="D81">
        <v>1.5</v>
      </c>
      <c r="E81">
        <v>0.08</v>
      </c>
      <c r="F81">
        <v>27</v>
      </c>
      <c r="G81">
        <v>119</v>
      </c>
      <c r="H81">
        <v>0.99719999999999998</v>
      </c>
      <c r="I81">
        <v>3.16</v>
      </c>
      <c r="J81">
        <v>1.1200000000000001</v>
      </c>
      <c r="K81">
        <v>9.1</v>
      </c>
      <c r="L81">
        <v>4</v>
      </c>
      <c r="M81" t="str">
        <f t="shared" si="8"/>
        <v>Low</v>
      </c>
      <c r="N81">
        <f>(winequality_red[[#This Row],[Updated Quality &amp; Alcohol Analysis]]+winequality_red[[#This Row],[volatile acidity]]+winequality_red[[#This Row],[citric acid]])</f>
        <v>9.125</v>
      </c>
      <c r="O81">
        <f t="shared" si="9"/>
        <v>7.6923076923076927E-2</v>
      </c>
      <c r="S81">
        <f t="shared" si="10"/>
        <v>9.1</v>
      </c>
      <c r="T81">
        <f t="shared" si="11"/>
        <v>4</v>
      </c>
      <c r="U81" t="e">
        <f t="shared" si="12"/>
        <v>#N/A</v>
      </c>
      <c r="V81" t="e">
        <f t="shared" si="13"/>
        <v>#N/A</v>
      </c>
      <c r="W81" t="e">
        <f t="shared" si="14"/>
        <v>#N/A</v>
      </c>
      <c r="X81" t="e">
        <f t="shared" si="15"/>
        <v>#N/A</v>
      </c>
    </row>
    <row r="82" spans="1:24" x14ac:dyDescent="0.3">
      <c r="A82">
        <v>6.2</v>
      </c>
      <c r="B82">
        <v>0.45</v>
      </c>
      <c r="C82">
        <v>0.2</v>
      </c>
      <c r="D82">
        <v>1.6</v>
      </c>
      <c r="E82">
        <v>6.9000000000000006E-2</v>
      </c>
      <c r="F82">
        <v>3</v>
      </c>
      <c r="G82">
        <v>15</v>
      </c>
      <c r="H82">
        <v>0.99580000000000002</v>
      </c>
      <c r="I82">
        <v>3.41</v>
      </c>
      <c r="J82">
        <v>0.56000000000000005</v>
      </c>
      <c r="K82">
        <v>9.1999999999999993</v>
      </c>
      <c r="L82">
        <v>5</v>
      </c>
      <c r="M82" t="str">
        <f t="shared" si="8"/>
        <v>Medium</v>
      </c>
      <c r="N82">
        <f>(winequality_red[[#This Row],[Updated Quality &amp; Alcohol Analysis]]+winequality_red[[#This Row],[volatile acidity]]+winequality_red[[#This Row],[citric acid]])</f>
        <v>6.8500000000000005</v>
      </c>
      <c r="O82">
        <f t="shared" si="9"/>
        <v>2.7391304347826096E-2</v>
      </c>
      <c r="S82" t="e">
        <f t="shared" si="10"/>
        <v>#N/A</v>
      </c>
      <c r="T82" t="e">
        <f t="shared" si="11"/>
        <v>#N/A</v>
      </c>
      <c r="U82">
        <f t="shared" si="12"/>
        <v>9.1999999999999993</v>
      </c>
      <c r="V82">
        <f t="shared" si="13"/>
        <v>5</v>
      </c>
      <c r="W82" t="e">
        <f t="shared" si="14"/>
        <v>#N/A</v>
      </c>
      <c r="X82" t="e">
        <f t="shared" si="15"/>
        <v>#N/A</v>
      </c>
    </row>
    <row r="83" spans="1:24" x14ac:dyDescent="0.3">
      <c r="A83">
        <v>7.8</v>
      </c>
      <c r="B83">
        <v>0.43</v>
      </c>
      <c r="C83">
        <v>0.7</v>
      </c>
      <c r="D83">
        <v>1.9</v>
      </c>
      <c r="E83">
        <v>0.46399999999999997</v>
      </c>
      <c r="F83">
        <v>22</v>
      </c>
      <c r="G83">
        <v>67</v>
      </c>
      <c r="H83">
        <v>0.99739999999999995</v>
      </c>
      <c r="I83">
        <v>3.13</v>
      </c>
      <c r="J83">
        <v>1.28</v>
      </c>
      <c r="K83">
        <v>9.4</v>
      </c>
      <c r="L83">
        <v>5</v>
      </c>
      <c r="M83" t="str">
        <f t="shared" si="8"/>
        <v>Medium</v>
      </c>
      <c r="N83">
        <f>(winequality_red[[#This Row],[Updated Quality &amp; Alcohol Analysis]]+winequality_red[[#This Row],[volatile acidity]]+winequality_red[[#This Row],[citric acid]])</f>
        <v>8.93</v>
      </c>
      <c r="O83">
        <f t="shared" si="9"/>
        <v>5.8553191489361701E-2</v>
      </c>
      <c r="S83" t="e">
        <f t="shared" si="10"/>
        <v>#N/A</v>
      </c>
      <c r="T83" t="e">
        <f t="shared" si="11"/>
        <v>#N/A</v>
      </c>
      <c r="U83">
        <f t="shared" si="12"/>
        <v>9.4</v>
      </c>
      <c r="V83">
        <f t="shared" si="13"/>
        <v>5</v>
      </c>
      <c r="W83" t="e">
        <f t="shared" si="14"/>
        <v>#N/A</v>
      </c>
      <c r="X83" t="e">
        <f t="shared" si="15"/>
        <v>#N/A</v>
      </c>
    </row>
    <row r="84" spans="1:24" x14ac:dyDescent="0.3">
      <c r="A84">
        <v>7.4</v>
      </c>
      <c r="B84">
        <v>0.5</v>
      </c>
      <c r="C84">
        <v>0.47</v>
      </c>
      <c r="D84">
        <v>2</v>
      </c>
      <c r="E84">
        <v>8.5999999999999993E-2</v>
      </c>
      <c r="F84">
        <v>21</v>
      </c>
      <c r="G84">
        <v>73</v>
      </c>
      <c r="H84">
        <v>0.997</v>
      </c>
      <c r="I84">
        <v>3.36</v>
      </c>
      <c r="J84">
        <v>0.56999999999999995</v>
      </c>
      <c r="K84">
        <v>9.1</v>
      </c>
      <c r="L84">
        <v>5</v>
      </c>
      <c r="M84" t="str">
        <f t="shared" si="8"/>
        <v>Medium</v>
      </c>
      <c r="N84">
        <f>(winequality_red[[#This Row],[Updated Quality &amp; Alcohol Analysis]]+winequality_red[[#This Row],[volatile acidity]]+winequality_red[[#This Row],[citric acid]])</f>
        <v>8.370000000000001</v>
      </c>
      <c r="O84">
        <f t="shared" si="9"/>
        <v>3.1318681318681318E-2</v>
      </c>
      <c r="S84" t="e">
        <f t="shared" si="10"/>
        <v>#N/A</v>
      </c>
      <c r="T84" t="e">
        <f t="shared" si="11"/>
        <v>#N/A</v>
      </c>
      <c r="U84">
        <f t="shared" si="12"/>
        <v>9.1</v>
      </c>
      <c r="V84">
        <f t="shared" si="13"/>
        <v>5</v>
      </c>
      <c r="W84" t="e">
        <f t="shared" si="14"/>
        <v>#N/A</v>
      </c>
      <c r="X84" t="e">
        <f t="shared" si="15"/>
        <v>#N/A</v>
      </c>
    </row>
    <row r="85" spans="1:24" x14ac:dyDescent="0.3">
      <c r="A85">
        <v>7.3</v>
      </c>
      <c r="B85">
        <v>0.67</v>
      </c>
      <c r="C85">
        <v>0.26</v>
      </c>
      <c r="D85">
        <v>1.8</v>
      </c>
      <c r="E85">
        <v>0.40100000000000002</v>
      </c>
      <c r="F85">
        <v>16</v>
      </c>
      <c r="G85">
        <v>51</v>
      </c>
      <c r="H85">
        <v>0.99690000000000001</v>
      </c>
      <c r="I85">
        <v>3.16</v>
      </c>
      <c r="J85">
        <v>1.1399999999999999</v>
      </c>
      <c r="K85">
        <v>9.4</v>
      </c>
      <c r="L85">
        <v>5</v>
      </c>
      <c r="M85" t="str">
        <f t="shared" si="8"/>
        <v>Medium</v>
      </c>
      <c r="N85">
        <f>(winequality_red[[#This Row],[Updated Quality &amp; Alcohol Analysis]]+winequality_red[[#This Row],[volatile acidity]]+winequality_red[[#This Row],[citric acid]])</f>
        <v>8.23</v>
      </c>
      <c r="O85">
        <f t="shared" si="9"/>
        <v>8.1255319148936175E-2</v>
      </c>
      <c r="S85" t="e">
        <f t="shared" si="10"/>
        <v>#N/A</v>
      </c>
      <c r="T85" t="e">
        <f t="shared" si="11"/>
        <v>#N/A</v>
      </c>
      <c r="U85">
        <f t="shared" si="12"/>
        <v>9.4</v>
      </c>
      <c r="V85">
        <f t="shared" si="13"/>
        <v>5</v>
      </c>
      <c r="W85" t="e">
        <f t="shared" si="14"/>
        <v>#N/A</v>
      </c>
      <c r="X85" t="e">
        <f t="shared" si="15"/>
        <v>#N/A</v>
      </c>
    </row>
    <row r="86" spans="1:24" x14ac:dyDescent="0.3">
      <c r="A86">
        <v>6.3</v>
      </c>
      <c r="B86">
        <v>0.3</v>
      </c>
      <c r="C86">
        <v>0.48</v>
      </c>
      <c r="D86">
        <v>1.8</v>
      </c>
      <c r="E86">
        <v>6.9000000000000006E-2</v>
      </c>
      <c r="F86">
        <v>18</v>
      </c>
      <c r="G86">
        <v>61</v>
      </c>
      <c r="H86">
        <v>0.99590000000000001</v>
      </c>
      <c r="I86">
        <v>3.44</v>
      </c>
      <c r="J86">
        <v>0.78</v>
      </c>
      <c r="K86">
        <v>10.3</v>
      </c>
      <c r="L86">
        <v>6</v>
      </c>
      <c r="M86" t="str">
        <f t="shared" si="8"/>
        <v>Medium</v>
      </c>
      <c r="N86">
        <f>(winequality_red[[#This Row],[Updated Quality &amp; Alcohol Analysis]]+winequality_red[[#This Row],[volatile acidity]]+winequality_red[[#This Row],[citric acid]])</f>
        <v>7.08</v>
      </c>
      <c r="O86">
        <f t="shared" si="9"/>
        <v>2.2718446601941746E-2</v>
      </c>
      <c r="S86" t="e">
        <f t="shared" si="10"/>
        <v>#N/A</v>
      </c>
      <c r="T86" t="e">
        <f t="shared" si="11"/>
        <v>#N/A</v>
      </c>
      <c r="U86">
        <f t="shared" si="12"/>
        <v>10.3</v>
      </c>
      <c r="V86">
        <f t="shared" si="13"/>
        <v>6</v>
      </c>
      <c r="W86" t="e">
        <f t="shared" si="14"/>
        <v>#N/A</v>
      </c>
      <c r="X86" t="e">
        <f t="shared" si="15"/>
        <v>#N/A</v>
      </c>
    </row>
    <row r="87" spans="1:24" x14ac:dyDescent="0.3">
      <c r="A87">
        <v>6.9</v>
      </c>
      <c r="B87">
        <v>0.55000000000000004</v>
      </c>
      <c r="C87">
        <v>0.15</v>
      </c>
      <c r="D87">
        <v>2.2000000000000002</v>
      </c>
      <c r="E87">
        <v>7.5999999999999998E-2</v>
      </c>
      <c r="F87">
        <v>19</v>
      </c>
      <c r="G87">
        <v>40</v>
      </c>
      <c r="H87">
        <v>0.99609999999999999</v>
      </c>
      <c r="I87">
        <v>3.41</v>
      </c>
      <c r="J87">
        <v>0.59</v>
      </c>
      <c r="K87">
        <v>10.1</v>
      </c>
      <c r="L87">
        <v>5</v>
      </c>
      <c r="M87" t="str">
        <f t="shared" si="8"/>
        <v>Medium</v>
      </c>
      <c r="N87">
        <f>(winequality_red[[#This Row],[Updated Quality &amp; Alcohol Analysis]]+winequality_red[[#This Row],[volatile acidity]]+winequality_red[[#This Row],[citric acid]])</f>
        <v>7.6000000000000005</v>
      </c>
      <c r="O87">
        <f t="shared" si="9"/>
        <v>3.2128712871287129E-2</v>
      </c>
      <c r="S87" t="e">
        <f t="shared" si="10"/>
        <v>#N/A</v>
      </c>
      <c r="T87" t="e">
        <f t="shared" si="11"/>
        <v>#N/A</v>
      </c>
      <c r="U87">
        <f t="shared" si="12"/>
        <v>10.1</v>
      </c>
      <c r="V87">
        <f t="shared" si="13"/>
        <v>5</v>
      </c>
      <c r="W87" t="e">
        <f t="shared" si="14"/>
        <v>#N/A</v>
      </c>
      <c r="X87" t="e">
        <f t="shared" si="15"/>
        <v>#N/A</v>
      </c>
    </row>
    <row r="88" spans="1:24" x14ac:dyDescent="0.3">
      <c r="A88">
        <v>8.6</v>
      </c>
      <c r="B88">
        <v>0.49</v>
      </c>
      <c r="C88">
        <v>0.28000000000000003</v>
      </c>
      <c r="D88">
        <v>1.9</v>
      </c>
      <c r="E88">
        <v>0.11</v>
      </c>
      <c r="F88">
        <v>20</v>
      </c>
      <c r="G88">
        <v>136</v>
      </c>
      <c r="H88">
        <v>0.99719999999999998</v>
      </c>
      <c r="I88">
        <v>2.93</v>
      </c>
      <c r="J88">
        <v>1.95</v>
      </c>
      <c r="K88">
        <v>9.9</v>
      </c>
      <c r="L88">
        <v>6</v>
      </c>
      <c r="M88" t="str">
        <f t="shared" si="8"/>
        <v>Medium</v>
      </c>
      <c r="N88">
        <f>(winequality_red[[#This Row],[Updated Quality &amp; Alcohol Analysis]]+winequality_red[[#This Row],[volatile acidity]]+winequality_red[[#This Row],[citric acid]])</f>
        <v>9.3699999999999992</v>
      </c>
      <c r="O88">
        <f t="shared" si="9"/>
        <v>9.6515151515151512E-2</v>
      </c>
      <c r="S88" t="e">
        <f t="shared" si="10"/>
        <v>#N/A</v>
      </c>
      <c r="T88" t="e">
        <f t="shared" si="11"/>
        <v>#N/A</v>
      </c>
      <c r="U88">
        <f t="shared" si="12"/>
        <v>9.9</v>
      </c>
      <c r="V88">
        <f t="shared" si="13"/>
        <v>6</v>
      </c>
      <c r="W88" t="e">
        <f t="shared" si="14"/>
        <v>#N/A</v>
      </c>
      <c r="X88" t="e">
        <f t="shared" si="15"/>
        <v>#N/A</v>
      </c>
    </row>
    <row r="89" spans="1:24" x14ac:dyDescent="0.3">
      <c r="A89">
        <v>7.7</v>
      </c>
      <c r="B89">
        <v>0.49</v>
      </c>
      <c r="C89">
        <v>0.26</v>
      </c>
      <c r="D89">
        <v>1.9</v>
      </c>
      <c r="E89">
        <v>6.2E-2</v>
      </c>
      <c r="F89">
        <v>9</v>
      </c>
      <c r="G89">
        <v>31</v>
      </c>
      <c r="H89">
        <v>0.99660000000000004</v>
      </c>
      <c r="I89">
        <v>3.39</v>
      </c>
      <c r="J89">
        <v>0.64</v>
      </c>
      <c r="K89">
        <v>9.6</v>
      </c>
      <c r="L89">
        <v>5</v>
      </c>
      <c r="M89" t="str">
        <f t="shared" si="8"/>
        <v>Medium</v>
      </c>
      <c r="N89">
        <f>(winequality_red[[#This Row],[Updated Quality &amp; Alcohol Analysis]]+winequality_red[[#This Row],[volatile acidity]]+winequality_red[[#This Row],[citric acid]])</f>
        <v>8.4499999999999993</v>
      </c>
      <c r="O89">
        <f t="shared" si="9"/>
        <v>3.266666666666667E-2</v>
      </c>
      <c r="S89" t="e">
        <f t="shared" si="10"/>
        <v>#N/A</v>
      </c>
      <c r="T89" t="e">
        <f t="shared" si="11"/>
        <v>#N/A</v>
      </c>
      <c r="U89">
        <f t="shared" si="12"/>
        <v>9.6</v>
      </c>
      <c r="V89">
        <f t="shared" si="13"/>
        <v>5</v>
      </c>
      <c r="W89" t="e">
        <f t="shared" si="14"/>
        <v>#N/A</v>
      </c>
      <c r="X89" t="e">
        <f t="shared" si="15"/>
        <v>#N/A</v>
      </c>
    </row>
    <row r="90" spans="1:24" x14ac:dyDescent="0.3">
      <c r="A90">
        <v>9.3000000000000007</v>
      </c>
      <c r="B90">
        <v>0.39</v>
      </c>
      <c r="C90">
        <v>0.44</v>
      </c>
      <c r="D90">
        <v>2.1</v>
      </c>
      <c r="E90">
        <v>0.107</v>
      </c>
      <c r="F90">
        <v>34</v>
      </c>
      <c r="G90">
        <v>125</v>
      </c>
      <c r="H90">
        <v>0.99780000000000002</v>
      </c>
      <c r="I90">
        <v>3.14</v>
      </c>
      <c r="J90">
        <v>1.22</v>
      </c>
      <c r="K90">
        <v>9.5</v>
      </c>
      <c r="L90">
        <v>5</v>
      </c>
      <c r="M90" t="str">
        <f t="shared" si="8"/>
        <v>Medium</v>
      </c>
      <c r="N90">
        <f>(winequality_red[[#This Row],[Updated Quality &amp; Alcohol Analysis]]+winequality_red[[#This Row],[volatile acidity]]+winequality_red[[#This Row],[citric acid]])</f>
        <v>10.130000000000001</v>
      </c>
      <c r="O90">
        <f t="shared" si="9"/>
        <v>5.0084210526315787E-2</v>
      </c>
      <c r="S90" t="e">
        <f t="shared" si="10"/>
        <v>#N/A</v>
      </c>
      <c r="T90" t="e">
        <f t="shared" si="11"/>
        <v>#N/A</v>
      </c>
      <c r="U90">
        <f t="shared" si="12"/>
        <v>9.5</v>
      </c>
      <c r="V90">
        <f t="shared" si="13"/>
        <v>5</v>
      </c>
      <c r="W90" t="e">
        <f t="shared" si="14"/>
        <v>#N/A</v>
      </c>
      <c r="X90" t="e">
        <f t="shared" si="15"/>
        <v>#N/A</v>
      </c>
    </row>
    <row r="91" spans="1:24" x14ac:dyDescent="0.3">
      <c r="A91">
        <v>7</v>
      </c>
      <c r="B91">
        <v>0.62</v>
      </c>
      <c r="C91">
        <v>0.08</v>
      </c>
      <c r="D91">
        <v>1.8</v>
      </c>
      <c r="E91">
        <v>7.5999999999999998E-2</v>
      </c>
      <c r="F91">
        <v>8</v>
      </c>
      <c r="G91">
        <v>24</v>
      </c>
      <c r="H91">
        <v>0.99780000000000002</v>
      </c>
      <c r="I91">
        <v>3.48</v>
      </c>
      <c r="J91">
        <v>0.53</v>
      </c>
      <c r="K91">
        <v>9</v>
      </c>
      <c r="L91">
        <v>5</v>
      </c>
      <c r="M91" t="str">
        <f t="shared" si="8"/>
        <v>Medium</v>
      </c>
      <c r="N91">
        <f>(winequality_red[[#This Row],[Updated Quality &amp; Alcohol Analysis]]+winequality_red[[#This Row],[volatile acidity]]+winequality_red[[#This Row],[citric acid]])</f>
        <v>7.7</v>
      </c>
      <c r="O91">
        <f t="shared" si="9"/>
        <v>3.6511111111111112E-2</v>
      </c>
      <c r="S91" t="e">
        <f t="shared" si="10"/>
        <v>#N/A</v>
      </c>
      <c r="T91" t="e">
        <f t="shared" si="11"/>
        <v>#N/A</v>
      </c>
      <c r="U91">
        <f t="shared" si="12"/>
        <v>9</v>
      </c>
      <c r="V91">
        <f t="shared" si="13"/>
        <v>5</v>
      </c>
      <c r="W91" t="e">
        <f t="shared" si="14"/>
        <v>#N/A</v>
      </c>
      <c r="X91" t="e">
        <f t="shared" si="15"/>
        <v>#N/A</v>
      </c>
    </row>
    <row r="92" spans="1:24" x14ac:dyDescent="0.3">
      <c r="A92">
        <v>7.9</v>
      </c>
      <c r="B92">
        <v>0.52</v>
      </c>
      <c r="C92">
        <v>0.26</v>
      </c>
      <c r="D92">
        <v>1.9</v>
      </c>
      <c r="E92">
        <v>7.9000000000000001E-2</v>
      </c>
      <c r="F92">
        <v>42</v>
      </c>
      <c r="G92">
        <v>140</v>
      </c>
      <c r="H92">
        <v>0.99639999999999995</v>
      </c>
      <c r="I92">
        <v>3.23</v>
      </c>
      <c r="J92">
        <v>0.54</v>
      </c>
      <c r="K92">
        <v>9.5</v>
      </c>
      <c r="L92">
        <v>5</v>
      </c>
      <c r="M92" t="str">
        <f t="shared" si="8"/>
        <v>Medium</v>
      </c>
      <c r="N92">
        <f>(winequality_red[[#This Row],[Updated Quality &amp; Alcohol Analysis]]+winequality_red[[#This Row],[volatile acidity]]+winequality_red[[#This Row],[citric acid]])</f>
        <v>8.68</v>
      </c>
      <c r="O92">
        <f t="shared" si="9"/>
        <v>2.9557894736842109E-2</v>
      </c>
      <c r="S92" t="e">
        <f t="shared" si="10"/>
        <v>#N/A</v>
      </c>
      <c r="T92" t="e">
        <f t="shared" si="11"/>
        <v>#N/A</v>
      </c>
      <c r="U92">
        <f t="shared" si="12"/>
        <v>9.5</v>
      </c>
      <c r="V92">
        <f t="shared" si="13"/>
        <v>5</v>
      </c>
      <c r="W92" t="e">
        <f t="shared" si="14"/>
        <v>#N/A</v>
      </c>
      <c r="X92" t="e">
        <f t="shared" si="15"/>
        <v>#N/A</v>
      </c>
    </row>
    <row r="93" spans="1:24" x14ac:dyDescent="0.3">
      <c r="A93">
        <v>8.6</v>
      </c>
      <c r="B93">
        <v>0.49</v>
      </c>
      <c r="C93">
        <v>0.28000000000000003</v>
      </c>
      <c r="D93">
        <v>1.9</v>
      </c>
      <c r="E93">
        <v>0.11</v>
      </c>
      <c r="F93">
        <v>20</v>
      </c>
      <c r="G93">
        <v>136</v>
      </c>
      <c r="H93">
        <v>0.99719999999999998</v>
      </c>
      <c r="I93">
        <v>2.93</v>
      </c>
      <c r="J93">
        <v>1.95</v>
      </c>
      <c r="K93">
        <v>9.9</v>
      </c>
      <c r="L93">
        <v>6</v>
      </c>
      <c r="M93" t="str">
        <f t="shared" si="8"/>
        <v>Medium</v>
      </c>
      <c r="N93">
        <f>(winequality_red[[#This Row],[Updated Quality &amp; Alcohol Analysis]]+winequality_red[[#This Row],[volatile acidity]]+winequality_red[[#This Row],[citric acid]])</f>
        <v>9.3699999999999992</v>
      </c>
      <c r="O93">
        <f t="shared" si="9"/>
        <v>9.6515151515151512E-2</v>
      </c>
      <c r="S93" t="e">
        <f t="shared" si="10"/>
        <v>#N/A</v>
      </c>
      <c r="T93" t="e">
        <f t="shared" si="11"/>
        <v>#N/A</v>
      </c>
      <c r="U93">
        <f t="shared" si="12"/>
        <v>9.9</v>
      </c>
      <c r="V93">
        <f t="shared" si="13"/>
        <v>6</v>
      </c>
      <c r="W93" t="e">
        <f t="shared" si="14"/>
        <v>#N/A</v>
      </c>
      <c r="X93" t="e">
        <f t="shared" si="15"/>
        <v>#N/A</v>
      </c>
    </row>
    <row r="94" spans="1:24" x14ac:dyDescent="0.3">
      <c r="A94">
        <v>8.6</v>
      </c>
      <c r="B94">
        <v>0.49</v>
      </c>
      <c r="C94">
        <v>0.28999999999999998</v>
      </c>
      <c r="D94">
        <v>2</v>
      </c>
      <c r="E94">
        <v>0.11</v>
      </c>
      <c r="F94">
        <v>19</v>
      </c>
      <c r="G94">
        <v>133</v>
      </c>
      <c r="H94">
        <v>0.99719999999999998</v>
      </c>
      <c r="I94">
        <v>2.93</v>
      </c>
      <c r="J94">
        <v>1.98</v>
      </c>
      <c r="K94">
        <v>9.8000000000000007</v>
      </c>
      <c r="L94">
        <v>5</v>
      </c>
      <c r="M94" t="str">
        <f t="shared" si="8"/>
        <v>Medium</v>
      </c>
      <c r="N94">
        <f>(winequality_red[[#This Row],[Updated Quality &amp; Alcohol Analysis]]+winequality_red[[#This Row],[volatile acidity]]+winequality_red[[#This Row],[citric acid]])</f>
        <v>9.379999999999999</v>
      </c>
      <c r="O94">
        <f t="shared" si="9"/>
        <v>9.8999999999999991E-2</v>
      </c>
      <c r="S94" t="e">
        <f t="shared" si="10"/>
        <v>#N/A</v>
      </c>
      <c r="T94" t="e">
        <f t="shared" si="11"/>
        <v>#N/A</v>
      </c>
      <c r="U94">
        <f t="shared" si="12"/>
        <v>9.8000000000000007</v>
      </c>
      <c r="V94">
        <f t="shared" si="13"/>
        <v>5</v>
      </c>
      <c r="W94" t="e">
        <f t="shared" si="14"/>
        <v>#N/A</v>
      </c>
      <c r="X94" t="e">
        <f t="shared" si="15"/>
        <v>#N/A</v>
      </c>
    </row>
    <row r="95" spans="1:24" x14ac:dyDescent="0.3">
      <c r="A95">
        <v>7.7</v>
      </c>
      <c r="B95">
        <v>0.49</v>
      </c>
      <c r="C95">
        <v>0.26</v>
      </c>
      <c r="D95">
        <v>1.9</v>
      </c>
      <c r="E95">
        <v>6.2E-2</v>
      </c>
      <c r="F95">
        <v>9</v>
      </c>
      <c r="G95">
        <v>31</v>
      </c>
      <c r="H95">
        <v>0.99660000000000004</v>
      </c>
      <c r="I95">
        <v>3.39</v>
      </c>
      <c r="J95">
        <v>0.64</v>
      </c>
      <c r="K95">
        <v>9.6</v>
      </c>
      <c r="L95">
        <v>5</v>
      </c>
      <c r="M95" t="str">
        <f t="shared" si="8"/>
        <v>Medium</v>
      </c>
      <c r="N95">
        <f>(winequality_red[[#This Row],[Updated Quality &amp; Alcohol Analysis]]+winequality_red[[#This Row],[volatile acidity]]+winequality_red[[#This Row],[citric acid]])</f>
        <v>8.4499999999999993</v>
      </c>
      <c r="O95">
        <f t="shared" si="9"/>
        <v>3.266666666666667E-2</v>
      </c>
      <c r="S95" t="e">
        <f t="shared" si="10"/>
        <v>#N/A</v>
      </c>
      <c r="T95" t="e">
        <f t="shared" si="11"/>
        <v>#N/A</v>
      </c>
      <c r="U95">
        <f t="shared" si="12"/>
        <v>9.6</v>
      </c>
      <c r="V95">
        <f t="shared" si="13"/>
        <v>5</v>
      </c>
      <c r="W95" t="e">
        <f t="shared" si="14"/>
        <v>#N/A</v>
      </c>
      <c r="X95" t="e">
        <f t="shared" si="15"/>
        <v>#N/A</v>
      </c>
    </row>
    <row r="96" spans="1:24" x14ac:dyDescent="0.3">
      <c r="A96">
        <v>5</v>
      </c>
      <c r="B96">
        <v>1.02</v>
      </c>
      <c r="C96">
        <v>0.04</v>
      </c>
      <c r="D96">
        <v>1.4</v>
      </c>
      <c r="E96">
        <v>4.4999999999999998E-2</v>
      </c>
      <c r="F96">
        <v>41</v>
      </c>
      <c r="G96">
        <v>85</v>
      </c>
      <c r="H96">
        <v>0.99380000000000002</v>
      </c>
      <c r="I96">
        <v>3.75</v>
      </c>
      <c r="J96">
        <v>0.48</v>
      </c>
      <c r="K96">
        <v>10.5</v>
      </c>
      <c r="L96">
        <v>4</v>
      </c>
      <c r="M96" t="str">
        <f t="shared" si="8"/>
        <v>Low</v>
      </c>
      <c r="N96">
        <f>(winequality_red[[#This Row],[Updated Quality &amp; Alcohol Analysis]]+winequality_red[[#This Row],[volatile acidity]]+winequality_red[[#This Row],[citric acid]])</f>
        <v>6.06</v>
      </c>
      <c r="O96">
        <f t="shared" si="9"/>
        <v>4.6628571428571429E-2</v>
      </c>
      <c r="S96">
        <f t="shared" si="10"/>
        <v>10.5</v>
      </c>
      <c r="T96">
        <f t="shared" si="11"/>
        <v>4</v>
      </c>
      <c r="U96" t="e">
        <f t="shared" si="12"/>
        <v>#N/A</v>
      </c>
      <c r="V96" t="e">
        <f t="shared" si="13"/>
        <v>#N/A</v>
      </c>
      <c r="W96" t="e">
        <f t="shared" si="14"/>
        <v>#N/A</v>
      </c>
      <c r="X96" t="e">
        <f t="shared" si="15"/>
        <v>#N/A</v>
      </c>
    </row>
    <row r="97" spans="1:24" x14ac:dyDescent="0.3">
      <c r="A97">
        <v>4.7</v>
      </c>
      <c r="B97">
        <v>0.6</v>
      </c>
      <c r="C97">
        <v>0.17</v>
      </c>
      <c r="D97">
        <v>2.2999999999999998</v>
      </c>
      <c r="E97">
        <v>5.7999999999999996E-2</v>
      </c>
      <c r="F97">
        <v>17</v>
      </c>
      <c r="G97">
        <v>106</v>
      </c>
      <c r="H97">
        <v>0.99319999999999997</v>
      </c>
      <c r="I97">
        <v>3.85</v>
      </c>
      <c r="J97">
        <v>0.6</v>
      </c>
      <c r="K97">
        <v>12.9</v>
      </c>
      <c r="L97">
        <v>6</v>
      </c>
      <c r="M97" t="str">
        <f t="shared" si="8"/>
        <v>Medium</v>
      </c>
      <c r="N97">
        <f>(winequality_red[[#This Row],[Updated Quality &amp; Alcohol Analysis]]+winequality_red[[#This Row],[volatile acidity]]+winequality_red[[#This Row],[citric acid]])</f>
        <v>5.47</v>
      </c>
      <c r="O97">
        <f t="shared" si="9"/>
        <v>2.7906976744186046E-2</v>
      </c>
      <c r="S97" t="e">
        <f t="shared" si="10"/>
        <v>#N/A</v>
      </c>
      <c r="T97" t="e">
        <f t="shared" si="11"/>
        <v>#N/A</v>
      </c>
      <c r="U97">
        <f t="shared" si="12"/>
        <v>12.9</v>
      </c>
      <c r="V97">
        <f t="shared" si="13"/>
        <v>6</v>
      </c>
      <c r="W97" t="e">
        <f t="shared" si="14"/>
        <v>#N/A</v>
      </c>
      <c r="X97" t="e">
        <f t="shared" si="15"/>
        <v>#N/A</v>
      </c>
    </row>
    <row r="98" spans="1:24" x14ac:dyDescent="0.3">
      <c r="A98">
        <v>6.8</v>
      </c>
      <c r="B98">
        <v>0.77500000000000002</v>
      </c>
      <c r="C98">
        <v>0</v>
      </c>
      <c r="D98">
        <v>3</v>
      </c>
      <c r="E98">
        <v>0.10199999999999999</v>
      </c>
      <c r="F98">
        <v>8</v>
      </c>
      <c r="G98">
        <v>23</v>
      </c>
      <c r="H98">
        <v>0.99650000000000005</v>
      </c>
      <c r="I98">
        <v>3.45</v>
      </c>
      <c r="J98">
        <v>0.56000000000000005</v>
      </c>
      <c r="K98">
        <v>10.7</v>
      </c>
      <c r="L98">
        <v>5</v>
      </c>
      <c r="M98" t="str">
        <f t="shared" si="8"/>
        <v>Medium</v>
      </c>
      <c r="N98">
        <f>(winequality_red[[#This Row],[Updated Quality &amp; Alcohol Analysis]]+winequality_red[[#This Row],[volatile acidity]]+winequality_red[[#This Row],[citric acid]])</f>
        <v>7.5750000000000002</v>
      </c>
      <c r="O98">
        <f t="shared" si="9"/>
        <v>4.0560747663551409E-2</v>
      </c>
      <c r="S98" t="e">
        <f t="shared" si="10"/>
        <v>#N/A</v>
      </c>
      <c r="T98" t="e">
        <f t="shared" si="11"/>
        <v>#N/A</v>
      </c>
      <c r="U98">
        <f t="shared" si="12"/>
        <v>10.7</v>
      </c>
      <c r="V98">
        <f t="shared" si="13"/>
        <v>5</v>
      </c>
      <c r="W98" t="e">
        <f t="shared" si="14"/>
        <v>#N/A</v>
      </c>
      <c r="X98" t="e">
        <f t="shared" si="15"/>
        <v>#N/A</v>
      </c>
    </row>
    <row r="99" spans="1:24" x14ac:dyDescent="0.3">
      <c r="A99">
        <v>7</v>
      </c>
      <c r="B99">
        <v>0.5</v>
      </c>
      <c r="C99">
        <v>0.25</v>
      </c>
      <c r="D99">
        <v>2</v>
      </c>
      <c r="E99">
        <v>7.0000000000000007E-2</v>
      </c>
      <c r="F99">
        <v>3</v>
      </c>
      <c r="G99">
        <v>22</v>
      </c>
      <c r="H99">
        <v>0.99629999999999996</v>
      </c>
      <c r="I99">
        <v>3.25</v>
      </c>
      <c r="J99">
        <v>0.63</v>
      </c>
      <c r="K99">
        <v>9.1999999999999993</v>
      </c>
      <c r="L99">
        <v>5</v>
      </c>
      <c r="M99" t="str">
        <f t="shared" si="8"/>
        <v>Medium</v>
      </c>
      <c r="N99">
        <f>(winequality_red[[#This Row],[Updated Quality &amp; Alcohol Analysis]]+winequality_red[[#This Row],[volatile acidity]]+winequality_red[[#This Row],[citric acid]])</f>
        <v>7.75</v>
      </c>
      <c r="O99">
        <f t="shared" si="9"/>
        <v>3.4239130434782612E-2</v>
      </c>
      <c r="S99" t="e">
        <f t="shared" si="10"/>
        <v>#N/A</v>
      </c>
      <c r="T99" t="e">
        <f t="shared" si="11"/>
        <v>#N/A</v>
      </c>
      <c r="U99">
        <f t="shared" si="12"/>
        <v>9.1999999999999993</v>
      </c>
      <c r="V99">
        <f t="shared" si="13"/>
        <v>5</v>
      </c>
      <c r="W99" t="e">
        <f t="shared" si="14"/>
        <v>#N/A</v>
      </c>
      <c r="X99" t="e">
        <f t="shared" si="15"/>
        <v>#N/A</v>
      </c>
    </row>
    <row r="100" spans="1:24" x14ac:dyDescent="0.3">
      <c r="A100">
        <v>7.6</v>
      </c>
      <c r="B100">
        <v>0.9</v>
      </c>
      <c r="C100">
        <v>0.06</v>
      </c>
      <c r="D100">
        <v>2.5</v>
      </c>
      <c r="E100">
        <v>7.9000000000000001E-2</v>
      </c>
      <c r="F100">
        <v>5</v>
      </c>
      <c r="G100">
        <v>10</v>
      </c>
      <c r="H100">
        <v>0.99670000000000003</v>
      </c>
      <c r="I100">
        <v>3.39</v>
      </c>
      <c r="J100">
        <v>0.56000000000000005</v>
      </c>
      <c r="K100">
        <v>9.8000000000000007</v>
      </c>
      <c r="L100">
        <v>5</v>
      </c>
      <c r="M100" t="str">
        <f t="shared" si="8"/>
        <v>Medium</v>
      </c>
      <c r="N100">
        <f>(winequality_red[[#This Row],[Updated Quality &amp; Alcohol Analysis]]+winequality_red[[#This Row],[volatile acidity]]+winequality_red[[#This Row],[citric acid]])</f>
        <v>8.56</v>
      </c>
      <c r="O100">
        <f t="shared" si="9"/>
        <v>5.1428571428571435E-2</v>
      </c>
      <c r="S100" t="e">
        <f t="shared" si="10"/>
        <v>#N/A</v>
      </c>
      <c r="T100" t="e">
        <f t="shared" si="11"/>
        <v>#N/A</v>
      </c>
      <c r="U100">
        <f t="shared" si="12"/>
        <v>9.8000000000000007</v>
      </c>
      <c r="V100">
        <f t="shared" si="13"/>
        <v>5</v>
      </c>
      <c r="W100" t="e">
        <f t="shared" si="14"/>
        <v>#N/A</v>
      </c>
      <c r="X100" t="e">
        <f t="shared" si="15"/>
        <v>#N/A</v>
      </c>
    </row>
    <row r="101" spans="1:24" x14ac:dyDescent="0.3">
      <c r="A101">
        <v>8.1</v>
      </c>
      <c r="B101">
        <v>0.54500000000000004</v>
      </c>
      <c r="C101">
        <v>0.18</v>
      </c>
      <c r="D101">
        <v>1.9</v>
      </c>
      <c r="E101">
        <v>0.08</v>
      </c>
      <c r="F101">
        <v>13</v>
      </c>
      <c r="G101">
        <v>35</v>
      </c>
      <c r="H101">
        <v>0.99719999999999998</v>
      </c>
      <c r="I101">
        <v>3.3</v>
      </c>
      <c r="J101">
        <v>0.59</v>
      </c>
      <c r="K101">
        <v>9</v>
      </c>
      <c r="L101">
        <v>6</v>
      </c>
      <c r="M101" t="str">
        <f t="shared" si="8"/>
        <v>Medium</v>
      </c>
      <c r="N101">
        <f>(winequality_red[[#This Row],[Updated Quality &amp; Alcohol Analysis]]+winequality_red[[#This Row],[volatile acidity]]+winequality_red[[#This Row],[citric acid]])</f>
        <v>8.8249999999999993</v>
      </c>
      <c r="O101">
        <f t="shared" si="9"/>
        <v>3.5727777777777775E-2</v>
      </c>
      <c r="S101" t="e">
        <f t="shared" si="10"/>
        <v>#N/A</v>
      </c>
      <c r="T101" t="e">
        <f t="shared" si="11"/>
        <v>#N/A</v>
      </c>
      <c r="U101">
        <f t="shared" si="12"/>
        <v>9</v>
      </c>
      <c r="V101">
        <f t="shared" si="13"/>
        <v>6</v>
      </c>
      <c r="W101" t="e">
        <f t="shared" si="14"/>
        <v>#N/A</v>
      </c>
      <c r="X101" t="e">
        <f t="shared" si="15"/>
        <v>#N/A</v>
      </c>
    </row>
    <row r="102" spans="1:24" x14ac:dyDescent="0.3">
      <c r="A102">
        <v>8.3000000000000007</v>
      </c>
      <c r="B102">
        <v>0.61</v>
      </c>
      <c r="C102">
        <v>0.3</v>
      </c>
      <c r="D102">
        <v>2.1</v>
      </c>
      <c r="E102">
        <v>8.4000000000000005E-2</v>
      </c>
      <c r="F102">
        <v>11</v>
      </c>
      <c r="G102">
        <v>50</v>
      </c>
      <c r="H102">
        <v>0.99719999999999998</v>
      </c>
      <c r="I102">
        <v>3.4</v>
      </c>
      <c r="J102">
        <v>0.61</v>
      </c>
      <c r="K102">
        <v>10.199999999999999</v>
      </c>
      <c r="L102">
        <v>6</v>
      </c>
      <c r="M102" t="str">
        <f t="shared" si="8"/>
        <v>Medium</v>
      </c>
      <c r="N102">
        <f>(winequality_red[[#This Row],[Updated Quality &amp; Alcohol Analysis]]+winequality_red[[#This Row],[volatile acidity]]+winequality_red[[#This Row],[citric acid]])</f>
        <v>9.2100000000000009</v>
      </c>
      <c r="O102">
        <f t="shared" si="9"/>
        <v>3.6480392156862745E-2</v>
      </c>
      <c r="S102" t="e">
        <f t="shared" si="10"/>
        <v>#N/A</v>
      </c>
      <c r="T102" t="e">
        <f t="shared" si="11"/>
        <v>#N/A</v>
      </c>
      <c r="U102">
        <f t="shared" si="12"/>
        <v>10.199999999999999</v>
      </c>
      <c r="V102">
        <f t="shared" si="13"/>
        <v>6</v>
      </c>
      <c r="W102" t="e">
        <f t="shared" si="14"/>
        <v>#N/A</v>
      </c>
      <c r="X102" t="e">
        <f t="shared" si="15"/>
        <v>#N/A</v>
      </c>
    </row>
    <row r="103" spans="1:24" x14ac:dyDescent="0.3">
      <c r="A103">
        <v>7.8</v>
      </c>
      <c r="B103">
        <v>0.5</v>
      </c>
      <c r="C103">
        <v>0.3</v>
      </c>
      <c r="D103">
        <v>1.9</v>
      </c>
      <c r="E103">
        <v>7.4999999999999997E-2</v>
      </c>
      <c r="F103">
        <v>8</v>
      </c>
      <c r="G103">
        <v>22</v>
      </c>
      <c r="H103">
        <v>0.99590000000000001</v>
      </c>
      <c r="I103">
        <v>3.31</v>
      </c>
      <c r="J103">
        <v>0.56000000000000005</v>
      </c>
      <c r="K103">
        <v>10.4</v>
      </c>
      <c r="L103">
        <v>6</v>
      </c>
      <c r="M103" t="str">
        <f t="shared" si="8"/>
        <v>Medium</v>
      </c>
      <c r="N103">
        <f>(winequality_red[[#This Row],[Updated Quality &amp; Alcohol Analysis]]+winequality_red[[#This Row],[volatile acidity]]+winequality_red[[#This Row],[citric acid]])</f>
        <v>8.6000000000000014</v>
      </c>
      <c r="O103">
        <f t="shared" si="9"/>
        <v>2.6923076923076925E-2</v>
      </c>
      <c r="S103" t="e">
        <f t="shared" si="10"/>
        <v>#N/A</v>
      </c>
      <c r="T103" t="e">
        <f t="shared" si="11"/>
        <v>#N/A</v>
      </c>
      <c r="U103">
        <f t="shared" si="12"/>
        <v>10.4</v>
      </c>
      <c r="V103">
        <f t="shared" si="13"/>
        <v>6</v>
      </c>
      <c r="W103" t="e">
        <f t="shared" si="14"/>
        <v>#N/A</v>
      </c>
      <c r="X103" t="e">
        <f t="shared" si="15"/>
        <v>#N/A</v>
      </c>
    </row>
    <row r="104" spans="1:24" x14ac:dyDescent="0.3">
      <c r="A104">
        <v>8.1</v>
      </c>
      <c r="B104">
        <v>0.54500000000000004</v>
      </c>
      <c r="C104">
        <v>0.18</v>
      </c>
      <c r="D104">
        <v>1.9</v>
      </c>
      <c r="E104">
        <v>0.08</v>
      </c>
      <c r="F104">
        <v>13</v>
      </c>
      <c r="G104">
        <v>35</v>
      </c>
      <c r="H104">
        <v>0.99719999999999998</v>
      </c>
      <c r="I104">
        <v>3.3</v>
      </c>
      <c r="J104">
        <v>0.59</v>
      </c>
      <c r="K104">
        <v>9</v>
      </c>
      <c r="L104">
        <v>6</v>
      </c>
      <c r="M104" t="str">
        <f t="shared" si="8"/>
        <v>Medium</v>
      </c>
      <c r="N104">
        <f>(winequality_red[[#This Row],[Updated Quality &amp; Alcohol Analysis]]+winequality_red[[#This Row],[volatile acidity]]+winequality_red[[#This Row],[citric acid]])</f>
        <v>8.8249999999999993</v>
      </c>
      <c r="O104">
        <f t="shared" si="9"/>
        <v>3.5727777777777775E-2</v>
      </c>
      <c r="S104" t="e">
        <f t="shared" si="10"/>
        <v>#N/A</v>
      </c>
      <c r="T104" t="e">
        <f t="shared" si="11"/>
        <v>#N/A</v>
      </c>
      <c r="U104">
        <f t="shared" si="12"/>
        <v>9</v>
      </c>
      <c r="V104">
        <f t="shared" si="13"/>
        <v>6</v>
      </c>
      <c r="W104" t="e">
        <f t="shared" si="14"/>
        <v>#N/A</v>
      </c>
      <c r="X104" t="e">
        <f t="shared" si="15"/>
        <v>#N/A</v>
      </c>
    </row>
    <row r="105" spans="1:24" x14ac:dyDescent="0.3">
      <c r="A105">
        <v>8.1</v>
      </c>
      <c r="B105">
        <v>0.57499999999999996</v>
      </c>
      <c r="C105">
        <v>0.22</v>
      </c>
      <c r="D105">
        <v>2.1</v>
      </c>
      <c r="E105">
        <v>7.6999999999999999E-2</v>
      </c>
      <c r="F105">
        <v>12</v>
      </c>
      <c r="G105">
        <v>65</v>
      </c>
      <c r="H105">
        <v>0.99670000000000003</v>
      </c>
      <c r="I105">
        <v>3.29</v>
      </c>
      <c r="J105">
        <v>0.51</v>
      </c>
      <c r="K105">
        <v>9.1999999999999993</v>
      </c>
      <c r="L105">
        <v>5</v>
      </c>
      <c r="M105" t="str">
        <f t="shared" si="8"/>
        <v>Medium</v>
      </c>
      <c r="N105">
        <f>(winequality_red[[#This Row],[Updated Quality &amp; Alcohol Analysis]]+winequality_red[[#This Row],[volatile acidity]]+winequality_red[[#This Row],[citric acid]])</f>
        <v>8.8949999999999996</v>
      </c>
      <c r="O105">
        <f t="shared" si="9"/>
        <v>3.1875000000000001E-2</v>
      </c>
      <c r="S105" t="e">
        <f t="shared" si="10"/>
        <v>#N/A</v>
      </c>
      <c r="T105" t="e">
        <f t="shared" si="11"/>
        <v>#N/A</v>
      </c>
      <c r="U105">
        <f t="shared" si="12"/>
        <v>9.1999999999999993</v>
      </c>
      <c r="V105">
        <f t="shared" si="13"/>
        <v>5</v>
      </c>
      <c r="W105" t="e">
        <f t="shared" si="14"/>
        <v>#N/A</v>
      </c>
      <c r="X105" t="e">
        <f t="shared" si="15"/>
        <v>#N/A</v>
      </c>
    </row>
    <row r="106" spans="1:24" x14ac:dyDescent="0.3">
      <c r="A106">
        <v>7.2</v>
      </c>
      <c r="B106">
        <v>0.49</v>
      </c>
      <c r="C106">
        <v>0.24</v>
      </c>
      <c r="D106">
        <v>2.2000000000000002</v>
      </c>
      <c r="E106">
        <v>7.0000000000000007E-2</v>
      </c>
      <c r="F106">
        <v>5</v>
      </c>
      <c r="G106">
        <v>36</v>
      </c>
      <c r="H106">
        <v>0.996</v>
      </c>
      <c r="I106">
        <v>3.33</v>
      </c>
      <c r="J106">
        <v>0.48</v>
      </c>
      <c r="K106">
        <v>9.4</v>
      </c>
      <c r="L106">
        <v>5</v>
      </c>
      <c r="M106" t="str">
        <f t="shared" si="8"/>
        <v>Medium</v>
      </c>
      <c r="N106">
        <f>(winequality_red[[#This Row],[Updated Quality &amp; Alcohol Analysis]]+winequality_red[[#This Row],[volatile acidity]]+winequality_red[[#This Row],[citric acid]])</f>
        <v>7.9300000000000006</v>
      </c>
      <c r="O106">
        <f t="shared" si="9"/>
        <v>2.5021276595744678E-2</v>
      </c>
      <c r="S106" t="e">
        <f t="shared" si="10"/>
        <v>#N/A</v>
      </c>
      <c r="T106" t="e">
        <f t="shared" si="11"/>
        <v>#N/A</v>
      </c>
      <c r="U106">
        <f t="shared" si="12"/>
        <v>9.4</v>
      </c>
      <c r="V106">
        <f t="shared" si="13"/>
        <v>5</v>
      </c>
      <c r="W106" t="e">
        <f t="shared" si="14"/>
        <v>#N/A</v>
      </c>
      <c r="X106" t="e">
        <f t="shared" si="15"/>
        <v>#N/A</v>
      </c>
    </row>
    <row r="107" spans="1:24" x14ac:dyDescent="0.3">
      <c r="A107">
        <v>8.1</v>
      </c>
      <c r="B107">
        <v>0.57499999999999996</v>
      </c>
      <c r="C107">
        <v>0.22</v>
      </c>
      <c r="D107">
        <v>2.1</v>
      </c>
      <c r="E107">
        <v>7.6999999999999999E-2</v>
      </c>
      <c r="F107">
        <v>12</v>
      </c>
      <c r="G107">
        <v>65</v>
      </c>
      <c r="H107">
        <v>0.99670000000000003</v>
      </c>
      <c r="I107">
        <v>3.29</v>
      </c>
      <c r="J107">
        <v>0.51</v>
      </c>
      <c r="K107">
        <v>9.1999999999999993</v>
      </c>
      <c r="L107">
        <v>5</v>
      </c>
      <c r="M107" t="str">
        <f t="shared" si="8"/>
        <v>Medium</v>
      </c>
      <c r="N107">
        <f>(winequality_red[[#This Row],[Updated Quality &amp; Alcohol Analysis]]+winequality_red[[#This Row],[volatile acidity]]+winequality_red[[#This Row],[citric acid]])</f>
        <v>8.8949999999999996</v>
      </c>
      <c r="O107">
        <f t="shared" si="9"/>
        <v>3.1875000000000001E-2</v>
      </c>
      <c r="S107" t="e">
        <f t="shared" si="10"/>
        <v>#N/A</v>
      </c>
      <c r="T107" t="e">
        <f t="shared" si="11"/>
        <v>#N/A</v>
      </c>
      <c r="U107">
        <f t="shared" si="12"/>
        <v>9.1999999999999993</v>
      </c>
      <c r="V107">
        <f t="shared" si="13"/>
        <v>5</v>
      </c>
      <c r="W107" t="e">
        <f t="shared" si="14"/>
        <v>#N/A</v>
      </c>
      <c r="X107" t="e">
        <f t="shared" si="15"/>
        <v>#N/A</v>
      </c>
    </row>
    <row r="108" spans="1:24" x14ac:dyDescent="0.3">
      <c r="A108">
        <v>7.8</v>
      </c>
      <c r="B108">
        <v>0.41</v>
      </c>
      <c r="C108">
        <v>0.68</v>
      </c>
      <c r="D108">
        <v>1.7</v>
      </c>
      <c r="E108">
        <v>0.46700000000000003</v>
      </c>
      <c r="F108">
        <v>18</v>
      </c>
      <c r="G108">
        <v>69</v>
      </c>
      <c r="H108">
        <v>0.99729999999999996</v>
      </c>
      <c r="I108">
        <v>3.08</v>
      </c>
      <c r="J108">
        <v>1.31</v>
      </c>
      <c r="K108">
        <v>9.3000000000000007</v>
      </c>
      <c r="L108">
        <v>5</v>
      </c>
      <c r="M108" t="str">
        <f t="shared" si="8"/>
        <v>Medium</v>
      </c>
      <c r="N108">
        <f>(winequality_red[[#This Row],[Updated Quality &amp; Alcohol Analysis]]+winequality_red[[#This Row],[volatile acidity]]+winequality_red[[#This Row],[citric acid]])</f>
        <v>8.8899999999999988</v>
      </c>
      <c r="O108">
        <f t="shared" si="9"/>
        <v>5.7752688172043008E-2</v>
      </c>
      <c r="S108" t="e">
        <f t="shared" si="10"/>
        <v>#N/A</v>
      </c>
      <c r="T108" t="e">
        <f t="shared" si="11"/>
        <v>#N/A</v>
      </c>
      <c r="U108">
        <f t="shared" si="12"/>
        <v>9.3000000000000007</v>
      </c>
      <c r="V108">
        <f t="shared" si="13"/>
        <v>5</v>
      </c>
      <c r="W108" t="e">
        <f t="shared" si="14"/>
        <v>#N/A</v>
      </c>
      <c r="X108" t="e">
        <f t="shared" si="15"/>
        <v>#N/A</v>
      </c>
    </row>
    <row r="109" spans="1:24" x14ac:dyDescent="0.3">
      <c r="A109">
        <v>6.2</v>
      </c>
      <c r="B109">
        <v>0.63</v>
      </c>
      <c r="C109">
        <v>0.31</v>
      </c>
      <c r="D109">
        <v>1.7</v>
      </c>
      <c r="E109">
        <v>8.8000000000000009E-2</v>
      </c>
      <c r="F109">
        <v>15</v>
      </c>
      <c r="G109">
        <v>64</v>
      </c>
      <c r="H109">
        <v>0.99690000000000001</v>
      </c>
      <c r="I109">
        <v>3.46</v>
      </c>
      <c r="J109">
        <v>0.79</v>
      </c>
      <c r="K109">
        <v>9.3000000000000007</v>
      </c>
      <c r="L109">
        <v>5</v>
      </c>
      <c r="M109" t="str">
        <f t="shared" si="8"/>
        <v>Medium</v>
      </c>
      <c r="N109">
        <f>(winequality_red[[#This Row],[Updated Quality &amp; Alcohol Analysis]]+winequality_red[[#This Row],[volatile acidity]]+winequality_red[[#This Row],[citric acid]])</f>
        <v>7.14</v>
      </c>
      <c r="O109">
        <f t="shared" si="9"/>
        <v>5.3516129032258067E-2</v>
      </c>
      <c r="S109" t="e">
        <f t="shared" si="10"/>
        <v>#N/A</v>
      </c>
      <c r="T109" t="e">
        <f t="shared" si="11"/>
        <v>#N/A</v>
      </c>
      <c r="U109">
        <f t="shared" si="12"/>
        <v>9.3000000000000007</v>
      </c>
      <c r="V109">
        <f t="shared" si="13"/>
        <v>5</v>
      </c>
      <c r="W109" t="e">
        <f t="shared" si="14"/>
        <v>#N/A</v>
      </c>
      <c r="X109" t="e">
        <f t="shared" si="15"/>
        <v>#N/A</v>
      </c>
    </row>
    <row r="110" spans="1:24" x14ac:dyDescent="0.3">
      <c r="A110">
        <v>8</v>
      </c>
      <c r="B110">
        <v>0.33</v>
      </c>
      <c r="C110">
        <v>0.53</v>
      </c>
      <c r="D110">
        <v>2.5</v>
      </c>
      <c r="E110">
        <v>9.0999999999999998E-2</v>
      </c>
      <c r="F110">
        <v>18</v>
      </c>
      <c r="G110">
        <v>80</v>
      </c>
      <c r="H110">
        <v>0.99760000000000004</v>
      </c>
      <c r="I110">
        <v>3.37</v>
      </c>
      <c r="J110">
        <v>0.8</v>
      </c>
      <c r="K110">
        <v>9.6</v>
      </c>
      <c r="L110">
        <v>6</v>
      </c>
      <c r="M110" t="str">
        <f t="shared" si="8"/>
        <v>Medium</v>
      </c>
      <c r="N110">
        <f>(winequality_red[[#This Row],[Updated Quality &amp; Alcohol Analysis]]+winequality_red[[#This Row],[volatile acidity]]+winequality_red[[#This Row],[citric acid]])</f>
        <v>8.86</v>
      </c>
      <c r="O110">
        <f t="shared" si="9"/>
        <v>2.7500000000000004E-2</v>
      </c>
      <c r="S110" t="e">
        <f t="shared" si="10"/>
        <v>#N/A</v>
      </c>
      <c r="T110" t="e">
        <f t="shared" si="11"/>
        <v>#N/A</v>
      </c>
      <c r="U110">
        <f t="shared" si="12"/>
        <v>9.6</v>
      </c>
      <c r="V110">
        <f t="shared" si="13"/>
        <v>6</v>
      </c>
      <c r="W110" t="e">
        <f t="shared" si="14"/>
        <v>#N/A</v>
      </c>
      <c r="X110" t="e">
        <f t="shared" si="15"/>
        <v>#N/A</v>
      </c>
    </row>
    <row r="111" spans="1:24" x14ac:dyDescent="0.3">
      <c r="A111">
        <v>8.1</v>
      </c>
      <c r="B111">
        <v>0.78500000000000003</v>
      </c>
      <c r="C111">
        <v>0.52</v>
      </c>
      <c r="D111">
        <v>2</v>
      </c>
      <c r="E111">
        <v>0.122</v>
      </c>
      <c r="F111">
        <v>37</v>
      </c>
      <c r="G111">
        <v>153</v>
      </c>
      <c r="H111">
        <v>0.99690000000000001</v>
      </c>
      <c r="I111">
        <v>3.21</v>
      </c>
      <c r="J111">
        <v>0.69</v>
      </c>
      <c r="K111">
        <v>9.3000000000000007</v>
      </c>
      <c r="L111">
        <v>5</v>
      </c>
      <c r="M111" t="str">
        <f t="shared" si="8"/>
        <v>Medium</v>
      </c>
      <c r="N111">
        <f>(winequality_red[[#This Row],[Updated Quality &amp; Alcohol Analysis]]+winequality_red[[#This Row],[volatile acidity]]+winequality_red[[#This Row],[citric acid]])</f>
        <v>9.4049999999999994</v>
      </c>
      <c r="O111">
        <f t="shared" si="9"/>
        <v>5.8241935483870959E-2</v>
      </c>
      <c r="S111" t="e">
        <f t="shared" si="10"/>
        <v>#N/A</v>
      </c>
      <c r="T111" t="e">
        <f t="shared" si="11"/>
        <v>#N/A</v>
      </c>
      <c r="U111">
        <f t="shared" si="12"/>
        <v>9.3000000000000007</v>
      </c>
      <c r="V111">
        <f t="shared" si="13"/>
        <v>5</v>
      </c>
      <c r="W111" t="e">
        <f t="shared" si="14"/>
        <v>#N/A</v>
      </c>
      <c r="X111" t="e">
        <f t="shared" si="15"/>
        <v>#N/A</v>
      </c>
    </row>
    <row r="112" spans="1:24" x14ac:dyDescent="0.3">
      <c r="A112">
        <v>7.8</v>
      </c>
      <c r="B112">
        <v>0.56000000000000005</v>
      </c>
      <c r="C112">
        <v>0.19</v>
      </c>
      <c r="D112">
        <v>1.8</v>
      </c>
      <c r="E112">
        <v>0.10400000000000001</v>
      </c>
      <c r="F112">
        <v>12</v>
      </c>
      <c r="G112">
        <v>47</v>
      </c>
      <c r="H112">
        <v>0.99639999999999995</v>
      </c>
      <c r="I112">
        <v>3.19</v>
      </c>
      <c r="J112">
        <v>0.93</v>
      </c>
      <c r="K112">
        <v>9.5</v>
      </c>
      <c r="L112">
        <v>5</v>
      </c>
      <c r="M112" t="str">
        <f t="shared" si="8"/>
        <v>Medium</v>
      </c>
      <c r="N112">
        <f>(winequality_red[[#This Row],[Updated Quality &amp; Alcohol Analysis]]+winequality_red[[#This Row],[volatile acidity]]+winequality_red[[#This Row],[citric acid]])</f>
        <v>8.5499999999999989</v>
      </c>
      <c r="O112">
        <f t="shared" si="9"/>
        <v>5.4821052631578951E-2</v>
      </c>
      <c r="S112" t="e">
        <f t="shared" si="10"/>
        <v>#N/A</v>
      </c>
      <c r="T112" t="e">
        <f t="shared" si="11"/>
        <v>#N/A</v>
      </c>
      <c r="U112">
        <f t="shared" si="12"/>
        <v>9.5</v>
      </c>
      <c r="V112">
        <f t="shared" si="13"/>
        <v>5</v>
      </c>
      <c r="W112" t="e">
        <f t="shared" si="14"/>
        <v>#N/A</v>
      </c>
      <c r="X112" t="e">
        <f t="shared" si="15"/>
        <v>#N/A</v>
      </c>
    </row>
    <row r="113" spans="1:24" x14ac:dyDescent="0.3">
      <c r="A113">
        <v>8.4</v>
      </c>
      <c r="B113">
        <v>0.62</v>
      </c>
      <c r="C113">
        <v>0.09</v>
      </c>
      <c r="D113">
        <v>2.2000000000000002</v>
      </c>
      <c r="E113">
        <v>8.4000000000000005E-2</v>
      </c>
      <c r="F113">
        <v>11</v>
      </c>
      <c r="G113">
        <v>108</v>
      </c>
      <c r="H113">
        <v>0.99639999999999995</v>
      </c>
      <c r="I113">
        <v>3.15</v>
      </c>
      <c r="J113">
        <v>0.66</v>
      </c>
      <c r="K113">
        <v>9.8000000000000007</v>
      </c>
      <c r="L113">
        <v>5</v>
      </c>
      <c r="M113" t="str">
        <f t="shared" si="8"/>
        <v>Medium</v>
      </c>
      <c r="N113">
        <f>(winequality_red[[#This Row],[Updated Quality &amp; Alcohol Analysis]]+winequality_red[[#This Row],[volatile acidity]]+winequality_red[[#This Row],[citric acid]])</f>
        <v>9.11</v>
      </c>
      <c r="O113">
        <f t="shared" si="9"/>
        <v>4.1755102040816325E-2</v>
      </c>
      <c r="S113" t="e">
        <f t="shared" si="10"/>
        <v>#N/A</v>
      </c>
      <c r="T113" t="e">
        <f t="shared" si="11"/>
        <v>#N/A</v>
      </c>
      <c r="U113">
        <f t="shared" si="12"/>
        <v>9.8000000000000007</v>
      </c>
      <c r="V113">
        <f t="shared" si="13"/>
        <v>5</v>
      </c>
      <c r="W113" t="e">
        <f t="shared" si="14"/>
        <v>#N/A</v>
      </c>
      <c r="X113" t="e">
        <f t="shared" si="15"/>
        <v>#N/A</v>
      </c>
    </row>
    <row r="114" spans="1:24" x14ac:dyDescent="0.3">
      <c r="A114">
        <v>8.4</v>
      </c>
      <c r="B114">
        <v>0.6</v>
      </c>
      <c r="C114">
        <v>0.1</v>
      </c>
      <c r="D114">
        <v>2.2000000000000002</v>
      </c>
      <c r="E114">
        <v>8.5000000000000006E-2</v>
      </c>
      <c r="F114">
        <v>14</v>
      </c>
      <c r="G114">
        <v>111</v>
      </c>
      <c r="H114">
        <v>0.99639999999999995</v>
      </c>
      <c r="I114">
        <v>3.15</v>
      </c>
      <c r="J114">
        <v>0.66</v>
      </c>
      <c r="K114">
        <v>9.8000000000000007</v>
      </c>
      <c r="L114">
        <v>5</v>
      </c>
      <c r="M114" t="str">
        <f t="shared" si="8"/>
        <v>Medium</v>
      </c>
      <c r="N114">
        <f>(winequality_red[[#This Row],[Updated Quality &amp; Alcohol Analysis]]+winequality_red[[#This Row],[volatile acidity]]+winequality_red[[#This Row],[citric acid]])</f>
        <v>9.1</v>
      </c>
      <c r="O114">
        <f t="shared" si="9"/>
        <v>4.0408163265306121E-2</v>
      </c>
      <c r="S114" t="e">
        <f t="shared" si="10"/>
        <v>#N/A</v>
      </c>
      <c r="T114" t="e">
        <f t="shared" si="11"/>
        <v>#N/A</v>
      </c>
      <c r="U114">
        <f t="shared" si="12"/>
        <v>9.8000000000000007</v>
      </c>
      <c r="V114">
        <f t="shared" si="13"/>
        <v>5</v>
      </c>
      <c r="W114" t="e">
        <f t="shared" si="14"/>
        <v>#N/A</v>
      </c>
      <c r="X114" t="e">
        <f t="shared" si="15"/>
        <v>#N/A</v>
      </c>
    </row>
    <row r="115" spans="1:24" x14ac:dyDescent="0.3">
      <c r="A115">
        <v>10.1</v>
      </c>
      <c r="B115">
        <v>0.31</v>
      </c>
      <c r="C115">
        <v>0.44</v>
      </c>
      <c r="D115">
        <v>2.2999999999999998</v>
      </c>
      <c r="E115">
        <v>0.08</v>
      </c>
      <c r="F115">
        <v>22</v>
      </c>
      <c r="G115">
        <v>46</v>
      </c>
      <c r="H115">
        <v>0.99880000000000002</v>
      </c>
      <c r="I115">
        <v>3.32</v>
      </c>
      <c r="J115">
        <v>0.67</v>
      </c>
      <c r="K115">
        <v>9.6999999999999993</v>
      </c>
      <c r="L115">
        <v>6</v>
      </c>
      <c r="M115" t="str">
        <f t="shared" si="8"/>
        <v>Medium</v>
      </c>
      <c r="N115">
        <f>(winequality_red[[#This Row],[Updated Quality &amp; Alcohol Analysis]]+winequality_red[[#This Row],[volatile acidity]]+winequality_red[[#This Row],[citric acid]])</f>
        <v>10.85</v>
      </c>
      <c r="O115">
        <f t="shared" si="9"/>
        <v>2.1412371134020624E-2</v>
      </c>
      <c r="S115" t="e">
        <f t="shared" si="10"/>
        <v>#N/A</v>
      </c>
      <c r="T115" t="e">
        <f t="shared" si="11"/>
        <v>#N/A</v>
      </c>
      <c r="U115">
        <f t="shared" si="12"/>
        <v>9.6999999999999993</v>
      </c>
      <c r="V115">
        <f t="shared" si="13"/>
        <v>6</v>
      </c>
      <c r="W115" t="e">
        <f t="shared" si="14"/>
        <v>#N/A</v>
      </c>
      <c r="X115" t="e">
        <f t="shared" si="15"/>
        <v>#N/A</v>
      </c>
    </row>
    <row r="116" spans="1:24" x14ac:dyDescent="0.3">
      <c r="A116">
        <v>7.8</v>
      </c>
      <c r="B116">
        <v>0.56000000000000005</v>
      </c>
      <c r="C116">
        <v>0.19</v>
      </c>
      <c r="D116">
        <v>1.8</v>
      </c>
      <c r="E116">
        <v>0.10400000000000001</v>
      </c>
      <c r="F116">
        <v>12</v>
      </c>
      <c r="G116">
        <v>47</v>
      </c>
      <c r="H116">
        <v>0.99639999999999995</v>
      </c>
      <c r="I116">
        <v>3.19</v>
      </c>
      <c r="J116">
        <v>0.93</v>
      </c>
      <c r="K116">
        <v>9.5</v>
      </c>
      <c r="L116">
        <v>5</v>
      </c>
      <c r="M116" t="str">
        <f t="shared" si="8"/>
        <v>Medium</v>
      </c>
      <c r="N116">
        <f>(winequality_red[[#This Row],[Updated Quality &amp; Alcohol Analysis]]+winequality_red[[#This Row],[volatile acidity]]+winequality_red[[#This Row],[citric acid]])</f>
        <v>8.5499999999999989</v>
      </c>
      <c r="O116">
        <f t="shared" si="9"/>
        <v>5.4821052631578951E-2</v>
      </c>
      <c r="S116" t="e">
        <f t="shared" si="10"/>
        <v>#N/A</v>
      </c>
      <c r="T116" t="e">
        <f t="shared" si="11"/>
        <v>#N/A</v>
      </c>
      <c r="U116">
        <f t="shared" si="12"/>
        <v>9.5</v>
      </c>
      <c r="V116">
        <f t="shared" si="13"/>
        <v>5</v>
      </c>
      <c r="W116" t="e">
        <f t="shared" si="14"/>
        <v>#N/A</v>
      </c>
      <c r="X116" t="e">
        <f t="shared" si="15"/>
        <v>#N/A</v>
      </c>
    </row>
    <row r="117" spans="1:24" x14ac:dyDescent="0.3">
      <c r="A117">
        <v>9.4</v>
      </c>
      <c r="B117">
        <v>0.4</v>
      </c>
      <c r="C117">
        <v>0.31</v>
      </c>
      <c r="D117">
        <v>2.2000000000000002</v>
      </c>
      <c r="E117">
        <v>0.09</v>
      </c>
      <c r="F117">
        <v>13</v>
      </c>
      <c r="G117">
        <v>62</v>
      </c>
      <c r="H117">
        <v>0.99660000000000004</v>
      </c>
      <c r="I117">
        <v>3.07</v>
      </c>
      <c r="J117">
        <v>0.63</v>
      </c>
      <c r="K117">
        <v>10.5</v>
      </c>
      <c r="L117">
        <v>6</v>
      </c>
      <c r="M117" t="str">
        <f t="shared" si="8"/>
        <v>Medium</v>
      </c>
      <c r="N117">
        <f>(winequality_red[[#This Row],[Updated Quality &amp; Alcohol Analysis]]+winequality_red[[#This Row],[volatile acidity]]+winequality_red[[#This Row],[citric acid]])</f>
        <v>10.110000000000001</v>
      </c>
      <c r="O117">
        <f t="shared" si="9"/>
        <v>2.4E-2</v>
      </c>
      <c r="S117" t="e">
        <f t="shared" si="10"/>
        <v>#N/A</v>
      </c>
      <c r="T117" t="e">
        <f t="shared" si="11"/>
        <v>#N/A</v>
      </c>
      <c r="U117">
        <f t="shared" si="12"/>
        <v>10.5</v>
      </c>
      <c r="V117">
        <f t="shared" si="13"/>
        <v>6</v>
      </c>
      <c r="W117" t="e">
        <f t="shared" si="14"/>
        <v>#N/A</v>
      </c>
      <c r="X117" t="e">
        <f t="shared" si="15"/>
        <v>#N/A</v>
      </c>
    </row>
    <row r="118" spans="1:24" x14ac:dyDescent="0.3">
      <c r="A118">
        <v>8.3000000000000007</v>
      </c>
      <c r="B118">
        <v>0.54</v>
      </c>
      <c r="C118">
        <v>0.28000000000000003</v>
      </c>
      <c r="D118">
        <v>1.9</v>
      </c>
      <c r="E118">
        <v>7.6999999999999999E-2</v>
      </c>
      <c r="F118">
        <v>11</v>
      </c>
      <c r="G118">
        <v>40</v>
      </c>
      <c r="H118">
        <v>0.99780000000000002</v>
      </c>
      <c r="I118">
        <v>3.39</v>
      </c>
      <c r="J118">
        <v>0.61</v>
      </c>
      <c r="K118">
        <v>10</v>
      </c>
      <c r="L118">
        <v>6</v>
      </c>
      <c r="M118" t="str">
        <f t="shared" si="8"/>
        <v>Medium</v>
      </c>
      <c r="N118">
        <f>(winequality_red[[#This Row],[Updated Quality &amp; Alcohol Analysis]]+winequality_red[[#This Row],[volatile acidity]]+winequality_red[[#This Row],[citric acid]])</f>
        <v>9.1199999999999992</v>
      </c>
      <c r="O118">
        <f t="shared" si="9"/>
        <v>3.2940000000000004E-2</v>
      </c>
      <c r="S118" t="e">
        <f t="shared" si="10"/>
        <v>#N/A</v>
      </c>
      <c r="T118" t="e">
        <f t="shared" si="11"/>
        <v>#N/A</v>
      </c>
      <c r="U118">
        <f t="shared" si="12"/>
        <v>10</v>
      </c>
      <c r="V118">
        <f t="shared" si="13"/>
        <v>6</v>
      </c>
      <c r="W118" t="e">
        <f t="shared" si="14"/>
        <v>#N/A</v>
      </c>
      <c r="X118" t="e">
        <f t="shared" si="15"/>
        <v>#N/A</v>
      </c>
    </row>
    <row r="119" spans="1:24" x14ac:dyDescent="0.3">
      <c r="A119">
        <v>7.8</v>
      </c>
      <c r="B119">
        <v>0.56000000000000005</v>
      </c>
      <c r="C119">
        <v>0.12</v>
      </c>
      <c r="D119">
        <v>2</v>
      </c>
      <c r="E119">
        <v>8.199999999999999E-2</v>
      </c>
      <c r="F119">
        <v>7</v>
      </c>
      <c r="G119">
        <v>28</v>
      </c>
      <c r="H119">
        <v>0.997</v>
      </c>
      <c r="I119">
        <v>3.37</v>
      </c>
      <c r="J119">
        <v>0.5</v>
      </c>
      <c r="K119">
        <v>9.4</v>
      </c>
      <c r="L119">
        <v>6</v>
      </c>
      <c r="M119" t="str">
        <f t="shared" si="8"/>
        <v>Medium</v>
      </c>
      <c r="N119">
        <f>(winequality_red[[#This Row],[Updated Quality &amp; Alcohol Analysis]]+winequality_red[[#This Row],[volatile acidity]]+winequality_red[[#This Row],[citric acid]])</f>
        <v>8.4799999999999986</v>
      </c>
      <c r="O119">
        <f t="shared" si="9"/>
        <v>2.9787234042553193E-2</v>
      </c>
      <c r="S119" t="e">
        <f t="shared" si="10"/>
        <v>#N/A</v>
      </c>
      <c r="T119" t="e">
        <f t="shared" si="11"/>
        <v>#N/A</v>
      </c>
      <c r="U119">
        <f t="shared" si="12"/>
        <v>9.4</v>
      </c>
      <c r="V119">
        <f t="shared" si="13"/>
        <v>6</v>
      </c>
      <c r="W119" t="e">
        <f t="shared" si="14"/>
        <v>#N/A</v>
      </c>
      <c r="X119" t="e">
        <f t="shared" si="15"/>
        <v>#N/A</v>
      </c>
    </row>
    <row r="120" spans="1:24" x14ac:dyDescent="0.3">
      <c r="A120">
        <v>8.8000000000000007</v>
      </c>
      <c r="B120">
        <v>0.55000000000000004</v>
      </c>
      <c r="C120">
        <v>0.04</v>
      </c>
      <c r="D120">
        <v>2.2000000000000002</v>
      </c>
      <c r="E120">
        <v>0.11900000000000001</v>
      </c>
      <c r="F120">
        <v>14</v>
      </c>
      <c r="G120">
        <v>56</v>
      </c>
      <c r="H120">
        <v>0.99619999999999997</v>
      </c>
      <c r="I120">
        <v>3.21</v>
      </c>
      <c r="J120">
        <v>0.6</v>
      </c>
      <c r="K120">
        <v>10.9</v>
      </c>
      <c r="L120">
        <v>6</v>
      </c>
      <c r="M120" t="str">
        <f t="shared" si="8"/>
        <v>Medium</v>
      </c>
      <c r="N120">
        <f>(winequality_red[[#This Row],[Updated Quality &amp; Alcohol Analysis]]+winequality_red[[#This Row],[volatile acidity]]+winequality_red[[#This Row],[citric acid]])</f>
        <v>9.39</v>
      </c>
      <c r="O120">
        <f t="shared" si="9"/>
        <v>3.0275229357798167E-2</v>
      </c>
      <c r="S120" t="e">
        <f t="shared" si="10"/>
        <v>#N/A</v>
      </c>
      <c r="T120" t="e">
        <f t="shared" si="11"/>
        <v>#N/A</v>
      </c>
      <c r="U120">
        <f t="shared" si="12"/>
        <v>10.9</v>
      </c>
      <c r="V120">
        <f t="shared" si="13"/>
        <v>6</v>
      </c>
      <c r="W120" t="e">
        <f t="shared" si="14"/>
        <v>#N/A</v>
      </c>
      <c r="X120" t="e">
        <f t="shared" si="15"/>
        <v>#N/A</v>
      </c>
    </row>
    <row r="121" spans="1:24" x14ac:dyDescent="0.3">
      <c r="A121">
        <v>7</v>
      </c>
      <c r="B121">
        <v>0.69</v>
      </c>
      <c r="C121">
        <v>0.08</v>
      </c>
      <c r="D121">
        <v>1.8</v>
      </c>
      <c r="E121">
        <v>9.6999999999999989E-2</v>
      </c>
      <c r="F121">
        <v>22</v>
      </c>
      <c r="G121">
        <v>89</v>
      </c>
      <c r="H121">
        <v>0.99590000000000001</v>
      </c>
      <c r="I121">
        <v>3.34</v>
      </c>
      <c r="J121">
        <v>0.54</v>
      </c>
      <c r="K121">
        <v>9.1999999999999993</v>
      </c>
      <c r="L121">
        <v>6</v>
      </c>
      <c r="M121" t="str">
        <f t="shared" si="8"/>
        <v>Medium</v>
      </c>
      <c r="N121">
        <f>(winequality_red[[#This Row],[Updated Quality &amp; Alcohol Analysis]]+winequality_red[[#This Row],[volatile acidity]]+winequality_red[[#This Row],[citric acid]])</f>
        <v>7.77</v>
      </c>
      <c r="O121">
        <f t="shared" si="9"/>
        <v>4.0500000000000001E-2</v>
      </c>
      <c r="S121" t="e">
        <f t="shared" si="10"/>
        <v>#N/A</v>
      </c>
      <c r="T121" t="e">
        <f t="shared" si="11"/>
        <v>#N/A</v>
      </c>
      <c r="U121">
        <f t="shared" si="12"/>
        <v>9.1999999999999993</v>
      </c>
      <c r="V121">
        <f t="shared" si="13"/>
        <v>6</v>
      </c>
      <c r="W121" t="e">
        <f t="shared" si="14"/>
        <v>#N/A</v>
      </c>
      <c r="X121" t="e">
        <f t="shared" si="15"/>
        <v>#N/A</v>
      </c>
    </row>
    <row r="122" spans="1:24" x14ac:dyDescent="0.3">
      <c r="A122">
        <v>7.3</v>
      </c>
      <c r="B122">
        <v>1.07</v>
      </c>
      <c r="C122">
        <v>0.09</v>
      </c>
      <c r="D122">
        <v>1.7</v>
      </c>
      <c r="E122">
        <v>0.17800000000000002</v>
      </c>
      <c r="F122">
        <v>10</v>
      </c>
      <c r="G122">
        <v>89</v>
      </c>
      <c r="H122">
        <v>0.99619999999999997</v>
      </c>
      <c r="I122">
        <v>3.3</v>
      </c>
      <c r="J122">
        <v>0.56999999999999995</v>
      </c>
      <c r="K122">
        <v>9</v>
      </c>
      <c r="L122">
        <v>5</v>
      </c>
      <c r="M122" t="str">
        <f t="shared" si="8"/>
        <v>Medium</v>
      </c>
      <c r="N122">
        <f>(winequality_red[[#This Row],[Updated Quality &amp; Alcohol Analysis]]+winequality_red[[#This Row],[volatile acidity]]+winequality_red[[#This Row],[citric acid]])</f>
        <v>8.4599999999999991</v>
      </c>
      <c r="O122">
        <f t="shared" si="9"/>
        <v>6.7766666666666669E-2</v>
      </c>
      <c r="S122" t="e">
        <f t="shared" si="10"/>
        <v>#N/A</v>
      </c>
      <c r="T122" t="e">
        <f t="shared" si="11"/>
        <v>#N/A</v>
      </c>
      <c r="U122">
        <f t="shared" si="12"/>
        <v>9</v>
      </c>
      <c r="V122">
        <f t="shared" si="13"/>
        <v>5</v>
      </c>
      <c r="W122" t="e">
        <f t="shared" si="14"/>
        <v>#N/A</v>
      </c>
      <c r="X122" t="e">
        <f t="shared" si="15"/>
        <v>#N/A</v>
      </c>
    </row>
    <row r="123" spans="1:24" x14ac:dyDescent="0.3">
      <c r="A123">
        <v>8.8000000000000007</v>
      </c>
      <c r="B123">
        <v>0.55000000000000004</v>
      </c>
      <c r="C123">
        <v>0.04</v>
      </c>
      <c r="D123">
        <v>2.2000000000000002</v>
      </c>
      <c r="E123">
        <v>0.11900000000000001</v>
      </c>
      <c r="F123">
        <v>14</v>
      </c>
      <c r="G123">
        <v>56</v>
      </c>
      <c r="H123">
        <v>0.99619999999999997</v>
      </c>
      <c r="I123">
        <v>3.21</v>
      </c>
      <c r="J123">
        <v>0.6</v>
      </c>
      <c r="K123">
        <v>10.9</v>
      </c>
      <c r="L123">
        <v>6</v>
      </c>
      <c r="M123" t="str">
        <f t="shared" si="8"/>
        <v>Medium</v>
      </c>
      <c r="N123">
        <f>(winequality_red[[#This Row],[Updated Quality &amp; Alcohol Analysis]]+winequality_red[[#This Row],[volatile acidity]]+winequality_red[[#This Row],[citric acid]])</f>
        <v>9.39</v>
      </c>
      <c r="O123">
        <f t="shared" si="9"/>
        <v>3.0275229357798167E-2</v>
      </c>
      <c r="S123" t="e">
        <f t="shared" si="10"/>
        <v>#N/A</v>
      </c>
      <c r="T123" t="e">
        <f t="shared" si="11"/>
        <v>#N/A</v>
      </c>
      <c r="U123">
        <f t="shared" si="12"/>
        <v>10.9</v>
      </c>
      <c r="V123">
        <f t="shared" si="13"/>
        <v>6</v>
      </c>
      <c r="W123" t="e">
        <f t="shared" si="14"/>
        <v>#N/A</v>
      </c>
      <c r="X123" t="e">
        <f t="shared" si="15"/>
        <v>#N/A</v>
      </c>
    </row>
    <row r="124" spans="1:24" x14ac:dyDescent="0.3">
      <c r="A124">
        <v>7.3</v>
      </c>
      <c r="B124">
        <v>0.69499999999999995</v>
      </c>
      <c r="C124">
        <v>0</v>
      </c>
      <c r="D124">
        <v>2.5</v>
      </c>
      <c r="E124">
        <v>7.4999999999999997E-2</v>
      </c>
      <c r="F124">
        <v>3</v>
      </c>
      <c r="G124">
        <v>13</v>
      </c>
      <c r="H124">
        <v>0.998</v>
      </c>
      <c r="I124">
        <v>3.49</v>
      </c>
      <c r="J124">
        <v>0.52</v>
      </c>
      <c r="K124">
        <v>9.1999999999999993</v>
      </c>
      <c r="L124">
        <v>5</v>
      </c>
      <c r="M124" t="str">
        <f t="shared" si="8"/>
        <v>Medium</v>
      </c>
      <c r="N124">
        <f>(winequality_red[[#This Row],[Updated Quality &amp; Alcohol Analysis]]+winequality_red[[#This Row],[volatile acidity]]+winequality_red[[#This Row],[citric acid]])</f>
        <v>7.9950000000000001</v>
      </c>
      <c r="O124">
        <f t="shared" si="9"/>
        <v>3.9282608695652178E-2</v>
      </c>
      <c r="S124" t="e">
        <f t="shared" si="10"/>
        <v>#N/A</v>
      </c>
      <c r="T124" t="e">
        <f t="shared" si="11"/>
        <v>#N/A</v>
      </c>
      <c r="U124">
        <f t="shared" si="12"/>
        <v>9.1999999999999993</v>
      </c>
      <c r="V124">
        <f t="shared" si="13"/>
        <v>5</v>
      </c>
      <c r="W124" t="e">
        <f t="shared" si="14"/>
        <v>#N/A</v>
      </c>
      <c r="X124" t="e">
        <f t="shared" si="15"/>
        <v>#N/A</v>
      </c>
    </row>
    <row r="125" spans="1:24" x14ac:dyDescent="0.3">
      <c r="A125">
        <v>8</v>
      </c>
      <c r="B125">
        <v>0.71</v>
      </c>
      <c r="C125">
        <v>0</v>
      </c>
      <c r="D125">
        <v>2.6</v>
      </c>
      <c r="E125">
        <v>0.08</v>
      </c>
      <c r="F125">
        <v>11</v>
      </c>
      <c r="G125">
        <v>34</v>
      </c>
      <c r="H125">
        <v>0.99760000000000004</v>
      </c>
      <c r="I125">
        <v>3.44</v>
      </c>
      <c r="J125">
        <v>0.53</v>
      </c>
      <c r="K125">
        <v>9.5</v>
      </c>
      <c r="L125">
        <v>5</v>
      </c>
      <c r="M125" t="str">
        <f t="shared" si="8"/>
        <v>Medium</v>
      </c>
      <c r="N125">
        <f>(winequality_red[[#This Row],[Updated Quality &amp; Alcohol Analysis]]+winequality_red[[#This Row],[volatile acidity]]+winequality_red[[#This Row],[citric acid]])</f>
        <v>8.7100000000000009</v>
      </c>
      <c r="O125">
        <f t="shared" si="9"/>
        <v>3.9610526315789478E-2</v>
      </c>
      <c r="S125" t="e">
        <f t="shared" si="10"/>
        <v>#N/A</v>
      </c>
      <c r="T125" t="e">
        <f t="shared" si="11"/>
        <v>#N/A</v>
      </c>
      <c r="U125">
        <f t="shared" si="12"/>
        <v>9.5</v>
      </c>
      <c r="V125">
        <f t="shared" si="13"/>
        <v>5</v>
      </c>
      <c r="W125" t="e">
        <f t="shared" si="14"/>
        <v>#N/A</v>
      </c>
      <c r="X125" t="e">
        <f t="shared" si="15"/>
        <v>#N/A</v>
      </c>
    </row>
    <row r="126" spans="1:24" x14ac:dyDescent="0.3">
      <c r="A126">
        <v>7.8</v>
      </c>
      <c r="B126">
        <v>0.5</v>
      </c>
      <c r="C126">
        <v>0.17</v>
      </c>
      <c r="D126">
        <v>1.6</v>
      </c>
      <c r="E126">
        <v>8.199999999999999E-2</v>
      </c>
      <c r="F126">
        <v>21</v>
      </c>
      <c r="G126">
        <v>102</v>
      </c>
      <c r="H126">
        <v>0.996</v>
      </c>
      <c r="I126">
        <v>3.39</v>
      </c>
      <c r="J126">
        <v>0.48</v>
      </c>
      <c r="K126">
        <v>9.5</v>
      </c>
      <c r="L126">
        <v>5</v>
      </c>
      <c r="M126" t="str">
        <f t="shared" si="8"/>
        <v>Medium</v>
      </c>
      <c r="N126">
        <f>(winequality_red[[#This Row],[Updated Quality &amp; Alcohol Analysis]]+winequality_red[[#This Row],[volatile acidity]]+winequality_red[[#This Row],[citric acid]])</f>
        <v>8.4700000000000006</v>
      </c>
      <c r="O126">
        <f t="shared" si="9"/>
        <v>2.5263157894736842E-2</v>
      </c>
      <c r="S126" t="e">
        <f t="shared" si="10"/>
        <v>#N/A</v>
      </c>
      <c r="T126" t="e">
        <f t="shared" si="11"/>
        <v>#N/A</v>
      </c>
      <c r="U126">
        <f t="shared" si="12"/>
        <v>9.5</v>
      </c>
      <c r="V126">
        <f t="shared" si="13"/>
        <v>5</v>
      </c>
      <c r="W126" t="e">
        <f t="shared" si="14"/>
        <v>#N/A</v>
      </c>
      <c r="X126" t="e">
        <f t="shared" si="15"/>
        <v>#N/A</v>
      </c>
    </row>
    <row r="127" spans="1:24" x14ac:dyDescent="0.3">
      <c r="A127">
        <v>9</v>
      </c>
      <c r="B127">
        <v>0.62</v>
      </c>
      <c r="C127">
        <v>0.04</v>
      </c>
      <c r="D127">
        <v>1.9</v>
      </c>
      <c r="E127">
        <v>0.14599999999999999</v>
      </c>
      <c r="F127">
        <v>27</v>
      </c>
      <c r="G127">
        <v>90</v>
      </c>
      <c r="H127">
        <v>0.99839999999999995</v>
      </c>
      <c r="I127">
        <v>3.16</v>
      </c>
      <c r="J127">
        <v>0.7</v>
      </c>
      <c r="K127">
        <v>9.4</v>
      </c>
      <c r="L127">
        <v>5</v>
      </c>
      <c r="M127" t="str">
        <f t="shared" si="8"/>
        <v>Medium</v>
      </c>
      <c r="N127">
        <f>(winequality_red[[#This Row],[Updated Quality &amp; Alcohol Analysis]]+winequality_red[[#This Row],[volatile acidity]]+winequality_red[[#This Row],[citric acid]])</f>
        <v>9.6599999999999984</v>
      </c>
      <c r="O127">
        <f t="shared" si="9"/>
        <v>4.6170212765957445E-2</v>
      </c>
      <c r="S127" t="e">
        <f t="shared" si="10"/>
        <v>#N/A</v>
      </c>
      <c r="T127" t="e">
        <f t="shared" si="11"/>
        <v>#N/A</v>
      </c>
      <c r="U127">
        <f t="shared" si="12"/>
        <v>9.4</v>
      </c>
      <c r="V127">
        <f t="shared" si="13"/>
        <v>5</v>
      </c>
      <c r="W127" t="e">
        <f t="shared" si="14"/>
        <v>#N/A</v>
      </c>
      <c r="X127" t="e">
        <f t="shared" si="15"/>
        <v>#N/A</v>
      </c>
    </row>
    <row r="128" spans="1:24" x14ac:dyDescent="0.3">
      <c r="A128">
        <v>8.1999999999999993</v>
      </c>
      <c r="B128">
        <v>1.33</v>
      </c>
      <c r="C128">
        <v>0</v>
      </c>
      <c r="D128">
        <v>1.7</v>
      </c>
      <c r="E128">
        <v>8.1000000000000003E-2</v>
      </c>
      <c r="F128">
        <v>3</v>
      </c>
      <c r="G128">
        <v>12</v>
      </c>
      <c r="H128">
        <v>0.99639999999999995</v>
      </c>
      <c r="I128">
        <v>3.53</v>
      </c>
      <c r="J128">
        <v>0.49</v>
      </c>
      <c r="K128">
        <v>10.9</v>
      </c>
      <c r="L128">
        <v>5</v>
      </c>
      <c r="M128" t="str">
        <f t="shared" si="8"/>
        <v>Medium</v>
      </c>
      <c r="N128">
        <f>(winequality_red[[#This Row],[Updated Quality &amp; Alcohol Analysis]]+winequality_red[[#This Row],[volatile acidity]]+winequality_red[[#This Row],[citric acid]])</f>
        <v>9.5299999999999994</v>
      </c>
      <c r="O128">
        <f t="shared" si="9"/>
        <v>5.9788990825688074E-2</v>
      </c>
      <c r="S128" t="e">
        <f t="shared" si="10"/>
        <v>#N/A</v>
      </c>
      <c r="T128" t="e">
        <f t="shared" si="11"/>
        <v>#N/A</v>
      </c>
      <c r="U128">
        <f t="shared" si="12"/>
        <v>10.9</v>
      </c>
      <c r="V128">
        <f t="shared" si="13"/>
        <v>5</v>
      </c>
      <c r="W128" t="e">
        <f t="shared" si="14"/>
        <v>#N/A</v>
      </c>
      <c r="X128" t="e">
        <f t="shared" si="15"/>
        <v>#N/A</v>
      </c>
    </row>
    <row r="129" spans="1:24" x14ac:dyDescent="0.3">
      <c r="A129">
        <v>8.1</v>
      </c>
      <c r="B129">
        <v>1.33</v>
      </c>
      <c r="C129">
        <v>0</v>
      </c>
      <c r="D129">
        <v>1.8</v>
      </c>
      <c r="E129">
        <v>8.199999999999999E-2</v>
      </c>
      <c r="F129">
        <v>3</v>
      </c>
      <c r="G129">
        <v>12</v>
      </c>
      <c r="H129">
        <v>0.99639999999999995</v>
      </c>
      <c r="I129">
        <v>3.54</v>
      </c>
      <c r="J129">
        <v>0.48</v>
      </c>
      <c r="K129">
        <v>10.9</v>
      </c>
      <c r="L129">
        <v>5</v>
      </c>
      <c r="M129" t="str">
        <f t="shared" si="8"/>
        <v>Medium</v>
      </c>
      <c r="N129">
        <f>(winequality_red[[#This Row],[Updated Quality &amp; Alcohol Analysis]]+winequality_red[[#This Row],[volatile acidity]]+winequality_red[[#This Row],[citric acid]])</f>
        <v>9.43</v>
      </c>
      <c r="O129">
        <f t="shared" si="9"/>
        <v>5.8568807339449538E-2</v>
      </c>
      <c r="S129" t="e">
        <f t="shared" si="10"/>
        <v>#N/A</v>
      </c>
      <c r="T129" t="e">
        <f t="shared" si="11"/>
        <v>#N/A</v>
      </c>
      <c r="U129">
        <f t="shared" si="12"/>
        <v>10.9</v>
      </c>
      <c r="V129">
        <f t="shared" si="13"/>
        <v>5</v>
      </c>
      <c r="W129" t="e">
        <f t="shared" si="14"/>
        <v>#N/A</v>
      </c>
      <c r="X129" t="e">
        <f t="shared" si="15"/>
        <v>#N/A</v>
      </c>
    </row>
    <row r="130" spans="1:24" x14ac:dyDescent="0.3">
      <c r="A130">
        <v>8</v>
      </c>
      <c r="B130">
        <v>0.59</v>
      </c>
      <c r="C130">
        <v>0.16</v>
      </c>
      <c r="D130">
        <v>1.8</v>
      </c>
      <c r="E130">
        <v>6.5000000000000002E-2</v>
      </c>
      <c r="F130">
        <v>3</v>
      </c>
      <c r="G130">
        <v>16</v>
      </c>
      <c r="H130">
        <v>0.99619999999999997</v>
      </c>
      <c r="I130">
        <v>3.42</v>
      </c>
      <c r="J130">
        <v>0.92</v>
      </c>
      <c r="K130">
        <v>10.5</v>
      </c>
      <c r="L130">
        <v>7</v>
      </c>
      <c r="M130" t="str">
        <f t="shared" ref="M130:M193" si="16">IF($L130&gt;=7,"High",IF($L130&gt;=5,"Medium","Low"))</f>
        <v>High</v>
      </c>
      <c r="N130">
        <f>(winequality_red[[#This Row],[Updated Quality &amp; Alcohol Analysis]]+winequality_red[[#This Row],[volatile acidity]]+winequality_red[[#This Row],[citric acid]])</f>
        <v>8.75</v>
      </c>
      <c r="O130">
        <f t="shared" ref="O130:O193" si="17">($B130*$J130)/$K130</f>
        <v>5.1695238095238093E-2</v>
      </c>
      <c r="S130" t="e">
        <f t="shared" si="10"/>
        <v>#N/A</v>
      </c>
      <c r="T130" t="e">
        <f t="shared" si="11"/>
        <v>#N/A</v>
      </c>
      <c r="U130" t="e">
        <f t="shared" si="12"/>
        <v>#N/A</v>
      </c>
      <c r="V130" t="e">
        <f t="shared" si="13"/>
        <v>#N/A</v>
      </c>
      <c r="W130">
        <f t="shared" si="14"/>
        <v>10.5</v>
      </c>
      <c r="X130">
        <f t="shared" si="15"/>
        <v>7</v>
      </c>
    </row>
    <row r="131" spans="1:24" x14ac:dyDescent="0.3">
      <c r="A131">
        <v>6.1</v>
      </c>
      <c r="B131">
        <v>0.38</v>
      </c>
      <c r="C131">
        <v>0.15</v>
      </c>
      <c r="D131">
        <v>1.8</v>
      </c>
      <c r="E131">
        <v>7.2000000000000008E-2</v>
      </c>
      <c r="F131">
        <v>6</v>
      </c>
      <c r="G131">
        <v>19</v>
      </c>
      <c r="H131">
        <v>0.99550000000000005</v>
      </c>
      <c r="I131">
        <v>3.42</v>
      </c>
      <c r="J131">
        <v>0.56999999999999995</v>
      </c>
      <c r="K131">
        <v>9.4</v>
      </c>
      <c r="L131">
        <v>5</v>
      </c>
      <c r="M131" t="str">
        <f t="shared" si="16"/>
        <v>Medium</v>
      </c>
      <c r="N131">
        <f>(winequality_red[[#This Row],[Updated Quality &amp; Alcohol Analysis]]+winequality_red[[#This Row],[volatile acidity]]+winequality_red[[#This Row],[citric acid]])</f>
        <v>6.63</v>
      </c>
      <c r="O131">
        <f t="shared" si="17"/>
        <v>2.3042553191489359E-2</v>
      </c>
      <c r="S131" t="e">
        <f t="shared" ref="S131:S194" si="18">IF($M131="Low",$K131,NA())</f>
        <v>#N/A</v>
      </c>
      <c r="T131" t="e">
        <f t="shared" ref="T131:T194" si="19">IF($M131="Low",$L131,NA())</f>
        <v>#N/A</v>
      </c>
      <c r="U131">
        <f t="shared" ref="U131:U194" si="20">IF($M131="Medium",$K131,NA())</f>
        <v>9.4</v>
      </c>
      <c r="V131">
        <f t="shared" ref="V131:V194" si="21">IF($M131="Medium",$L131,NA())</f>
        <v>5</v>
      </c>
      <c r="W131" t="e">
        <f t="shared" ref="W131:W194" si="22">IF($M131="High",$K131,NA())</f>
        <v>#N/A</v>
      </c>
      <c r="X131" t="e">
        <f t="shared" ref="X131:X194" si="23">IF($M131="High",$L131,NA())</f>
        <v>#N/A</v>
      </c>
    </row>
    <row r="132" spans="1:24" x14ac:dyDescent="0.3">
      <c r="A132">
        <v>8</v>
      </c>
      <c r="B132">
        <v>0.745</v>
      </c>
      <c r="C132">
        <v>0.56000000000000005</v>
      </c>
      <c r="D132">
        <v>2</v>
      </c>
      <c r="E132">
        <v>0.11800000000000001</v>
      </c>
      <c r="F132">
        <v>30</v>
      </c>
      <c r="G132">
        <v>134</v>
      </c>
      <c r="H132">
        <v>0.99680000000000002</v>
      </c>
      <c r="I132">
        <v>3.24</v>
      </c>
      <c r="J132">
        <v>0.66</v>
      </c>
      <c r="K132">
        <v>9.4</v>
      </c>
      <c r="L132">
        <v>5</v>
      </c>
      <c r="M132" t="str">
        <f t="shared" si="16"/>
        <v>Medium</v>
      </c>
      <c r="N132">
        <f>(winequality_red[[#This Row],[Updated Quality &amp; Alcohol Analysis]]+winequality_red[[#This Row],[volatile acidity]]+winequality_red[[#This Row],[citric acid]])</f>
        <v>9.3049999999999997</v>
      </c>
      <c r="O132">
        <f t="shared" si="17"/>
        <v>5.2308510638297875E-2</v>
      </c>
      <c r="S132" t="e">
        <f t="shared" si="18"/>
        <v>#N/A</v>
      </c>
      <c r="T132" t="e">
        <f t="shared" si="19"/>
        <v>#N/A</v>
      </c>
      <c r="U132">
        <f t="shared" si="20"/>
        <v>9.4</v>
      </c>
      <c r="V132">
        <f t="shared" si="21"/>
        <v>5</v>
      </c>
      <c r="W132" t="e">
        <f t="shared" si="22"/>
        <v>#N/A</v>
      </c>
      <c r="X132" t="e">
        <f t="shared" si="23"/>
        <v>#N/A</v>
      </c>
    </row>
    <row r="133" spans="1:24" x14ac:dyDescent="0.3">
      <c r="A133">
        <v>5.6</v>
      </c>
      <c r="B133">
        <v>0.5</v>
      </c>
      <c r="C133">
        <v>0.09</v>
      </c>
      <c r="D133">
        <v>2.2999999999999998</v>
      </c>
      <c r="E133">
        <v>4.9000000000000002E-2</v>
      </c>
      <c r="F133">
        <v>17</v>
      </c>
      <c r="G133">
        <v>99</v>
      </c>
      <c r="H133">
        <v>0.99370000000000003</v>
      </c>
      <c r="I133">
        <v>3.63</v>
      </c>
      <c r="J133">
        <v>0.63</v>
      </c>
      <c r="K133">
        <v>13</v>
      </c>
      <c r="L133">
        <v>5</v>
      </c>
      <c r="M133" t="str">
        <f t="shared" si="16"/>
        <v>Medium</v>
      </c>
      <c r="N133">
        <f>(winequality_red[[#This Row],[Updated Quality &amp; Alcohol Analysis]]+winequality_red[[#This Row],[volatile acidity]]+winequality_red[[#This Row],[citric acid]])</f>
        <v>6.1899999999999995</v>
      </c>
      <c r="O133">
        <f t="shared" si="17"/>
        <v>2.4230769230769229E-2</v>
      </c>
      <c r="S133" t="e">
        <f t="shared" si="18"/>
        <v>#N/A</v>
      </c>
      <c r="T133" t="e">
        <f t="shared" si="19"/>
        <v>#N/A</v>
      </c>
      <c r="U133">
        <f t="shared" si="20"/>
        <v>13</v>
      </c>
      <c r="V133">
        <f t="shared" si="21"/>
        <v>5</v>
      </c>
      <c r="W133" t="e">
        <f t="shared" si="22"/>
        <v>#N/A</v>
      </c>
      <c r="X133" t="e">
        <f t="shared" si="23"/>
        <v>#N/A</v>
      </c>
    </row>
    <row r="134" spans="1:24" x14ac:dyDescent="0.3">
      <c r="A134">
        <v>5.6</v>
      </c>
      <c r="B134">
        <v>0.5</v>
      </c>
      <c r="C134">
        <v>0.09</v>
      </c>
      <c r="D134">
        <v>2.2999999999999998</v>
      </c>
      <c r="E134">
        <v>4.9000000000000002E-2</v>
      </c>
      <c r="F134">
        <v>17</v>
      </c>
      <c r="G134">
        <v>99</v>
      </c>
      <c r="H134">
        <v>0.99370000000000003</v>
      </c>
      <c r="I134">
        <v>3.63</v>
      </c>
      <c r="J134">
        <v>0.63</v>
      </c>
      <c r="K134">
        <v>13</v>
      </c>
      <c r="L134">
        <v>5</v>
      </c>
      <c r="M134" t="str">
        <f t="shared" si="16"/>
        <v>Medium</v>
      </c>
      <c r="N134">
        <f>(winequality_red[[#This Row],[Updated Quality &amp; Alcohol Analysis]]+winequality_red[[#This Row],[volatile acidity]]+winequality_red[[#This Row],[citric acid]])</f>
        <v>6.1899999999999995</v>
      </c>
      <c r="O134">
        <f t="shared" si="17"/>
        <v>2.4230769230769229E-2</v>
      </c>
      <c r="S134" t="e">
        <f t="shared" si="18"/>
        <v>#N/A</v>
      </c>
      <c r="T134" t="e">
        <f t="shared" si="19"/>
        <v>#N/A</v>
      </c>
      <c r="U134">
        <f t="shared" si="20"/>
        <v>13</v>
      </c>
      <c r="V134">
        <f t="shared" si="21"/>
        <v>5</v>
      </c>
      <c r="W134" t="e">
        <f t="shared" si="22"/>
        <v>#N/A</v>
      </c>
      <c r="X134" t="e">
        <f t="shared" si="23"/>
        <v>#N/A</v>
      </c>
    </row>
    <row r="135" spans="1:24" x14ac:dyDescent="0.3">
      <c r="A135">
        <v>6.6</v>
      </c>
      <c r="B135">
        <v>0.5</v>
      </c>
      <c r="C135">
        <v>0.01</v>
      </c>
      <c r="D135">
        <v>1.5</v>
      </c>
      <c r="E135">
        <v>0.06</v>
      </c>
      <c r="F135">
        <v>17</v>
      </c>
      <c r="G135">
        <v>26</v>
      </c>
      <c r="H135">
        <v>0.99519999999999997</v>
      </c>
      <c r="I135">
        <v>3.4</v>
      </c>
      <c r="J135">
        <v>0.57999999999999996</v>
      </c>
      <c r="K135">
        <v>9.8000000000000007</v>
      </c>
      <c r="L135">
        <v>6</v>
      </c>
      <c r="M135" t="str">
        <f t="shared" si="16"/>
        <v>Medium</v>
      </c>
      <c r="N135">
        <f>(winequality_red[[#This Row],[Updated Quality &amp; Alcohol Analysis]]+winequality_red[[#This Row],[volatile acidity]]+winequality_red[[#This Row],[citric acid]])</f>
        <v>7.1099999999999994</v>
      </c>
      <c r="O135">
        <f t="shared" si="17"/>
        <v>2.9591836734693875E-2</v>
      </c>
      <c r="S135" t="e">
        <f t="shared" si="18"/>
        <v>#N/A</v>
      </c>
      <c r="T135" t="e">
        <f t="shared" si="19"/>
        <v>#N/A</v>
      </c>
      <c r="U135">
        <f t="shared" si="20"/>
        <v>9.8000000000000007</v>
      </c>
      <c r="V135">
        <f t="shared" si="21"/>
        <v>6</v>
      </c>
      <c r="W135" t="e">
        <f t="shared" si="22"/>
        <v>#N/A</v>
      </c>
      <c r="X135" t="e">
        <f t="shared" si="23"/>
        <v>#N/A</v>
      </c>
    </row>
    <row r="136" spans="1:24" x14ac:dyDescent="0.3">
      <c r="A136">
        <v>7.9</v>
      </c>
      <c r="B136">
        <v>1.04</v>
      </c>
      <c r="C136">
        <v>0.05</v>
      </c>
      <c r="D136">
        <v>2.2000000000000002</v>
      </c>
      <c r="E136">
        <v>8.4000000000000005E-2</v>
      </c>
      <c r="F136">
        <v>13</v>
      </c>
      <c r="G136">
        <v>29</v>
      </c>
      <c r="H136">
        <v>0.99590000000000001</v>
      </c>
      <c r="I136">
        <v>3.22</v>
      </c>
      <c r="J136">
        <v>0.55000000000000004</v>
      </c>
      <c r="K136">
        <v>9.9</v>
      </c>
      <c r="L136">
        <v>6</v>
      </c>
      <c r="M136" t="str">
        <f t="shared" si="16"/>
        <v>Medium</v>
      </c>
      <c r="N136">
        <f>(winequality_red[[#This Row],[Updated Quality &amp; Alcohol Analysis]]+winequality_red[[#This Row],[volatile acidity]]+winequality_red[[#This Row],[citric acid]])</f>
        <v>8.990000000000002</v>
      </c>
      <c r="O136">
        <f t="shared" si="17"/>
        <v>5.7777777777777782E-2</v>
      </c>
      <c r="S136" t="e">
        <f t="shared" si="18"/>
        <v>#N/A</v>
      </c>
      <c r="T136" t="e">
        <f t="shared" si="19"/>
        <v>#N/A</v>
      </c>
      <c r="U136">
        <f t="shared" si="20"/>
        <v>9.9</v>
      </c>
      <c r="V136">
        <f t="shared" si="21"/>
        <v>6</v>
      </c>
      <c r="W136" t="e">
        <f t="shared" si="22"/>
        <v>#N/A</v>
      </c>
      <c r="X136" t="e">
        <f t="shared" si="23"/>
        <v>#N/A</v>
      </c>
    </row>
    <row r="137" spans="1:24" x14ac:dyDescent="0.3">
      <c r="A137">
        <v>8.4</v>
      </c>
      <c r="B137">
        <v>0.745</v>
      </c>
      <c r="C137">
        <v>0.11</v>
      </c>
      <c r="D137">
        <v>1.9</v>
      </c>
      <c r="E137">
        <v>0.09</v>
      </c>
      <c r="F137">
        <v>16</v>
      </c>
      <c r="G137">
        <v>63</v>
      </c>
      <c r="H137">
        <v>0.99650000000000005</v>
      </c>
      <c r="I137">
        <v>3.19</v>
      </c>
      <c r="J137">
        <v>0.82</v>
      </c>
      <c r="K137">
        <v>9.6</v>
      </c>
      <c r="L137">
        <v>5</v>
      </c>
      <c r="M137" t="str">
        <f t="shared" si="16"/>
        <v>Medium</v>
      </c>
      <c r="N137">
        <f>(winequality_red[[#This Row],[Updated Quality &amp; Alcohol Analysis]]+winequality_red[[#This Row],[volatile acidity]]+winequality_red[[#This Row],[citric acid]])</f>
        <v>9.254999999999999</v>
      </c>
      <c r="O137">
        <f t="shared" si="17"/>
        <v>6.3635416666666667E-2</v>
      </c>
      <c r="S137" t="e">
        <f t="shared" si="18"/>
        <v>#N/A</v>
      </c>
      <c r="T137" t="e">
        <f t="shared" si="19"/>
        <v>#N/A</v>
      </c>
      <c r="U137">
        <f t="shared" si="20"/>
        <v>9.6</v>
      </c>
      <c r="V137">
        <f t="shared" si="21"/>
        <v>5</v>
      </c>
      <c r="W137" t="e">
        <f t="shared" si="22"/>
        <v>#N/A</v>
      </c>
      <c r="X137" t="e">
        <f t="shared" si="23"/>
        <v>#N/A</v>
      </c>
    </row>
    <row r="138" spans="1:24" x14ac:dyDescent="0.3">
      <c r="A138">
        <v>8.3000000000000007</v>
      </c>
      <c r="B138">
        <v>0.71499999999999997</v>
      </c>
      <c r="C138">
        <v>0.15</v>
      </c>
      <c r="D138">
        <v>1.8</v>
      </c>
      <c r="E138">
        <v>8.900000000000001E-2</v>
      </c>
      <c r="F138">
        <v>10</v>
      </c>
      <c r="G138">
        <v>52</v>
      </c>
      <c r="H138">
        <v>0.99680000000000002</v>
      </c>
      <c r="I138">
        <v>3.23</v>
      </c>
      <c r="J138">
        <v>0.77</v>
      </c>
      <c r="K138">
        <v>9.5</v>
      </c>
      <c r="L138">
        <v>5</v>
      </c>
      <c r="M138" t="str">
        <f t="shared" si="16"/>
        <v>Medium</v>
      </c>
      <c r="N138">
        <f>(winequality_red[[#This Row],[Updated Quality &amp; Alcohol Analysis]]+winequality_red[[#This Row],[volatile acidity]]+winequality_red[[#This Row],[citric acid]])</f>
        <v>9.1650000000000009</v>
      </c>
      <c r="O138">
        <f t="shared" si="17"/>
        <v>5.7952631578947367E-2</v>
      </c>
      <c r="S138" t="e">
        <f t="shared" si="18"/>
        <v>#N/A</v>
      </c>
      <c r="T138" t="e">
        <f t="shared" si="19"/>
        <v>#N/A</v>
      </c>
      <c r="U138">
        <f t="shared" si="20"/>
        <v>9.5</v>
      </c>
      <c r="V138">
        <f t="shared" si="21"/>
        <v>5</v>
      </c>
      <c r="W138" t="e">
        <f t="shared" si="22"/>
        <v>#N/A</v>
      </c>
      <c r="X138" t="e">
        <f t="shared" si="23"/>
        <v>#N/A</v>
      </c>
    </row>
    <row r="139" spans="1:24" x14ac:dyDescent="0.3">
      <c r="A139">
        <v>7.2</v>
      </c>
      <c r="B139">
        <v>0.41499999999999998</v>
      </c>
      <c r="C139">
        <v>0.36</v>
      </c>
      <c r="D139">
        <v>2</v>
      </c>
      <c r="E139">
        <v>8.1000000000000003E-2</v>
      </c>
      <c r="F139">
        <v>13</v>
      </c>
      <c r="G139">
        <v>45</v>
      </c>
      <c r="H139">
        <v>0.99719999999999998</v>
      </c>
      <c r="I139">
        <v>3.48</v>
      </c>
      <c r="J139">
        <v>0.64</v>
      </c>
      <c r="K139">
        <v>9.1999999999999993</v>
      </c>
      <c r="L139">
        <v>5</v>
      </c>
      <c r="M139" t="str">
        <f t="shared" si="16"/>
        <v>Medium</v>
      </c>
      <c r="N139">
        <f>(winequality_red[[#This Row],[Updated Quality &amp; Alcohol Analysis]]+winequality_red[[#This Row],[volatile acidity]]+winequality_red[[#This Row],[citric acid]])</f>
        <v>7.9750000000000005</v>
      </c>
      <c r="O139">
        <f t="shared" si="17"/>
        <v>2.8869565217391306E-2</v>
      </c>
      <c r="S139" t="e">
        <f t="shared" si="18"/>
        <v>#N/A</v>
      </c>
      <c r="T139" t="e">
        <f t="shared" si="19"/>
        <v>#N/A</v>
      </c>
      <c r="U139">
        <f t="shared" si="20"/>
        <v>9.1999999999999993</v>
      </c>
      <c r="V139">
        <f t="shared" si="21"/>
        <v>5</v>
      </c>
      <c r="W139" t="e">
        <f t="shared" si="22"/>
        <v>#N/A</v>
      </c>
      <c r="X139" t="e">
        <f t="shared" si="23"/>
        <v>#N/A</v>
      </c>
    </row>
    <row r="140" spans="1:24" x14ac:dyDescent="0.3">
      <c r="A140">
        <v>7.8</v>
      </c>
      <c r="B140">
        <v>0.56000000000000005</v>
      </c>
      <c r="C140">
        <v>0.19</v>
      </c>
      <c r="D140">
        <v>2.1</v>
      </c>
      <c r="E140">
        <v>8.1000000000000003E-2</v>
      </c>
      <c r="F140">
        <v>15</v>
      </c>
      <c r="G140">
        <v>105</v>
      </c>
      <c r="H140">
        <v>0.99619999999999997</v>
      </c>
      <c r="I140">
        <v>3.33</v>
      </c>
      <c r="J140">
        <v>0.54</v>
      </c>
      <c r="K140">
        <v>9.5</v>
      </c>
      <c r="L140">
        <v>5</v>
      </c>
      <c r="M140" t="str">
        <f t="shared" si="16"/>
        <v>Medium</v>
      </c>
      <c r="N140">
        <f>(winequality_red[[#This Row],[Updated Quality &amp; Alcohol Analysis]]+winequality_red[[#This Row],[volatile acidity]]+winequality_red[[#This Row],[citric acid]])</f>
        <v>8.5499999999999989</v>
      </c>
      <c r="O140">
        <f t="shared" si="17"/>
        <v>3.1831578947368426E-2</v>
      </c>
      <c r="S140" t="e">
        <f t="shared" si="18"/>
        <v>#N/A</v>
      </c>
      <c r="T140" t="e">
        <f t="shared" si="19"/>
        <v>#N/A</v>
      </c>
      <c r="U140">
        <f t="shared" si="20"/>
        <v>9.5</v>
      </c>
      <c r="V140">
        <f t="shared" si="21"/>
        <v>5</v>
      </c>
      <c r="W140" t="e">
        <f t="shared" si="22"/>
        <v>#N/A</v>
      </c>
      <c r="X140" t="e">
        <f t="shared" si="23"/>
        <v>#N/A</v>
      </c>
    </row>
    <row r="141" spans="1:24" x14ac:dyDescent="0.3">
      <c r="A141">
        <v>7.8</v>
      </c>
      <c r="B141">
        <v>0.56000000000000005</v>
      </c>
      <c r="C141">
        <v>0.19</v>
      </c>
      <c r="D141">
        <v>2</v>
      </c>
      <c r="E141">
        <v>8.1000000000000003E-2</v>
      </c>
      <c r="F141">
        <v>17</v>
      </c>
      <c r="G141">
        <v>108</v>
      </c>
      <c r="H141">
        <v>0.99619999999999997</v>
      </c>
      <c r="I141">
        <v>3.32</v>
      </c>
      <c r="J141">
        <v>0.54</v>
      </c>
      <c r="K141">
        <v>9.5</v>
      </c>
      <c r="L141">
        <v>5</v>
      </c>
      <c r="M141" t="str">
        <f t="shared" si="16"/>
        <v>Medium</v>
      </c>
      <c r="N141">
        <f>(winequality_red[[#This Row],[Updated Quality &amp; Alcohol Analysis]]+winequality_red[[#This Row],[volatile acidity]]+winequality_red[[#This Row],[citric acid]])</f>
        <v>8.5499999999999989</v>
      </c>
      <c r="O141">
        <f t="shared" si="17"/>
        <v>3.1831578947368426E-2</v>
      </c>
      <c r="S141" t="e">
        <f t="shared" si="18"/>
        <v>#N/A</v>
      </c>
      <c r="T141" t="e">
        <f t="shared" si="19"/>
        <v>#N/A</v>
      </c>
      <c r="U141">
        <f t="shared" si="20"/>
        <v>9.5</v>
      </c>
      <c r="V141">
        <f t="shared" si="21"/>
        <v>5</v>
      </c>
      <c r="W141" t="e">
        <f t="shared" si="22"/>
        <v>#N/A</v>
      </c>
      <c r="X141" t="e">
        <f t="shared" si="23"/>
        <v>#N/A</v>
      </c>
    </row>
    <row r="142" spans="1:24" x14ac:dyDescent="0.3">
      <c r="A142">
        <v>8.4</v>
      </c>
      <c r="B142">
        <v>0.745</v>
      </c>
      <c r="C142">
        <v>0.11</v>
      </c>
      <c r="D142">
        <v>1.9</v>
      </c>
      <c r="E142">
        <v>0.09</v>
      </c>
      <c r="F142">
        <v>16</v>
      </c>
      <c r="G142">
        <v>63</v>
      </c>
      <c r="H142">
        <v>0.99650000000000005</v>
      </c>
      <c r="I142">
        <v>3.19</v>
      </c>
      <c r="J142">
        <v>0.82</v>
      </c>
      <c r="K142">
        <v>9.6</v>
      </c>
      <c r="L142">
        <v>5</v>
      </c>
      <c r="M142" t="str">
        <f t="shared" si="16"/>
        <v>Medium</v>
      </c>
      <c r="N142">
        <f>(winequality_red[[#This Row],[Updated Quality &amp; Alcohol Analysis]]+winequality_red[[#This Row],[volatile acidity]]+winequality_red[[#This Row],[citric acid]])</f>
        <v>9.254999999999999</v>
      </c>
      <c r="O142">
        <f t="shared" si="17"/>
        <v>6.3635416666666667E-2</v>
      </c>
      <c r="S142" t="e">
        <f t="shared" si="18"/>
        <v>#N/A</v>
      </c>
      <c r="T142" t="e">
        <f t="shared" si="19"/>
        <v>#N/A</v>
      </c>
      <c r="U142">
        <f t="shared" si="20"/>
        <v>9.6</v>
      </c>
      <c r="V142">
        <f t="shared" si="21"/>
        <v>5</v>
      </c>
      <c r="W142" t="e">
        <f t="shared" si="22"/>
        <v>#N/A</v>
      </c>
      <c r="X142" t="e">
        <f t="shared" si="23"/>
        <v>#N/A</v>
      </c>
    </row>
    <row r="143" spans="1:24" x14ac:dyDescent="0.3">
      <c r="A143">
        <v>8.3000000000000007</v>
      </c>
      <c r="B143">
        <v>0.71499999999999997</v>
      </c>
      <c r="C143">
        <v>0.15</v>
      </c>
      <c r="D143">
        <v>1.8</v>
      </c>
      <c r="E143">
        <v>8.900000000000001E-2</v>
      </c>
      <c r="F143">
        <v>10</v>
      </c>
      <c r="G143">
        <v>52</v>
      </c>
      <c r="H143">
        <v>0.99680000000000002</v>
      </c>
      <c r="I143">
        <v>3.23</v>
      </c>
      <c r="J143">
        <v>0.77</v>
      </c>
      <c r="K143">
        <v>9.5</v>
      </c>
      <c r="L143">
        <v>5</v>
      </c>
      <c r="M143" t="str">
        <f t="shared" si="16"/>
        <v>Medium</v>
      </c>
      <c r="N143">
        <f>(winequality_red[[#This Row],[Updated Quality &amp; Alcohol Analysis]]+winequality_red[[#This Row],[volatile acidity]]+winequality_red[[#This Row],[citric acid]])</f>
        <v>9.1650000000000009</v>
      </c>
      <c r="O143">
        <f t="shared" si="17"/>
        <v>5.7952631578947367E-2</v>
      </c>
      <c r="S143" t="e">
        <f t="shared" si="18"/>
        <v>#N/A</v>
      </c>
      <c r="T143" t="e">
        <f t="shared" si="19"/>
        <v>#N/A</v>
      </c>
      <c r="U143">
        <f t="shared" si="20"/>
        <v>9.5</v>
      </c>
      <c r="V143">
        <f t="shared" si="21"/>
        <v>5</v>
      </c>
      <c r="W143" t="e">
        <f t="shared" si="22"/>
        <v>#N/A</v>
      </c>
      <c r="X143" t="e">
        <f t="shared" si="23"/>
        <v>#N/A</v>
      </c>
    </row>
    <row r="144" spans="1:24" x14ac:dyDescent="0.3">
      <c r="A144">
        <v>5.2</v>
      </c>
      <c r="B144">
        <v>0.34</v>
      </c>
      <c r="C144">
        <v>0</v>
      </c>
      <c r="D144">
        <v>1.8</v>
      </c>
      <c r="E144">
        <v>0.05</v>
      </c>
      <c r="F144">
        <v>27</v>
      </c>
      <c r="G144">
        <v>63</v>
      </c>
      <c r="H144">
        <v>0.99160000000000004</v>
      </c>
      <c r="I144">
        <v>3.68</v>
      </c>
      <c r="J144">
        <v>0.79</v>
      </c>
      <c r="K144">
        <v>14</v>
      </c>
      <c r="L144">
        <v>6</v>
      </c>
      <c r="M144" t="str">
        <f t="shared" si="16"/>
        <v>Medium</v>
      </c>
      <c r="N144">
        <f>(winequality_red[[#This Row],[Updated Quality &amp; Alcohol Analysis]]+winequality_red[[#This Row],[volatile acidity]]+winequality_red[[#This Row],[citric acid]])</f>
        <v>5.54</v>
      </c>
      <c r="O144">
        <f t="shared" si="17"/>
        <v>1.9185714285714285E-2</v>
      </c>
      <c r="S144" t="e">
        <f t="shared" si="18"/>
        <v>#N/A</v>
      </c>
      <c r="T144" t="e">
        <f t="shared" si="19"/>
        <v>#N/A</v>
      </c>
      <c r="U144">
        <f t="shared" si="20"/>
        <v>14</v>
      </c>
      <c r="V144">
        <f t="shared" si="21"/>
        <v>6</v>
      </c>
      <c r="W144" t="e">
        <f t="shared" si="22"/>
        <v>#N/A</v>
      </c>
      <c r="X144" t="e">
        <f t="shared" si="23"/>
        <v>#N/A</v>
      </c>
    </row>
    <row r="145" spans="1:24" x14ac:dyDescent="0.3">
      <c r="A145">
        <v>6.3</v>
      </c>
      <c r="B145">
        <v>0.39</v>
      </c>
      <c r="C145">
        <v>0.08</v>
      </c>
      <c r="D145">
        <v>1.7</v>
      </c>
      <c r="E145">
        <v>6.6000000000000003E-2</v>
      </c>
      <c r="F145">
        <v>3</v>
      </c>
      <c r="G145">
        <v>20</v>
      </c>
      <c r="H145">
        <v>0.99539999999999995</v>
      </c>
      <c r="I145">
        <v>3.34</v>
      </c>
      <c r="J145">
        <v>0.57999999999999996</v>
      </c>
      <c r="K145">
        <v>9.4</v>
      </c>
      <c r="L145">
        <v>5</v>
      </c>
      <c r="M145" t="str">
        <f t="shared" si="16"/>
        <v>Medium</v>
      </c>
      <c r="N145">
        <f>(winequality_red[[#This Row],[Updated Quality &amp; Alcohol Analysis]]+winequality_red[[#This Row],[volatile acidity]]+winequality_red[[#This Row],[citric acid]])</f>
        <v>6.77</v>
      </c>
      <c r="O145">
        <f t="shared" si="17"/>
        <v>2.406382978723404E-2</v>
      </c>
      <c r="S145" t="e">
        <f t="shared" si="18"/>
        <v>#N/A</v>
      </c>
      <c r="T145" t="e">
        <f t="shared" si="19"/>
        <v>#N/A</v>
      </c>
      <c r="U145">
        <f t="shared" si="20"/>
        <v>9.4</v>
      </c>
      <c r="V145">
        <f t="shared" si="21"/>
        <v>5</v>
      </c>
      <c r="W145" t="e">
        <f t="shared" si="22"/>
        <v>#N/A</v>
      </c>
      <c r="X145" t="e">
        <f t="shared" si="23"/>
        <v>#N/A</v>
      </c>
    </row>
    <row r="146" spans="1:24" x14ac:dyDescent="0.3">
      <c r="A146">
        <v>5.2</v>
      </c>
      <c r="B146">
        <v>0.34</v>
      </c>
      <c r="C146">
        <v>0</v>
      </c>
      <c r="D146">
        <v>1.8</v>
      </c>
      <c r="E146">
        <v>0.05</v>
      </c>
      <c r="F146">
        <v>27</v>
      </c>
      <c r="G146">
        <v>63</v>
      </c>
      <c r="H146">
        <v>0.99160000000000004</v>
      </c>
      <c r="I146">
        <v>3.68</v>
      </c>
      <c r="J146">
        <v>0.79</v>
      </c>
      <c r="K146">
        <v>14</v>
      </c>
      <c r="L146">
        <v>6</v>
      </c>
      <c r="M146" t="str">
        <f t="shared" si="16"/>
        <v>Medium</v>
      </c>
      <c r="N146">
        <f>(winequality_red[[#This Row],[Updated Quality &amp; Alcohol Analysis]]+winequality_red[[#This Row],[volatile acidity]]+winequality_red[[#This Row],[citric acid]])</f>
        <v>5.54</v>
      </c>
      <c r="O146">
        <f t="shared" si="17"/>
        <v>1.9185714285714285E-2</v>
      </c>
      <c r="S146" t="e">
        <f t="shared" si="18"/>
        <v>#N/A</v>
      </c>
      <c r="T146" t="e">
        <f t="shared" si="19"/>
        <v>#N/A</v>
      </c>
      <c r="U146">
        <f t="shared" si="20"/>
        <v>14</v>
      </c>
      <c r="V146">
        <f t="shared" si="21"/>
        <v>6</v>
      </c>
      <c r="W146" t="e">
        <f t="shared" si="22"/>
        <v>#N/A</v>
      </c>
      <c r="X146" t="e">
        <f t="shared" si="23"/>
        <v>#N/A</v>
      </c>
    </row>
    <row r="147" spans="1:24" x14ac:dyDescent="0.3">
      <c r="A147">
        <v>8.1</v>
      </c>
      <c r="B147">
        <v>0.67</v>
      </c>
      <c r="C147">
        <v>0.55000000000000004</v>
      </c>
      <c r="D147">
        <v>1.8</v>
      </c>
      <c r="E147">
        <v>0.11699999999999999</v>
      </c>
      <c r="F147">
        <v>32</v>
      </c>
      <c r="G147">
        <v>141</v>
      </c>
      <c r="H147">
        <v>0.99680000000000002</v>
      </c>
      <c r="I147">
        <v>3.17</v>
      </c>
      <c r="J147">
        <v>0.62</v>
      </c>
      <c r="K147">
        <v>9.4</v>
      </c>
      <c r="L147">
        <v>5</v>
      </c>
      <c r="M147" t="str">
        <f t="shared" si="16"/>
        <v>Medium</v>
      </c>
      <c r="N147">
        <f>(winequality_red[[#This Row],[Updated Quality &amp; Alcohol Analysis]]+winequality_red[[#This Row],[volatile acidity]]+winequality_red[[#This Row],[citric acid]])</f>
        <v>9.32</v>
      </c>
      <c r="O147">
        <f t="shared" si="17"/>
        <v>4.4191489361702134E-2</v>
      </c>
      <c r="S147" t="e">
        <f t="shared" si="18"/>
        <v>#N/A</v>
      </c>
      <c r="T147" t="e">
        <f t="shared" si="19"/>
        <v>#N/A</v>
      </c>
      <c r="U147">
        <f t="shared" si="20"/>
        <v>9.4</v>
      </c>
      <c r="V147">
        <f t="shared" si="21"/>
        <v>5</v>
      </c>
      <c r="W147" t="e">
        <f t="shared" si="22"/>
        <v>#N/A</v>
      </c>
      <c r="X147" t="e">
        <f t="shared" si="23"/>
        <v>#N/A</v>
      </c>
    </row>
    <row r="148" spans="1:24" x14ac:dyDescent="0.3">
      <c r="A148">
        <v>5.8</v>
      </c>
      <c r="B148">
        <v>0.68</v>
      </c>
      <c r="C148">
        <v>0.02</v>
      </c>
      <c r="D148">
        <v>1.8</v>
      </c>
      <c r="E148">
        <v>8.6999999999999994E-2</v>
      </c>
      <c r="F148">
        <v>21</v>
      </c>
      <c r="G148">
        <v>94</v>
      </c>
      <c r="H148">
        <v>0.99439999999999995</v>
      </c>
      <c r="I148">
        <v>3.54</v>
      </c>
      <c r="J148">
        <v>0.52</v>
      </c>
      <c r="K148">
        <v>10</v>
      </c>
      <c r="L148">
        <v>5</v>
      </c>
      <c r="M148" t="str">
        <f t="shared" si="16"/>
        <v>Medium</v>
      </c>
      <c r="N148">
        <f>(winequality_red[[#This Row],[Updated Quality &amp; Alcohol Analysis]]+winequality_red[[#This Row],[volatile acidity]]+winequality_red[[#This Row],[citric acid]])</f>
        <v>6.4999999999999991</v>
      </c>
      <c r="O148">
        <f t="shared" si="17"/>
        <v>3.5360000000000003E-2</v>
      </c>
      <c r="S148" t="e">
        <f t="shared" si="18"/>
        <v>#N/A</v>
      </c>
      <c r="T148" t="e">
        <f t="shared" si="19"/>
        <v>#N/A</v>
      </c>
      <c r="U148">
        <f t="shared" si="20"/>
        <v>10</v>
      </c>
      <c r="V148">
        <f t="shared" si="21"/>
        <v>5</v>
      </c>
      <c r="W148" t="e">
        <f t="shared" si="22"/>
        <v>#N/A</v>
      </c>
      <c r="X148" t="e">
        <f t="shared" si="23"/>
        <v>#N/A</v>
      </c>
    </row>
    <row r="149" spans="1:24" x14ac:dyDescent="0.3">
      <c r="A149">
        <v>7.6</v>
      </c>
      <c r="B149">
        <v>0.49</v>
      </c>
      <c r="C149">
        <v>0.26</v>
      </c>
      <c r="D149">
        <v>1.6</v>
      </c>
      <c r="E149">
        <v>0.23600000000000002</v>
      </c>
      <c r="F149">
        <v>10</v>
      </c>
      <c r="G149">
        <v>88</v>
      </c>
      <c r="H149">
        <v>0.99680000000000002</v>
      </c>
      <c r="I149">
        <v>3.11</v>
      </c>
      <c r="J149">
        <v>0.8</v>
      </c>
      <c r="K149">
        <v>9.3000000000000007</v>
      </c>
      <c r="L149">
        <v>5</v>
      </c>
      <c r="M149" t="str">
        <f t="shared" si="16"/>
        <v>Medium</v>
      </c>
      <c r="N149">
        <f>(winequality_red[[#This Row],[Updated Quality &amp; Alcohol Analysis]]+winequality_red[[#This Row],[volatile acidity]]+winequality_red[[#This Row],[citric acid]])</f>
        <v>8.35</v>
      </c>
      <c r="O149">
        <f t="shared" si="17"/>
        <v>4.2150537634408604E-2</v>
      </c>
      <c r="S149" t="e">
        <f t="shared" si="18"/>
        <v>#N/A</v>
      </c>
      <c r="T149" t="e">
        <f t="shared" si="19"/>
        <v>#N/A</v>
      </c>
      <c r="U149">
        <f t="shared" si="20"/>
        <v>9.3000000000000007</v>
      </c>
      <c r="V149">
        <f t="shared" si="21"/>
        <v>5</v>
      </c>
      <c r="W149" t="e">
        <f t="shared" si="22"/>
        <v>#N/A</v>
      </c>
      <c r="X149" t="e">
        <f t="shared" si="23"/>
        <v>#N/A</v>
      </c>
    </row>
    <row r="150" spans="1:24" x14ac:dyDescent="0.3">
      <c r="A150">
        <v>6.9</v>
      </c>
      <c r="B150">
        <v>0.49</v>
      </c>
      <c r="C150">
        <v>0.1</v>
      </c>
      <c r="D150">
        <v>2.2999999999999998</v>
      </c>
      <c r="E150">
        <v>7.400000000000001E-2</v>
      </c>
      <c r="F150">
        <v>12</v>
      </c>
      <c r="G150">
        <v>30</v>
      </c>
      <c r="H150">
        <v>0.99590000000000001</v>
      </c>
      <c r="I150">
        <v>3.42</v>
      </c>
      <c r="J150">
        <v>0.57999999999999996</v>
      </c>
      <c r="K150">
        <v>10.199999999999999</v>
      </c>
      <c r="L150">
        <v>6</v>
      </c>
      <c r="M150" t="str">
        <f t="shared" si="16"/>
        <v>Medium</v>
      </c>
      <c r="N150">
        <f>(winequality_red[[#This Row],[Updated Quality &amp; Alcohol Analysis]]+winequality_red[[#This Row],[volatile acidity]]+winequality_red[[#This Row],[citric acid]])</f>
        <v>7.49</v>
      </c>
      <c r="O150">
        <f t="shared" si="17"/>
        <v>2.7862745098039213E-2</v>
      </c>
      <c r="S150" t="e">
        <f t="shared" si="18"/>
        <v>#N/A</v>
      </c>
      <c r="T150" t="e">
        <f t="shared" si="19"/>
        <v>#N/A</v>
      </c>
      <c r="U150">
        <f t="shared" si="20"/>
        <v>10.199999999999999</v>
      </c>
      <c r="V150">
        <f t="shared" si="21"/>
        <v>6</v>
      </c>
      <c r="W150" t="e">
        <f t="shared" si="22"/>
        <v>#N/A</v>
      </c>
      <c r="X150" t="e">
        <f t="shared" si="23"/>
        <v>#N/A</v>
      </c>
    </row>
    <row r="151" spans="1:24" x14ac:dyDescent="0.3">
      <c r="A151">
        <v>8.1999999999999993</v>
      </c>
      <c r="B151">
        <v>0.4</v>
      </c>
      <c r="C151">
        <v>0.44</v>
      </c>
      <c r="D151">
        <v>2.8</v>
      </c>
      <c r="E151">
        <v>8.900000000000001E-2</v>
      </c>
      <c r="F151">
        <v>11</v>
      </c>
      <c r="G151">
        <v>43</v>
      </c>
      <c r="H151">
        <v>0.99750000000000005</v>
      </c>
      <c r="I151">
        <v>3.53</v>
      </c>
      <c r="J151">
        <v>0.61</v>
      </c>
      <c r="K151">
        <v>10.5</v>
      </c>
      <c r="L151">
        <v>6</v>
      </c>
      <c r="M151" t="str">
        <f t="shared" si="16"/>
        <v>Medium</v>
      </c>
      <c r="N151">
        <f>(winequality_red[[#This Row],[Updated Quality &amp; Alcohol Analysis]]+winequality_red[[#This Row],[volatile acidity]]+winequality_red[[#This Row],[citric acid]])</f>
        <v>9.0399999999999991</v>
      </c>
      <c r="O151">
        <f t="shared" si="17"/>
        <v>2.3238095238095238E-2</v>
      </c>
      <c r="S151" t="e">
        <f t="shared" si="18"/>
        <v>#N/A</v>
      </c>
      <c r="T151" t="e">
        <f t="shared" si="19"/>
        <v>#N/A</v>
      </c>
      <c r="U151">
        <f t="shared" si="20"/>
        <v>10.5</v>
      </c>
      <c r="V151">
        <f t="shared" si="21"/>
        <v>6</v>
      </c>
      <c r="W151" t="e">
        <f t="shared" si="22"/>
        <v>#N/A</v>
      </c>
      <c r="X151" t="e">
        <f t="shared" si="23"/>
        <v>#N/A</v>
      </c>
    </row>
    <row r="152" spans="1:24" x14ac:dyDescent="0.3">
      <c r="A152">
        <v>7.3</v>
      </c>
      <c r="B152">
        <v>0.33</v>
      </c>
      <c r="C152">
        <v>0.47</v>
      </c>
      <c r="D152">
        <v>2.1</v>
      </c>
      <c r="E152">
        <v>7.6999999999999999E-2</v>
      </c>
      <c r="F152">
        <v>5</v>
      </c>
      <c r="G152">
        <v>11</v>
      </c>
      <c r="H152">
        <v>0.99580000000000002</v>
      </c>
      <c r="I152">
        <v>3.33</v>
      </c>
      <c r="J152">
        <v>0.53</v>
      </c>
      <c r="K152">
        <v>10.3</v>
      </c>
      <c r="L152">
        <v>6</v>
      </c>
      <c r="M152" t="str">
        <f t="shared" si="16"/>
        <v>Medium</v>
      </c>
      <c r="N152">
        <f>(winequality_red[[#This Row],[Updated Quality &amp; Alcohol Analysis]]+winequality_red[[#This Row],[volatile acidity]]+winequality_red[[#This Row],[citric acid]])</f>
        <v>8.1</v>
      </c>
      <c r="O152">
        <f t="shared" si="17"/>
        <v>1.6980582524271846E-2</v>
      </c>
      <c r="S152" t="e">
        <f t="shared" si="18"/>
        <v>#N/A</v>
      </c>
      <c r="T152" t="e">
        <f t="shared" si="19"/>
        <v>#N/A</v>
      </c>
      <c r="U152">
        <f t="shared" si="20"/>
        <v>10.3</v>
      </c>
      <c r="V152">
        <f t="shared" si="21"/>
        <v>6</v>
      </c>
      <c r="W152" t="e">
        <f t="shared" si="22"/>
        <v>#N/A</v>
      </c>
      <c r="X152" t="e">
        <f t="shared" si="23"/>
        <v>#N/A</v>
      </c>
    </row>
    <row r="153" spans="1:24" x14ac:dyDescent="0.3">
      <c r="A153">
        <v>9.1999999999999993</v>
      </c>
      <c r="B153">
        <v>0.52</v>
      </c>
      <c r="C153">
        <v>1</v>
      </c>
      <c r="D153">
        <v>3.4</v>
      </c>
      <c r="E153">
        <v>0.61</v>
      </c>
      <c r="F153">
        <v>32</v>
      </c>
      <c r="G153">
        <v>69</v>
      </c>
      <c r="H153">
        <v>0.99960000000000004</v>
      </c>
      <c r="I153">
        <v>2.74</v>
      </c>
      <c r="J153">
        <v>2</v>
      </c>
      <c r="K153">
        <v>9.4</v>
      </c>
      <c r="L153">
        <v>4</v>
      </c>
      <c r="M153" t="str">
        <f t="shared" si="16"/>
        <v>Low</v>
      </c>
      <c r="N153">
        <f>(winequality_red[[#This Row],[Updated Quality &amp; Alcohol Analysis]]+winequality_red[[#This Row],[volatile acidity]]+winequality_red[[#This Row],[citric acid]])</f>
        <v>10.719999999999999</v>
      </c>
      <c r="O153">
        <f t="shared" si="17"/>
        <v>0.11063829787234042</v>
      </c>
      <c r="S153">
        <f t="shared" si="18"/>
        <v>9.4</v>
      </c>
      <c r="T153">
        <f t="shared" si="19"/>
        <v>4</v>
      </c>
      <c r="U153" t="e">
        <f t="shared" si="20"/>
        <v>#N/A</v>
      </c>
      <c r="V153" t="e">
        <f t="shared" si="21"/>
        <v>#N/A</v>
      </c>
      <c r="W153" t="e">
        <f t="shared" si="22"/>
        <v>#N/A</v>
      </c>
      <c r="X153" t="e">
        <f t="shared" si="23"/>
        <v>#N/A</v>
      </c>
    </row>
    <row r="154" spans="1:24" x14ac:dyDescent="0.3">
      <c r="A154">
        <v>7.5</v>
      </c>
      <c r="B154">
        <v>0.6</v>
      </c>
      <c r="C154">
        <v>0.03</v>
      </c>
      <c r="D154">
        <v>1.8</v>
      </c>
      <c r="E154">
        <v>9.5000000000000001E-2</v>
      </c>
      <c r="F154">
        <v>25</v>
      </c>
      <c r="G154">
        <v>99</v>
      </c>
      <c r="H154">
        <v>0.995</v>
      </c>
      <c r="I154">
        <v>3.35</v>
      </c>
      <c r="J154">
        <v>0.54</v>
      </c>
      <c r="K154">
        <v>10.1</v>
      </c>
      <c r="L154">
        <v>5</v>
      </c>
      <c r="M154" t="str">
        <f t="shared" si="16"/>
        <v>Medium</v>
      </c>
      <c r="N154">
        <f>(winequality_red[[#This Row],[Updated Quality &amp; Alcohol Analysis]]+winequality_red[[#This Row],[volatile acidity]]+winequality_red[[#This Row],[citric acid]])</f>
        <v>8.129999999999999</v>
      </c>
      <c r="O154">
        <f t="shared" si="17"/>
        <v>3.207920792079208E-2</v>
      </c>
      <c r="S154" t="e">
        <f t="shared" si="18"/>
        <v>#N/A</v>
      </c>
      <c r="T154" t="e">
        <f t="shared" si="19"/>
        <v>#N/A</v>
      </c>
      <c r="U154">
        <f t="shared" si="20"/>
        <v>10.1</v>
      </c>
      <c r="V154">
        <f t="shared" si="21"/>
        <v>5</v>
      </c>
      <c r="W154" t="e">
        <f t="shared" si="22"/>
        <v>#N/A</v>
      </c>
      <c r="X154" t="e">
        <f t="shared" si="23"/>
        <v>#N/A</v>
      </c>
    </row>
    <row r="155" spans="1:24" x14ac:dyDescent="0.3">
      <c r="A155">
        <v>7.5</v>
      </c>
      <c r="B155">
        <v>0.6</v>
      </c>
      <c r="C155">
        <v>0.03</v>
      </c>
      <c r="D155">
        <v>1.8</v>
      </c>
      <c r="E155">
        <v>9.5000000000000001E-2</v>
      </c>
      <c r="F155">
        <v>25</v>
      </c>
      <c r="G155">
        <v>99</v>
      </c>
      <c r="H155">
        <v>0.995</v>
      </c>
      <c r="I155">
        <v>3.35</v>
      </c>
      <c r="J155">
        <v>0.54</v>
      </c>
      <c r="K155">
        <v>10.1</v>
      </c>
      <c r="L155">
        <v>5</v>
      </c>
      <c r="M155" t="str">
        <f t="shared" si="16"/>
        <v>Medium</v>
      </c>
      <c r="N155">
        <f>(winequality_red[[#This Row],[Updated Quality &amp; Alcohol Analysis]]+winequality_red[[#This Row],[volatile acidity]]+winequality_red[[#This Row],[citric acid]])</f>
        <v>8.129999999999999</v>
      </c>
      <c r="O155">
        <f t="shared" si="17"/>
        <v>3.207920792079208E-2</v>
      </c>
      <c r="S155" t="e">
        <f t="shared" si="18"/>
        <v>#N/A</v>
      </c>
      <c r="T155" t="e">
        <f t="shared" si="19"/>
        <v>#N/A</v>
      </c>
      <c r="U155">
        <f t="shared" si="20"/>
        <v>10.1</v>
      </c>
      <c r="V155">
        <f t="shared" si="21"/>
        <v>5</v>
      </c>
      <c r="W155" t="e">
        <f t="shared" si="22"/>
        <v>#N/A</v>
      </c>
      <c r="X155" t="e">
        <f t="shared" si="23"/>
        <v>#N/A</v>
      </c>
    </row>
    <row r="156" spans="1:24" x14ac:dyDescent="0.3">
      <c r="A156">
        <v>7.1</v>
      </c>
      <c r="B156">
        <v>0.43</v>
      </c>
      <c r="C156">
        <v>0.42</v>
      </c>
      <c r="D156">
        <v>5.5</v>
      </c>
      <c r="E156">
        <v>7.0000000000000007E-2</v>
      </c>
      <c r="F156">
        <v>29</v>
      </c>
      <c r="G156">
        <v>129</v>
      </c>
      <c r="H156">
        <v>0.99729999999999996</v>
      </c>
      <c r="I156">
        <v>3.42</v>
      </c>
      <c r="J156">
        <v>0.72</v>
      </c>
      <c r="K156">
        <v>10.5</v>
      </c>
      <c r="L156">
        <v>5</v>
      </c>
      <c r="M156" t="str">
        <f t="shared" si="16"/>
        <v>Medium</v>
      </c>
      <c r="N156">
        <f>(winequality_red[[#This Row],[Updated Quality &amp; Alcohol Analysis]]+winequality_red[[#This Row],[volatile acidity]]+winequality_red[[#This Row],[citric acid]])</f>
        <v>7.9499999999999993</v>
      </c>
      <c r="O156">
        <f t="shared" si="17"/>
        <v>2.9485714285714285E-2</v>
      </c>
      <c r="S156" t="e">
        <f t="shared" si="18"/>
        <v>#N/A</v>
      </c>
      <c r="T156" t="e">
        <f t="shared" si="19"/>
        <v>#N/A</v>
      </c>
      <c r="U156">
        <f t="shared" si="20"/>
        <v>10.5</v>
      </c>
      <c r="V156">
        <f t="shared" si="21"/>
        <v>5</v>
      </c>
      <c r="W156" t="e">
        <f t="shared" si="22"/>
        <v>#N/A</v>
      </c>
      <c r="X156" t="e">
        <f t="shared" si="23"/>
        <v>#N/A</v>
      </c>
    </row>
    <row r="157" spans="1:24" x14ac:dyDescent="0.3">
      <c r="A157">
        <v>7.1</v>
      </c>
      <c r="B157">
        <v>0.43</v>
      </c>
      <c r="C157">
        <v>0.42</v>
      </c>
      <c r="D157">
        <v>5.5</v>
      </c>
      <c r="E157">
        <v>7.0999999999999994E-2</v>
      </c>
      <c r="F157">
        <v>28</v>
      </c>
      <c r="G157">
        <v>128</v>
      </c>
      <c r="H157">
        <v>0.99729999999999996</v>
      </c>
      <c r="I157">
        <v>3.42</v>
      </c>
      <c r="J157">
        <v>0.71</v>
      </c>
      <c r="K157">
        <v>10.5</v>
      </c>
      <c r="L157">
        <v>5</v>
      </c>
      <c r="M157" t="str">
        <f t="shared" si="16"/>
        <v>Medium</v>
      </c>
      <c r="N157">
        <f>(winequality_red[[#This Row],[Updated Quality &amp; Alcohol Analysis]]+winequality_red[[#This Row],[volatile acidity]]+winequality_red[[#This Row],[citric acid]])</f>
        <v>7.9499999999999993</v>
      </c>
      <c r="O157">
        <f t="shared" si="17"/>
        <v>2.9076190476190471E-2</v>
      </c>
      <c r="S157" t="e">
        <f t="shared" si="18"/>
        <v>#N/A</v>
      </c>
      <c r="T157" t="e">
        <f t="shared" si="19"/>
        <v>#N/A</v>
      </c>
      <c r="U157">
        <f t="shared" si="20"/>
        <v>10.5</v>
      </c>
      <c r="V157">
        <f t="shared" si="21"/>
        <v>5</v>
      </c>
      <c r="W157" t="e">
        <f t="shared" si="22"/>
        <v>#N/A</v>
      </c>
      <c r="X157" t="e">
        <f t="shared" si="23"/>
        <v>#N/A</v>
      </c>
    </row>
    <row r="158" spans="1:24" x14ac:dyDescent="0.3">
      <c r="A158">
        <v>7.1</v>
      </c>
      <c r="B158">
        <v>0.43</v>
      </c>
      <c r="C158">
        <v>0.42</v>
      </c>
      <c r="D158">
        <v>5.5</v>
      </c>
      <c r="E158">
        <v>7.0000000000000007E-2</v>
      </c>
      <c r="F158">
        <v>29</v>
      </c>
      <c r="G158">
        <v>129</v>
      </c>
      <c r="H158">
        <v>0.99729999999999996</v>
      </c>
      <c r="I158">
        <v>3.42</v>
      </c>
      <c r="J158">
        <v>0.72</v>
      </c>
      <c r="K158">
        <v>10.5</v>
      </c>
      <c r="L158">
        <v>5</v>
      </c>
      <c r="M158" t="str">
        <f t="shared" si="16"/>
        <v>Medium</v>
      </c>
      <c r="N158">
        <f>(winequality_red[[#This Row],[Updated Quality &amp; Alcohol Analysis]]+winequality_red[[#This Row],[volatile acidity]]+winequality_red[[#This Row],[citric acid]])</f>
        <v>7.9499999999999993</v>
      </c>
      <c r="O158">
        <f t="shared" si="17"/>
        <v>2.9485714285714285E-2</v>
      </c>
      <c r="S158" t="e">
        <f t="shared" si="18"/>
        <v>#N/A</v>
      </c>
      <c r="T158" t="e">
        <f t="shared" si="19"/>
        <v>#N/A</v>
      </c>
      <c r="U158">
        <f t="shared" si="20"/>
        <v>10.5</v>
      </c>
      <c r="V158">
        <f t="shared" si="21"/>
        <v>5</v>
      </c>
      <c r="W158" t="e">
        <f t="shared" si="22"/>
        <v>#N/A</v>
      </c>
      <c r="X158" t="e">
        <f t="shared" si="23"/>
        <v>#N/A</v>
      </c>
    </row>
    <row r="159" spans="1:24" x14ac:dyDescent="0.3">
      <c r="A159">
        <v>7.1</v>
      </c>
      <c r="B159">
        <v>0.43</v>
      </c>
      <c r="C159">
        <v>0.42</v>
      </c>
      <c r="D159">
        <v>5.5</v>
      </c>
      <c r="E159">
        <v>7.0999999999999994E-2</v>
      </c>
      <c r="F159">
        <v>28</v>
      </c>
      <c r="G159">
        <v>128</v>
      </c>
      <c r="H159">
        <v>0.99729999999999996</v>
      </c>
      <c r="I159">
        <v>3.42</v>
      </c>
      <c r="J159">
        <v>0.71</v>
      </c>
      <c r="K159">
        <v>10.5</v>
      </c>
      <c r="L159">
        <v>5</v>
      </c>
      <c r="M159" t="str">
        <f t="shared" si="16"/>
        <v>Medium</v>
      </c>
      <c r="N159">
        <f>(winequality_red[[#This Row],[Updated Quality &amp; Alcohol Analysis]]+winequality_red[[#This Row],[volatile acidity]]+winequality_red[[#This Row],[citric acid]])</f>
        <v>7.9499999999999993</v>
      </c>
      <c r="O159">
        <f t="shared" si="17"/>
        <v>2.9076190476190471E-2</v>
      </c>
      <c r="S159" t="e">
        <f t="shared" si="18"/>
        <v>#N/A</v>
      </c>
      <c r="T159" t="e">
        <f t="shared" si="19"/>
        <v>#N/A</v>
      </c>
      <c r="U159">
        <f t="shared" si="20"/>
        <v>10.5</v>
      </c>
      <c r="V159">
        <f t="shared" si="21"/>
        <v>5</v>
      </c>
      <c r="W159" t="e">
        <f t="shared" si="22"/>
        <v>#N/A</v>
      </c>
      <c r="X159" t="e">
        <f t="shared" si="23"/>
        <v>#N/A</v>
      </c>
    </row>
    <row r="160" spans="1:24" x14ac:dyDescent="0.3">
      <c r="A160">
        <v>7.1</v>
      </c>
      <c r="B160">
        <v>0.68</v>
      </c>
      <c r="C160">
        <v>0</v>
      </c>
      <c r="D160">
        <v>2.2000000000000002</v>
      </c>
      <c r="E160">
        <v>7.2999999999999995E-2</v>
      </c>
      <c r="F160">
        <v>12</v>
      </c>
      <c r="G160">
        <v>22</v>
      </c>
      <c r="H160">
        <v>0.99690000000000001</v>
      </c>
      <c r="I160">
        <v>3.48</v>
      </c>
      <c r="J160">
        <v>0.5</v>
      </c>
      <c r="K160">
        <v>9.3000000000000007</v>
      </c>
      <c r="L160">
        <v>5</v>
      </c>
      <c r="M160" t="str">
        <f t="shared" si="16"/>
        <v>Medium</v>
      </c>
      <c r="N160">
        <f>(winequality_red[[#This Row],[Updated Quality &amp; Alcohol Analysis]]+winequality_red[[#This Row],[volatile acidity]]+winequality_red[[#This Row],[citric acid]])</f>
        <v>7.7799999999999994</v>
      </c>
      <c r="O160">
        <f t="shared" si="17"/>
        <v>3.6559139784946237E-2</v>
      </c>
      <c r="S160" t="e">
        <f t="shared" si="18"/>
        <v>#N/A</v>
      </c>
      <c r="T160" t="e">
        <f t="shared" si="19"/>
        <v>#N/A</v>
      </c>
      <c r="U160">
        <f t="shared" si="20"/>
        <v>9.3000000000000007</v>
      </c>
      <c r="V160">
        <f t="shared" si="21"/>
        <v>5</v>
      </c>
      <c r="W160" t="e">
        <f t="shared" si="22"/>
        <v>#N/A</v>
      </c>
      <c r="X160" t="e">
        <f t="shared" si="23"/>
        <v>#N/A</v>
      </c>
    </row>
    <row r="161" spans="1:24" x14ac:dyDescent="0.3">
      <c r="A161">
        <v>6.8</v>
      </c>
      <c r="B161">
        <v>0.6</v>
      </c>
      <c r="C161">
        <v>0.18</v>
      </c>
      <c r="D161">
        <v>1.9</v>
      </c>
      <c r="E161">
        <v>7.9000000000000001E-2</v>
      </c>
      <c r="F161">
        <v>18</v>
      </c>
      <c r="G161">
        <v>86</v>
      </c>
      <c r="H161">
        <v>0.99680000000000002</v>
      </c>
      <c r="I161">
        <v>3.59</v>
      </c>
      <c r="J161">
        <v>0.56999999999999995</v>
      </c>
      <c r="K161">
        <v>9.3000000000000007</v>
      </c>
      <c r="L161">
        <v>6</v>
      </c>
      <c r="M161" t="str">
        <f t="shared" si="16"/>
        <v>Medium</v>
      </c>
      <c r="N161">
        <f>(winequality_red[[#This Row],[Updated Quality &amp; Alcohol Analysis]]+winequality_red[[#This Row],[volatile acidity]]+winequality_red[[#This Row],[citric acid]])</f>
        <v>7.5799999999999992</v>
      </c>
      <c r="O161">
        <f t="shared" si="17"/>
        <v>3.6774193548387089E-2</v>
      </c>
      <c r="S161" t="e">
        <f t="shared" si="18"/>
        <v>#N/A</v>
      </c>
      <c r="T161" t="e">
        <f t="shared" si="19"/>
        <v>#N/A</v>
      </c>
      <c r="U161">
        <f t="shared" si="20"/>
        <v>9.3000000000000007</v>
      </c>
      <c r="V161">
        <f t="shared" si="21"/>
        <v>6</v>
      </c>
      <c r="W161" t="e">
        <f t="shared" si="22"/>
        <v>#N/A</v>
      </c>
      <c r="X161" t="e">
        <f t="shared" si="23"/>
        <v>#N/A</v>
      </c>
    </row>
    <row r="162" spans="1:24" x14ac:dyDescent="0.3">
      <c r="A162">
        <v>7.6</v>
      </c>
      <c r="B162">
        <v>0.95</v>
      </c>
      <c r="C162">
        <v>0.03</v>
      </c>
      <c r="D162">
        <v>2</v>
      </c>
      <c r="E162">
        <v>0.09</v>
      </c>
      <c r="F162">
        <v>7</v>
      </c>
      <c r="G162">
        <v>20</v>
      </c>
      <c r="H162">
        <v>0.99590000000000001</v>
      </c>
      <c r="I162">
        <v>3.2</v>
      </c>
      <c r="J162">
        <v>0.56000000000000005</v>
      </c>
      <c r="K162">
        <v>9.6</v>
      </c>
      <c r="L162">
        <v>5</v>
      </c>
      <c r="M162" t="str">
        <f t="shared" si="16"/>
        <v>Medium</v>
      </c>
      <c r="N162">
        <f>(winequality_red[[#This Row],[Updated Quality &amp; Alcohol Analysis]]+winequality_red[[#This Row],[volatile acidity]]+winequality_red[[#This Row],[citric acid]])</f>
        <v>8.5799999999999983</v>
      </c>
      <c r="O162">
        <f t="shared" si="17"/>
        <v>5.541666666666667E-2</v>
      </c>
      <c r="S162" t="e">
        <f t="shared" si="18"/>
        <v>#N/A</v>
      </c>
      <c r="T162" t="e">
        <f t="shared" si="19"/>
        <v>#N/A</v>
      </c>
      <c r="U162">
        <f t="shared" si="20"/>
        <v>9.6</v>
      </c>
      <c r="V162">
        <f t="shared" si="21"/>
        <v>5</v>
      </c>
      <c r="W162" t="e">
        <f t="shared" si="22"/>
        <v>#N/A</v>
      </c>
      <c r="X162" t="e">
        <f t="shared" si="23"/>
        <v>#N/A</v>
      </c>
    </row>
    <row r="163" spans="1:24" x14ac:dyDescent="0.3">
      <c r="A163">
        <v>7.6</v>
      </c>
      <c r="B163">
        <v>0.68</v>
      </c>
      <c r="C163">
        <v>0.02</v>
      </c>
      <c r="D163">
        <v>1.3</v>
      </c>
      <c r="E163">
        <v>7.2000000000000008E-2</v>
      </c>
      <c r="F163">
        <v>9</v>
      </c>
      <c r="G163">
        <v>20</v>
      </c>
      <c r="H163">
        <v>0.99650000000000005</v>
      </c>
      <c r="I163">
        <v>3.17</v>
      </c>
      <c r="J163">
        <v>1.08</v>
      </c>
      <c r="K163">
        <v>9.1999999999999993</v>
      </c>
      <c r="L163">
        <v>4</v>
      </c>
      <c r="M163" t="str">
        <f t="shared" si="16"/>
        <v>Low</v>
      </c>
      <c r="N163">
        <f>(winequality_red[[#This Row],[Updated Quality &amp; Alcohol Analysis]]+winequality_red[[#This Row],[volatile acidity]]+winequality_red[[#This Row],[citric acid]])</f>
        <v>8.2999999999999989</v>
      </c>
      <c r="O163">
        <f t="shared" si="17"/>
        <v>7.9826086956521755E-2</v>
      </c>
      <c r="S163">
        <f t="shared" si="18"/>
        <v>9.1999999999999993</v>
      </c>
      <c r="T163">
        <f t="shared" si="19"/>
        <v>4</v>
      </c>
      <c r="U163" t="e">
        <f t="shared" si="20"/>
        <v>#N/A</v>
      </c>
      <c r="V163" t="e">
        <f t="shared" si="21"/>
        <v>#N/A</v>
      </c>
      <c r="W163" t="e">
        <f t="shared" si="22"/>
        <v>#N/A</v>
      </c>
      <c r="X163" t="e">
        <f t="shared" si="23"/>
        <v>#N/A</v>
      </c>
    </row>
    <row r="164" spans="1:24" x14ac:dyDescent="0.3">
      <c r="A164">
        <v>7.8</v>
      </c>
      <c r="B164">
        <v>0.53</v>
      </c>
      <c r="C164">
        <v>0.04</v>
      </c>
      <c r="D164">
        <v>1.7</v>
      </c>
      <c r="E164">
        <v>7.5999999999999998E-2</v>
      </c>
      <c r="F164">
        <v>17</v>
      </c>
      <c r="G164">
        <v>31</v>
      </c>
      <c r="H164">
        <v>0.99639999999999995</v>
      </c>
      <c r="I164">
        <v>3.33</v>
      </c>
      <c r="J164">
        <v>0.56000000000000005</v>
      </c>
      <c r="K164">
        <v>10</v>
      </c>
      <c r="L164">
        <v>6</v>
      </c>
      <c r="M164" t="str">
        <f t="shared" si="16"/>
        <v>Medium</v>
      </c>
      <c r="N164">
        <f>(winequality_red[[#This Row],[Updated Quality &amp; Alcohol Analysis]]+winequality_red[[#This Row],[volatile acidity]]+winequality_red[[#This Row],[citric acid]])</f>
        <v>8.3699999999999992</v>
      </c>
      <c r="O164">
        <f t="shared" si="17"/>
        <v>2.9680000000000005E-2</v>
      </c>
      <c r="S164" t="e">
        <f t="shared" si="18"/>
        <v>#N/A</v>
      </c>
      <c r="T164" t="e">
        <f t="shared" si="19"/>
        <v>#N/A</v>
      </c>
      <c r="U164">
        <f t="shared" si="20"/>
        <v>10</v>
      </c>
      <c r="V164">
        <f t="shared" si="21"/>
        <v>6</v>
      </c>
      <c r="W164" t="e">
        <f t="shared" si="22"/>
        <v>#N/A</v>
      </c>
      <c r="X164" t="e">
        <f t="shared" si="23"/>
        <v>#N/A</v>
      </c>
    </row>
    <row r="165" spans="1:24" x14ac:dyDescent="0.3">
      <c r="A165">
        <v>7.4</v>
      </c>
      <c r="B165">
        <v>0.6</v>
      </c>
      <c r="C165">
        <v>0.26</v>
      </c>
      <c r="D165">
        <v>7.3</v>
      </c>
      <c r="E165">
        <v>7.0000000000000007E-2</v>
      </c>
      <c r="F165">
        <v>36</v>
      </c>
      <c r="G165">
        <v>121</v>
      </c>
      <c r="H165">
        <v>0.99819999999999998</v>
      </c>
      <c r="I165">
        <v>3.37</v>
      </c>
      <c r="J165">
        <v>0.49</v>
      </c>
      <c r="K165">
        <v>9.4</v>
      </c>
      <c r="L165">
        <v>5</v>
      </c>
      <c r="M165" t="str">
        <f t="shared" si="16"/>
        <v>Medium</v>
      </c>
      <c r="N165">
        <f>(winequality_red[[#This Row],[Updated Quality &amp; Alcohol Analysis]]+winequality_red[[#This Row],[volatile acidity]]+winequality_red[[#This Row],[citric acid]])</f>
        <v>8.26</v>
      </c>
      <c r="O165">
        <f t="shared" si="17"/>
        <v>3.1276595744680849E-2</v>
      </c>
      <c r="S165" t="e">
        <f t="shared" si="18"/>
        <v>#N/A</v>
      </c>
      <c r="T165" t="e">
        <f t="shared" si="19"/>
        <v>#N/A</v>
      </c>
      <c r="U165">
        <f t="shared" si="20"/>
        <v>9.4</v>
      </c>
      <c r="V165">
        <f t="shared" si="21"/>
        <v>5</v>
      </c>
      <c r="W165" t="e">
        <f t="shared" si="22"/>
        <v>#N/A</v>
      </c>
      <c r="X165" t="e">
        <f t="shared" si="23"/>
        <v>#N/A</v>
      </c>
    </row>
    <row r="166" spans="1:24" x14ac:dyDescent="0.3">
      <c r="A166">
        <v>7.3</v>
      </c>
      <c r="B166">
        <v>0.59</v>
      </c>
      <c r="C166">
        <v>0.26</v>
      </c>
      <c r="D166">
        <v>7.2</v>
      </c>
      <c r="E166">
        <v>7.0000000000000007E-2</v>
      </c>
      <c r="F166">
        <v>35</v>
      </c>
      <c r="G166">
        <v>121</v>
      </c>
      <c r="H166">
        <v>0.99809999999999999</v>
      </c>
      <c r="I166">
        <v>3.37</v>
      </c>
      <c r="J166">
        <v>0.49</v>
      </c>
      <c r="K166">
        <v>9.4</v>
      </c>
      <c r="L166">
        <v>5</v>
      </c>
      <c r="M166" t="str">
        <f t="shared" si="16"/>
        <v>Medium</v>
      </c>
      <c r="N166">
        <f>(winequality_red[[#This Row],[Updated Quality &amp; Alcohol Analysis]]+winequality_red[[#This Row],[volatile acidity]]+winequality_red[[#This Row],[citric acid]])</f>
        <v>8.15</v>
      </c>
      <c r="O166">
        <f t="shared" si="17"/>
        <v>3.0755319148936165E-2</v>
      </c>
      <c r="S166" t="e">
        <f t="shared" si="18"/>
        <v>#N/A</v>
      </c>
      <c r="T166" t="e">
        <f t="shared" si="19"/>
        <v>#N/A</v>
      </c>
      <c r="U166">
        <f t="shared" si="20"/>
        <v>9.4</v>
      </c>
      <c r="V166">
        <f t="shared" si="21"/>
        <v>5</v>
      </c>
      <c r="W166" t="e">
        <f t="shared" si="22"/>
        <v>#N/A</v>
      </c>
      <c r="X166" t="e">
        <f t="shared" si="23"/>
        <v>#N/A</v>
      </c>
    </row>
    <row r="167" spans="1:24" x14ac:dyDescent="0.3">
      <c r="A167">
        <v>7.8</v>
      </c>
      <c r="B167">
        <v>0.63</v>
      </c>
      <c r="C167">
        <v>0.48</v>
      </c>
      <c r="D167">
        <v>1.7</v>
      </c>
      <c r="E167">
        <v>0.1</v>
      </c>
      <c r="F167">
        <v>14</v>
      </c>
      <c r="G167">
        <v>96</v>
      </c>
      <c r="H167">
        <v>0.99609999999999999</v>
      </c>
      <c r="I167">
        <v>3.19</v>
      </c>
      <c r="J167">
        <v>0.62</v>
      </c>
      <c r="K167">
        <v>9.5</v>
      </c>
      <c r="L167">
        <v>5</v>
      </c>
      <c r="M167" t="str">
        <f t="shared" si="16"/>
        <v>Medium</v>
      </c>
      <c r="N167">
        <f>(winequality_red[[#This Row],[Updated Quality &amp; Alcohol Analysis]]+winequality_red[[#This Row],[volatile acidity]]+winequality_red[[#This Row],[citric acid]])</f>
        <v>8.91</v>
      </c>
      <c r="O167">
        <f t="shared" si="17"/>
        <v>4.111578947368421E-2</v>
      </c>
      <c r="S167" t="e">
        <f t="shared" si="18"/>
        <v>#N/A</v>
      </c>
      <c r="T167" t="e">
        <f t="shared" si="19"/>
        <v>#N/A</v>
      </c>
      <c r="U167">
        <f t="shared" si="20"/>
        <v>9.5</v>
      </c>
      <c r="V167">
        <f t="shared" si="21"/>
        <v>5</v>
      </c>
      <c r="W167" t="e">
        <f t="shared" si="22"/>
        <v>#N/A</v>
      </c>
      <c r="X167" t="e">
        <f t="shared" si="23"/>
        <v>#N/A</v>
      </c>
    </row>
    <row r="168" spans="1:24" x14ac:dyDescent="0.3">
      <c r="A168">
        <v>6.8</v>
      </c>
      <c r="B168">
        <v>0.64</v>
      </c>
      <c r="C168">
        <v>0.1</v>
      </c>
      <c r="D168">
        <v>2.1</v>
      </c>
      <c r="E168">
        <v>8.5000000000000006E-2</v>
      </c>
      <c r="F168">
        <v>18</v>
      </c>
      <c r="G168">
        <v>101</v>
      </c>
      <c r="H168">
        <v>0.99560000000000004</v>
      </c>
      <c r="I168">
        <v>3.34</v>
      </c>
      <c r="J168">
        <v>0.52</v>
      </c>
      <c r="K168">
        <v>10.199999999999999</v>
      </c>
      <c r="L168">
        <v>5</v>
      </c>
      <c r="M168" t="str">
        <f t="shared" si="16"/>
        <v>Medium</v>
      </c>
      <c r="N168">
        <f>(winequality_red[[#This Row],[Updated Quality &amp; Alcohol Analysis]]+winequality_red[[#This Row],[volatile acidity]]+winequality_red[[#This Row],[citric acid]])</f>
        <v>7.5399999999999991</v>
      </c>
      <c r="O168">
        <f t="shared" si="17"/>
        <v>3.2627450980392166E-2</v>
      </c>
      <c r="S168" t="e">
        <f t="shared" si="18"/>
        <v>#N/A</v>
      </c>
      <c r="T168" t="e">
        <f t="shared" si="19"/>
        <v>#N/A</v>
      </c>
      <c r="U168">
        <f t="shared" si="20"/>
        <v>10.199999999999999</v>
      </c>
      <c r="V168">
        <f t="shared" si="21"/>
        <v>5</v>
      </c>
      <c r="W168" t="e">
        <f t="shared" si="22"/>
        <v>#N/A</v>
      </c>
      <c r="X168" t="e">
        <f t="shared" si="23"/>
        <v>#N/A</v>
      </c>
    </row>
    <row r="169" spans="1:24" x14ac:dyDescent="0.3">
      <c r="A169">
        <v>7.3</v>
      </c>
      <c r="B169">
        <v>0.55000000000000004</v>
      </c>
      <c r="C169">
        <v>0.03</v>
      </c>
      <c r="D169">
        <v>1.6</v>
      </c>
      <c r="E169">
        <v>7.2000000000000008E-2</v>
      </c>
      <c r="F169">
        <v>17</v>
      </c>
      <c r="G169">
        <v>42</v>
      </c>
      <c r="H169">
        <v>0.99560000000000004</v>
      </c>
      <c r="I169">
        <v>3.37</v>
      </c>
      <c r="J169">
        <v>0.48</v>
      </c>
      <c r="K169">
        <v>9</v>
      </c>
      <c r="L169">
        <v>4</v>
      </c>
      <c r="M169" t="str">
        <f t="shared" si="16"/>
        <v>Low</v>
      </c>
      <c r="N169">
        <f>(winequality_red[[#This Row],[Updated Quality &amp; Alcohol Analysis]]+winequality_red[[#This Row],[volatile acidity]]+winequality_red[[#This Row],[citric acid]])</f>
        <v>7.88</v>
      </c>
      <c r="O169">
        <f t="shared" si="17"/>
        <v>2.9333333333333336E-2</v>
      </c>
      <c r="S169">
        <f t="shared" si="18"/>
        <v>9</v>
      </c>
      <c r="T169">
        <f t="shared" si="19"/>
        <v>4</v>
      </c>
      <c r="U169" t="e">
        <f t="shared" si="20"/>
        <v>#N/A</v>
      </c>
      <c r="V169" t="e">
        <f t="shared" si="21"/>
        <v>#N/A</v>
      </c>
      <c r="W169" t="e">
        <f t="shared" si="22"/>
        <v>#N/A</v>
      </c>
      <c r="X169" t="e">
        <f t="shared" si="23"/>
        <v>#N/A</v>
      </c>
    </row>
    <row r="170" spans="1:24" x14ac:dyDescent="0.3">
      <c r="A170">
        <v>6.8</v>
      </c>
      <c r="B170">
        <v>0.63</v>
      </c>
      <c r="C170">
        <v>7.0000000000000007E-2</v>
      </c>
      <c r="D170">
        <v>2.1</v>
      </c>
      <c r="E170">
        <v>8.900000000000001E-2</v>
      </c>
      <c r="F170">
        <v>11</v>
      </c>
      <c r="G170">
        <v>44</v>
      </c>
      <c r="H170">
        <v>0.99529999999999996</v>
      </c>
      <c r="I170">
        <v>3.47</v>
      </c>
      <c r="J170">
        <v>0.55000000000000004</v>
      </c>
      <c r="K170">
        <v>10.4</v>
      </c>
      <c r="L170">
        <v>6</v>
      </c>
      <c r="M170" t="str">
        <f t="shared" si="16"/>
        <v>Medium</v>
      </c>
      <c r="N170">
        <f>(winequality_red[[#This Row],[Updated Quality &amp; Alcohol Analysis]]+winequality_red[[#This Row],[volatile acidity]]+winequality_red[[#This Row],[citric acid]])</f>
        <v>7.5</v>
      </c>
      <c r="O170">
        <f t="shared" si="17"/>
        <v>3.3317307692307695E-2</v>
      </c>
      <c r="S170" t="e">
        <f t="shared" si="18"/>
        <v>#N/A</v>
      </c>
      <c r="T170" t="e">
        <f t="shared" si="19"/>
        <v>#N/A</v>
      </c>
      <c r="U170">
        <f t="shared" si="20"/>
        <v>10.4</v>
      </c>
      <c r="V170">
        <f t="shared" si="21"/>
        <v>6</v>
      </c>
      <c r="W170" t="e">
        <f t="shared" si="22"/>
        <v>#N/A</v>
      </c>
      <c r="X170" t="e">
        <f t="shared" si="23"/>
        <v>#N/A</v>
      </c>
    </row>
    <row r="171" spans="1:24" x14ac:dyDescent="0.3">
      <c r="A171">
        <v>7.5</v>
      </c>
      <c r="B171">
        <v>0.70499999999999996</v>
      </c>
      <c r="C171">
        <v>0.24</v>
      </c>
      <c r="D171">
        <v>1.8</v>
      </c>
      <c r="E171">
        <v>0.36</v>
      </c>
      <c r="F171">
        <v>15</v>
      </c>
      <c r="G171">
        <v>63</v>
      </c>
      <c r="H171">
        <v>0.99639999999999995</v>
      </c>
      <c r="I171">
        <v>3</v>
      </c>
      <c r="J171">
        <v>1.59</v>
      </c>
      <c r="K171">
        <v>9.5</v>
      </c>
      <c r="L171">
        <v>5</v>
      </c>
      <c r="M171" t="str">
        <f t="shared" si="16"/>
        <v>Medium</v>
      </c>
      <c r="N171">
        <f>(winequality_red[[#This Row],[Updated Quality &amp; Alcohol Analysis]]+winequality_red[[#This Row],[volatile acidity]]+winequality_red[[#This Row],[citric acid]])</f>
        <v>8.4450000000000003</v>
      </c>
      <c r="O171">
        <f t="shared" si="17"/>
        <v>0.11799473684210525</v>
      </c>
      <c r="S171" t="e">
        <f t="shared" si="18"/>
        <v>#N/A</v>
      </c>
      <c r="T171" t="e">
        <f t="shared" si="19"/>
        <v>#N/A</v>
      </c>
      <c r="U171">
        <f t="shared" si="20"/>
        <v>9.5</v>
      </c>
      <c r="V171">
        <f t="shared" si="21"/>
        <v>5</v>
      </c>
      <c r="W171" t="e">
        <f t="shared" si="22"/>
        <v>#N/A</v>
      </c>
      <c r="X171" t="e">
        <f t="shared" si="23"/>
        <v>#N/A</v>
      </c>
    </row>
    <row r="172" spans="1:24" x14ac:dyDescent="0.3">
      <c r="A172">
        <v>7.9</v>
      </c>
      <c r="B172">
        <v>0.88500000000000001</v>
      </c>
      <c r="C172">
        <v>0.03</v>
      </c>
      <c r="D172">
        <v>1.8</v>
      </c>
      <c r="E172">
        <v>5.7999999999999996E-2</v>
      </c>
      <c r="F172">
        <v>4</v>
      </c>
      <c r="G172">
        <v>8</v>
      </c>
      <c r="H172">
        <v>0.99719999999999998</v>
      </c>
      <c r="I172">
        <v>3.36</v>
      </c>
      <c r="J172">
        <v>0.33</v>
      </c>
      <c r="K172">
        <v>9.1</v>
      </c>
      <c r="L172">
        <v>4</v>
      </c>
      <c r="M172" t="str">
        <f t="shared" si="16"/>
        <v>Low</v>
      </c>
      <c r="N172">
        <f>(winequality_red[[#This Row],[Updated Quality &amp; Alcohol Analysis]]+winequality_red[[#This Row],[volatile acidity]]+winequality_red[[#This Row],[citric acid]])</f>
        <v>8.8149999999999995</v>
      </c>
      <c r="O172">
        <f t="shared" si="17"/>
        <v>3.20934065934066E-2</v>
      </c>
      <c r="S172">
        <f t="shared" si="18"/>
        <v>9.1</v>
      </c>
      <c r="T172">
        <f t="shared" si="19"/>
        <v>4</v>
      </c>
      <c r="U172" t="e">
        <f t="shared" si="20"/>
        <v>#N/A</v>
      </c>
      <c r="V172" t="e">
        <f t="shared" si="21"/>
        <v>#N/A</v>
      </c>
      <c r="W172" t="e">
        <f t="shared" si="22"/>
        <v>#N/A</v>
      </c>
      <c r="X172" t="e">
        <f t="shared" si="23"/>
        <v>#N/A</v>
      </c>
    </row>
    <row r="173" spans="1:24" x14ac:dyDescent="0.3">
      <c r="A173">
        <v>8</v>
      </c>
      <c r="B173">
        <v>0.42</v>
      </c>
      <c r="C173">
        <v>0.17</v>
      </c>
      <c r="D173">
        <v>2</v>
      </c>
      <c r="E173">
        <v>7.2999999999999995E-2</v>
      </c>
      <c r="F173">
        <v>6</v>
      </c>
      <c r="G173">
        <v>18</v>
      </c>
      <c r="H173">
        <v>0.99719999999999998</v>
      </c>
      <c r="I173">
        <v>3.29</v>
      </c>
      <c r="J173">
        <v>0.61</v>
      </c>
      <c r="K173">
        <v>9.1999999999999993</v>
      </c>
      <c r="L173">
        <v>6</v>
      </c>
      <c r="M173" t="str">
        <f t="shared" si="16"/>
        <v>Medium</v>
      </c>
      <c r="N173">
        <f>(winequality_red[[#This Row],[Updated Quality &amp; Alcohol Analysis]]+winequality_red[[#This Row],[volatile acidity]]+winequality_red[[#This Row],[citric acid]])</f>
        <v>8.59</v>
      </c>
      <c r="O173">
        <f t="shared" si="17"/>
        <v>2.7847826086956521E-2</v>
      </c>
      <c r="S173" t="e">
        <f t="shared" si="18"/>
        <v>#N/A</v>
      </c>
      <c r="T173" t="e">
        <f t="shared" si="19"/>
        <v>#N/A</v>
      </c>
      <c r="U173">
        <f t="shared" si="20"/>
        <v>9.1999999999999993</v>
      </c>
      <c r="V173">
        <f t="shared" si="21"/>
        <v>6</v>
      </c>
      <c r="W173" t="e">
        <f t="shared" si="22"/>
        <v>#N/A</v>
      </c>
      <c r="X173" t="e">
        <f t="shared" si="23"/>
        <v>#N/A</v>
      </c>
    </row>
    <row r="174" spans="1:24" x14ac:dyDescent="0.3">
      <c r="A174">
        <v>8</v>
      </c>
      <c r="B174">
        <v>0.42</v>
      </c>
      <c r="C174">
        <v>0.17</v>
      </c>
      <c r="D174">
        <v>2</v>
      </c>
      <c r="E174">
        <v>7.2999999999999995E-2</v>
      </c>
      <c r="F174">
        <v>6</v>
      </c>
      <c r="G174">
        <v>18</v>
      </c>
      <c r="H174">
        <v>0.99719999999999998</v>
      </c>
      <c r="I174">
        <v>3.29</v>
      </c>
      <c r="J174">
        <v>0.61</v>
      </c>
      <c r="K174">
        <v>9.1999999999999993</v>
      </c>
      <c r="L174">
        <v>6</v>
      </c>
      <c r="M174" t="str">
        <f t="shared" si="16"/>
        <v>Medium</v>
      </c>
      <c r="N174">
        <f>(winequality_red[[#This Row],[Updated Quality &amp; Alcohol Analysis]]+winequality_red[[#This Row],[volatile acidity]]+winequality_red[[#This Row],[citric acid]])</f>
        <v>8.59</v>
      </c>
      <c r="O174">
        <f t="shared" si="17"/>
        <v>2.7847826086956521E-2</v>
      </c>
      <c r="S174" t="e">
        <f t="shared" si="18"/>
        <v>#N/A</v>
      </c>
      <c r="T174" t="e">
        <f t="shared" si="19"/>
        <v>#N/A</v>
      </c>
      <c r="U174">
        <f t="shared" si="20"/>
        <v>9.1999999999999993</v>
      </c>
      <c r="V174">
        <f t="shared" si="21"/>
        <v>6</v>
      </c>
      <c r="W174" t="e">
        <f t="shared" si="22"/>
        <v>#N/A</v>
      </c>
      <c r="X174" t="e">
        <f t="shared" si="23"/>
        <v>#N/A</v>
      </c>
    </row>
    <row r="175" spans="1:24" x14ac:dyDescent="0.3">
      <c r="A175">
        <v>7.4</v>
      </c>
      <c r="B175">
        <v>0.62</v>
      </c>
      <c r="C175">
        <v>0.05</v>
      </c>
      <c r="D175">
        <v>1.9</v>
      </c>
      <c r="E175">
        <v>6.8000000000000005E-2</v>
      </c>
      <c r="F175">
        <v>24</v>
      </c>
      <c r="G175">
        <v>42</v>
      </c>
      <c r="H175">
        <v>0.99609999999999999</v>
      </c>
      <c r="I175">
        <v>3.42</v>
      </c>
      <c r="J175">
        <v>0.56999999999999995</v>
      </c>
      <c r="K175">
        <v>11.5</v>
      </c>
      <c r="L175">
        <v>6</v>
      </c>
      <c r="M175" t="str">
        <f t="shared" si="16"/>
        <v>Medium</v>
      </c>
      <c r="N175">
        <f>(winequality_red[[#This Row],[Updated Quality &amp; Alcohol Analysis]]+winequality_red[[#This Row],[volatile acidity]]+winequality_red[[#This Row],[citric acid]])</f>
        <v>8.07</v>
      </c>
      <c r="O175">
        <f t="shared" si="17"/>
        <v>3.0730434782608694E-2</v>
      </c>
      <c r="S175" t="e">
        <f t="shared" si="18"/>
        <v>#N/A</v>
      </c>
      <c r="T175" t="e">
        <f t="shared" si="19"/>
        <v>#N/A</v>
      </c>
      <c r="U175">
        <f t="shared" si="20"/>
        <v>11.5</v>
      </c>
      <c r="V175">
        <f t="shared" si="21"/>
        <v>6</v>
      </c>
      <c r="W175" t="e">
        <f t="shared" si="22"/>
        <v>#N/A</v>
      </c>
      <c r="X175" t="e">
        <f t="shared" si="23"/>
        <v>#N/A</v>
      </c>
    </row>
    <row r="176" spans="1:24" x14ac:dyDescent="0.3">
      <c r="A176">
        <v>7.3</v>
      </c>
      <c r="B176">
        <v>0.38</v>
      </c>
      <c r="C176">
        <v>0.21</v>
      </c>
      <c r="D176">
        <v>2</v>
      </c>
      <c r="E176">
        <v>0.08</v>
      </c>
      <c r="F176">
        <v>7</v>
      </c>
      <c r="G176">
        <v>35</v>
      </c>
      <c r="H176">
        <v>0.99609999999999999</v>
      </c>
      <c r="I176">
        <v>3.33</v>
      </c>
      <c r="J176">
        <v>0.47</v>
      </c>
      <c r="K176">
        <v>9.5</v>
      </c>
      <c r="L176">
        <v>5</v>
      </c>
      <c r="M176" t="str">
        <f t="shared" si="16"/>
        <v>Medium</v>
      </c>
      <c r="N176">
        <f>(winequality_red[[#This Row],[Updated Quality &amp; Alcohol Analysis]]+winequality_red[[#This Row],[volatile acidity]]+winequality_red[[#This Row],[citric acid]])</f>
        <v>7.89</v>
      </c>
      <c r="O176">
        <f t="shared" si="17"/>
        <v>1.8799999999999997E-2</v>
      </c>
      <c r="S176" t="e">
        <f t="shared" si="18"/>
        <v>#N/A</v>
      </c>
      <c r="T176" t="e">
        <f t="shared" si="19"/>
        <v>#N/A</v>
      </c>
      <c r="U176">
        <f t="shared" si="20"/>
        <v>9.5</v>
      </c>
      <c r="V176">
        <f t="shared" si="21"/>
        <v>5</v>
      </c>
      <c r="W176" t="e">
        <f t="shared" si="22"/>
        <v>#N/A</v>
      </c>
      <c r="X176" t="e">
        <f t="shared" si="23"/>
        <v>#N/A</v>
      </c>
    </row>
    <row r="177" spans="1:24" x14ac:dyDescent="0.3">
      <c r="A177">
        <v>6.9</v>
      </c>
      <c r="B177">
        <v>0.5</v>
      </c>
      <c r="C177">
        <v>0.04</v>
      </c>
      <c r="D177">
        <v>1.5</v>
      </c>
      <c r="E177">
        <v>8.5000000000000006E-2</v>
      </c>
      <c r="F177">
        <v>19</v>
      </c>
      <c r="G177">
        <v>49</v>
      </c>
      <c r="H177">
        <v>0.99580000000000002</v>
      </c>
      <c r="I177">
        <v>3.35</v>
      </c>
      <c r="J177">
        <v>0.78</v>
      </c>
      <c r="K177">
        <v>9.5</v>
      </c>
      <c r="L177">
        <v>5</v>
      </c>
      <c r="M177" t="str">
        <f t="shared" si="16"/>
        <v>Medium</v>
      </c>
      <c r="N177">
        <f>(winequality_red[[#This Row],[Updated Quality &amp; Alcohol Analysis]]+winequality_red[[#This Row],[volatile acidity]]+winequality_red[[#This Row],[citric acid]])</f>
        <v>7.44</v>
      </c>
      <c r="O177">
        <f t="shared" si="17"/>
        <v>4.1052631578947368E-2</v>
      </c>
      <c r="S177" t="e">
        <f t="shared" si="18"/>
        <v>#N/A</v>
      </c>
      <c r="T177" t="e">
        <f t="shared" si="19"/>
        <v>#N/A</v>
      </c>
      <c r="U177">
        <f t="shared" si="20"/>
        <v>9.5</v>
      </c>
      <c r="V177">
        <f t="shared" si="21"/>
        <v>5</v>
      </c>
      <c r="W177" t="e">
        <f t="shared" si="22"/>
        <v>#N/A</v>
      </c>
      <c r="X177" t="e">
        <f t="shared" si="23"/>
        <v>#N/A</v>
      </c>
    </row>
    <row r="178" spans="1:24" x14ac:dyDescent="0.3">
      <c r="A178">
        <v>7.3</v>
      </c>
      <c r="B178">
        <v>0.38</v>
      </c>
      <c r="C178">
        <v>0.21</v>
      </c>
      <c r="D178">
        <v>2</v>
      </c>
      <c r="E178">
        <v>0.08</v>
      </c>
      <c r="F178">
        <v>7</v>
      </c>
      <c r="G178">
        <v>35</v>
      </c>
      <c r="H178">
        <v>0.99609999999999999</v>
      </c>
      <c r="I178">
        <v>3.33</v>
      </c>
      <c r="J178">
        <v>0.47</v>
      </c>
      <c r="K178">
        <v>9.5</v>
      </c>
      <c r="L178">
        <v>5</v>
      </c>
      <c r="M178" t="str">
        <f t="shared" si="16"/>
        <v>Medium</v>
      </c>
      <c r="N178">
        <f>(winequality_red[[#This Row],[Updated Quality &amp; Alcohol Analysis]]+winequality_red[[#This Row],[volatile acidity]]+winequality_red[[#This Row],[citric acid]])</f>
        <v>7.89</v>
      </c>
      <c r="O178">
        <f t="shared" si="17"/>
        <v>1.8799999999999997E-2</v>
      </c>
      <c r="S178" t="e">
        <f t="shared" si="18"/>
        <v>#N/A</v>
      </c>
      <c r="T178" t="e">
        <f t="shared" si="19"/>
        <v>#N/A</v>
      </c>
      <c r="U178">
        <f t="shared" si="20"/>
        <v>9.5</v>
      </c>
      <c r="V178">
        <f t="shared" si="21"/>
        <v>5</v>
      </c>
      <c r="W178" t="e">
        <f t="shared" si="22"/>
        <v>#N/A</v>
      </c>
      <c r="X178" t="e">
        <f t="shared" si="23"/>
        <v>#N/A</v>
      </c>
    </row>
    <row r="179" spans="1:24" x14ac:dyDescent="0.3">
      <c r="A179">
        <v>7.5</v>
      </c>
      <c r="B179">
        <v>0.52</v>
      </c>
      <c r="C179">
        <v>0.42</v>
      </c>
      <c r="D179">
        <v>2.2999999999999998</v>
      </c>
      <c r="E179">
        <v>8.6999999999999994E-2</v>
      </c>
      <c r="F179">
        <v>8</v>
      </c>
      <c r="G179">
        <v>38</v>
      </c>
      <c r="H179">
        <v>0.99719999999999998</v>
      </c>
      <c r="I179">
        <v>3.58</v>
      </c>
      <c r="J179">
        <v>0.61</v>
      </c>
      <c r="K179">
        <v>10.5</v>
      </c>
      <c r="L179">
        <v>6</v>
      </c>
      <c r="M179" t="str">
        <f t="shared" si="16"/>
        <v>Medium</v>
      </c>
      <c r="N179">
        <f>(winequality_red[[#This Row],[Updated Quality &amp; Alcohol Analysis]]+winequality_red[[#This Row],[volatile acidity]]+winequality_red[[#This Row],[citric acid]])</f>
        <v>8.44</v>
      </c>
      <c r="O179">
        <f t="shared" si="17"/>
        <v>3.0209523809523808E-2</v>
      </c>
      <c r="S179" t="e">
        <f t="shared" si="18"/>
        <v>#N/A</v>
      </c>
      <c r="T179" t="e">
        <f t="shared" si="19"/>
        <v>#N/A</v>
      </c>
      <c r="U179">
        <f t="shared" si="20"/>
        <v>10.5</v>
      </c>
      <c r="V179">
        <f t="shared" si="21"/>
        <v>6</v>
      </c>
      <c r="W179" t="e">
        <f t="shared" si="22"/>
        <v>#N/A</v>
      </c>
      <c r="X179" t="e">
        <f t="shared" si="23"/>
        <v>#N/A</v>
      </c>
    </row>
    <row r="180" spans="1:24" x14ac:dyDescent="0.3">
      <c r="A180">
        <v>7</v>
      </c>
      <c r="B180">
        <v>0.80500000000000005</v>
      </c>
      <c r="C180">
        <v>0</v>
      </c>
      <c r="D180">
        <v>2.5</v>
      </c>
      <c r="E180">
        <v>6.8000000000000005E-2</v>
      </c>
      <c r="F180">
        <v>7</v>
      </c>
      <c r="G180">
        <v>20</v>
      </c>
      <c r="H180">
        <v>0.99690000000000001</v>
      </c>
      <c r="I180">
        <v>3.48</v>
      </c>
      <c r="J180">
        <v>0.56000000000000005</v>
      </c>
      <c r="K180">
        <v>9.6</v>
      </c>
      <c r="L180">
        <v>5</v>
      </c>
      <c r="M180" t="str">
        <f t="shared" si="16"/>
        <v>Medium</v>
      </c>
      <c r="N180">
        <f>(winequality_red[[#This Row],[Updated Quality &amp; Alcohol Analysis]]+winequality_red[[#This Row],[volatile acidity]]+winequality_red[[#This Row],[citric acid]])</f>
        <v>7.8049999999999997</v>
      </c>
      <c r="O180">
        <f t="shared" si="17"/>
        <v>4.6958333333333345E-2</v>
      </c>
      <c r="S180" t="e">
        <f t="shared" si="18"/>
        <v>#N/A</v>
      </c>
      <c r="T180" t="e">
        <f t="shared" si="19"/>
        <v>#N/A</v>
      </c>
      <c r="U180">
        <f t="shared" si="20"/>
        <v>9.6</v>
      </c>
      <c r="V180">
        <f t="shared" si="21"/>
        <v>5</v>
      </c>
      <c r="W180" t="e">
        <f t="shared" si="22"/>
        <v>#N/A</v>
      </c>
      <c r="X180" t="e">
        <f t="shared" si="23"/>
        <v>#N/A</v>
      </c>
    </row>
    <row r="181" spans="1:24" x14ac:dyDescent="0.3">
      <c r="A181">
        <v>8.8000000000000007</v>
      </c>
      <c r="B181">
        <v>0.61</v>
      </c>
      <c r="C181">
        <v>0.14000000000000001</v>
      </c>
      <c r="D181">
        <v>2.4</v>
      </c>
      <c r="E181">
        <v>6.7000000000000004E-2</v>
      </c>
      <c r="F181">
        <v>10</v>
      </c>
      <c r="G181">
        <v>42</v>
      </c>
      <c r="H181">
        <v>0.99690000000000001</v>
      </c>
      <c r="I181">
        <v>3.19</v>
      </c>
      <c r="J181">
        <v>0.59</v>
      </c>
      <c r="K181">
        <v>9.5</v>
      </c>
      <c r="L181">
        <v>5</v>
      </c>
      <c r="M181" t="str">
        <f t="shared" si="16"/>
        <v>Medium</v>
      </c>
      <c r="N181">
        <f>(winequality_red[[#This Row],[Updated Quality &amp; Alcohol Analysis]]+winequality_red[[#This Row],[volatile acidity]]+winequality_red[[#This Row],[citric acid]])</f>
        <v>9.5500000000000007</v>
      </c>
      <c r="O181">
        <f t="shared" si="17"/>
        <v>3.7884210526315791E-2</v>
      </c>
      <c r="S181" t="e">
        <f t="shared" si="18"/>
        <v>#N/A</v>
      </c>
      <c r="T181" t="e">
        <f t="shared" si="19"/>
        <v>#N/A</v>
      </c>
      <c r="U181">
        <f t="shared" si="20"/>
        <v>9.5</v>
      </c>
      <c r="V181">
        <f t="shared" si="21"/>
        <v>5</v>
      </c>
      <c r="W181" t="e">
        <f t="shared" si="22"/>
        <v>#N/A</v>
      </c>
      <c r="X181" t="e">
        <f t="shared" si="23"/>
        <v>#N/A</v>
      </c>
    </row>
    <row r="182" spans="1:24" x14ac:dyDescent="0.3">
      <c r="A182">
        <v>8.8000000000000007</v>
      </c>
      <c r="B182">
        <v>0.61</v>
      </c>
      <c r="C182">
        <v>0.14000000000000001</v>
      </c>
      <c r="D182">
        <v>2.4</v>
      </c>
      <c r="E182">
        <v>6.7000000000000004E-2</v>
      </c>
      <c r="F182">
        <v>10</v>
      </c>
      <c r="G182">
        <v>42</v>
      </c>
      <c r="H182">
        <v>0.99690000000000001</v>
      </c>
      <c r="I182">
        <v>3.19</v>
      </c>
      <c r="J182">
        <v>0.59</v>
      </c>
      <c r="K182">
        <v>9.5</v>
      </c>
      <c r="L182">
        <v>5</v>
      </c>
      <c r="M182" t="str">
        <f t="shared" si="16"/>
        <v>Medium</v>
      </c>
      <c r="N182">
        <f>(winequality_red[[#This Row],[Updated Quality &amp; Alcohol Analysis]]+winequality_red[[#This Row],[volatile acidity]]+winequality_red[[#This Row],[citric acid]])</f>
        <v>9.5500000000000007</v>
      </c>
      <c r="O182">
        <f t="shared" si="17"/>
        <v>3.7884210526315791E-2</v>
      </c>
      <c r="S182" t="e">
        <f t="shared" si="18"/>
        <v>#N/A</v>
      </c>
      <c r="T182" t="e">
        <f t="shared" si="19"/>
        <v>#N/A</v>
      </c>
      <c r="U182">
        <f t="shared" si="20"/>
        <v>9.5</v>
      </c>
      <c r="V182">
        <f t="shared" si="21"/>
        <v>5</v>
      </c>
      <c r="W182" t="e">
        <f t="shared" si="22"/>
        <v>#N/A</v>
      </c>
      <c r="X182" t="e">
        <f t="shared" si="23"/>
        <v>#N/A</v>
      </c>
    </row>
    <row r="183" spans="1:24" x14ac:dyDescent="0.3">
      <c r="A183">
        <v>8.9</v>
      </c>
      <c r="B183">
        <v>0.61</v>
      </c>
      <c r="C183">
        <v>0.49</v>
      </c>
      <c r="D183">
        <v>2</v>
      </c>
      <c r="E183">
        <v>0.27</v>
      </c>
      <c r="F183">
        <v>23</v>
      </c>
      <c r="G183">
        <v>110</v>
      </c>
      <c r="H183">
        <v>0.99719999999999998</v>
      </c>
      <c r="I183">
        <v>3.12</v>
      </c>
      <c r="J183">
        <v>1.02</v>
      </c>
      <c r="K183">
        <v>9.3000000000000007</v>
      </c>
      <c r="L183">
        <v>5</v>
      </c>
      <c r="M183" t="str">
        <f t="shared" si="16"/>
        <v>Medium</v>
      </c>
      <c r="N183">
        <f>(winequality_red[[#This Row],[Updated Quality &amp; Alcohol Analysis]]+winequality_red[[#This Row],[volatile acidity]]+winequality_red[[#This Row],[citric acid]])</f>
        <v>10</v>
      </c>
      <c r="O183">
        <f t="shared" si="17"/>
        <v>6.6903225806451611E-2</v>
      </c>
      <c r="S183" t="e">
        <f t="shared" si="18"/>
        <v>#N/A</v>
      </c>
      <c r="T183" t="e">
        <f t="shared" si="19"/>
        <v>#N/A</v>
      </c>
      <c r="U183">
        <f t="shared" si="20"/>
        <v>9.3000000000000007</v>
      </c>
      <c r="V183">
        <f t="shared" si="21"/>
        <v>5</v>
      </c>
      <c r="W183" t="e">
        <f t="shared" si="22"/>
        <v>#N/A</v>
      </c>
      <c r="X183" t="e">
        <f t="shared" si="23"/>
        <v>#N/A</v>
      </c>
    </row>
    <row r="184" spans="1:24" x14ac:dyDescent="0.3">
      <c r="A184">
        <v>7.2</v>
      </c>
      <c r="B184">
        <v>0.73</v>
      </c>
      <c r="C184">
        <v>0.02</v>
      </c>
      <c r="D184">
        <v>2.5</v>
      </c>
      <c r="E184">
        <v>7.5999999999999998E-2</v>
      </c>
      <c r="F184">
        <v>16</v>
      </c>
      <c r="G184">
        <v>42</v>
      </c>
      <c r="H184">
        <v>0.99719999999999998</v>
      </c>
      <c r="I184">
        <v>3.44</v>
      </c>
      <c r="J184">
        <v>0.52</v>
      </c>
      <c r="K184">
        <v>9.3000000000000007</v>
      </c>
      <c r="L184">
        <v>5</v>
      </c>
      <c r="M184" t="str">
        <f t="shared" si="16"/>
        <v>Medium</v>
      </c>
      <c r="N184">
        <f>(winequality_red[[#This Row],[Updated Quality &amp; Alcohol Analysis]]+winequality_red[[#This Row],[volatile acidity]]+winequality_red[[#This Row],[citric acid]])</f>
        <v>7.9499999999999993</v>
      </c>
      <c r="O184">
        <f t="shared" si="17"/>
        <v>4.0817204301075265E-2</v>
      </c>
      <c r="S184" t="e">
        <f t="shared" si="18"/>
        <v>#N/A</v>
      </c>
      <c r="T184" t="e">
        <f t="shared" si="19"/>
        <v>#N/A</v>
      </c>
      <c r="U184">
        <f t="shared" si="20"/>
        <v>9.3000000000000007</v>
      </c>
      <c r="V184">
        <f t="shared" si="21"/>
        <v>5</v>
      </c>
      <c r="W184" t="e">
        <f t="shared" si="22"/>
        <v>#N/A</v>
      </c>
      <c r="X184" t="e">
        <f t="shared" si="23"/>
        <v>#N/A</v>
      </c>
    </row>
    <row r="185" spans="1:24" x14ac:dyDescent="0.3">
      <c r="A185">
        <v>6.8</v>
      </c>
      <c r="B185">
        <v>0.61</v>
      </c>
      <c r="C185">
        <v>0.2</v>
      </c>
      <c r="D185">
        <v>1.8</v>
      </c>
      <c r="E185">
        <v>7.6999999999999999E-2</v>
      </c>
      <c r="F185">
        <v>11</v>
      </c>
      <c r="G185">
        <v>65</v>
      </c>
      <c r="H185">
        <v>0.99709999999999999</v>
      </c>
      <c r="I185">
        <v>3.54</v>
      </c>
      <c r="J185">
        <v>0.57999999999999996</v>
      </c>
      <c r="K185">
        <v>9.3000000000000007</v>
      </c>
      <c r="L185">
        <v>5</v>
      </c>
      <c r="M185" t="str">
        <f t="shared" si="16"/>
        <v>Medium</v>
      </c>
      <c r="N185">
        <f>(winequality_red[[#This Row],[Updated Quality &amp; Alcohol Analysis]]+winequality_red[[#This Row],[volatile acidity]]+winequality_red[[#This Row],[citric acid]])</f>
        <v>7.61</v>
      </c>
      <c r="O185">
        <f t="shared" si="17"/>
        <v>3.8043010752688164E-2</v>
      </c>
      <c r="S185" t="e">
        <f t="shared" si="18"/>
        <v>#N/A</v>
      </c>
      <c r="T185" t="e">
        <f t="shared" si="19"/>
        <v>#N/A</v>
      </c>
      <c r="U185">
        <f t="shared" si="20"/>
        <v>9.3000000000000007</v>
      </c>
      <c r="V185">
        <f t="shared" si="21"/>
        <v>5</v>
      </c>
      <c r="W185" t="e">
        <f t="shared" si="22"/>
        <v>#N/A</v>
      </c>
      <c r="X185" t="e">
        <f t="shared" si="23"/>
        <v>#N/A</v>
      </c>
    </row>
    <row r="186" spans="1:24" x14ac:dyDescent="0.3">
      <c r="A186">
        <v>6.7</v>
      </c>
      <c r="B186">
        <v>0.62</v>
      </c>
      <c r="C186">
        <v>0.21</v>
      </c>
      <c r="D186">
        <v>1.9</v>
      </c>
      <c r="E186">
        <v>7.9000000000000001E-2</v>
      </c>
      <c r="F186">
        <v>8</v>
      </c>
      <c r="G186">
        <v>62</v>
      </c>
      <c r="H186">
        <v>0.997</v>
      </c>
      <c r="I186">
        <v>3.52</v>
      </c>
      <c r="J186">
        <v>0.57999999999999996</v>
      </c>
      <c r="K186">
        <v>9.3000000000000007</v>
      </c>
      <c r="L186">
        <v>6</v>
      </c>
      <c r="M186" t="str">
        <f t="shared" si="16"/>
        <v>Medium</v>
      </c>
      <c r="N186">
        <f>(winequality_red[[#This Row],[Updated Quality &amp; Alcohol Analysis]]+winequality_red[[#This Row],[volatile acidity]]+winequality_red[[#This Row],[citric acid]])</f>
        <v>7.53</v>
      </c>
      <c r="O186">
        <f t="shared" si="17"/>
        <v>3.8666666666666662E-2</v>
      </c>
      <c r="S186" t="e">
        <f t="shared" si="18"/>
        <v>#N/A</v>
      </c>
      <c r="T186" t="e">
        <f t="shared" si="19"/>
        <v>#N/A</v>
      </c>
      <c r="U186">
        <f t="shared" si="20"/>
        <v>9.3000000000000007</v>
      </c>
      <c r="V186">
        <f t="shared" si="21"/>
        <v>6</v>
      </c>
      <c r="W186" t="e">
        <f t="shared" si="22"/>
        <v>#N/A</v>
      </c>
      <c r="X186" t="e">
        <f t="shared" si="23"/>
        <v>#N/A</v>
      </c>
    </row>
    <row r="187" spans="1:24" x14ac:dyDescent="0.3">
      <c r="A187">
        <v>8.9</v>
      </c>
      <c r="B187">
        <v>0.31</v>
      </c>
      <c r="C187">
        <v>0.56999999999999995</v>
      </c>
      <c r="D187">
        <v>2</v>
      </c>
      <c r="E187">
        <v>0.111</v>
      </c>
      <c r="F187">
        <v>26</v>
      </c>
      <c r="G187">
        <v>85</v>
      </c>
      <c r="H187">
        <v>0.99709999999999999</v>
      </c>
      <c r="I187">
        <v>3.26</v>
      </c>
      <c r="J187">
        <v>0.53</v>
      </c>
      <c r="K187">
        <v>9.6999999999999993</v>
      </c>
      <c r="L187">
        <v>5</v>
      </c>
      <c r="M187" t="str">
        <f t="shared" si="16"/>
        <v>Medium</v>
      </c>
      <c r="N187">
        <f>(winequality_red[[#This Row],[Updated Quality &amp; Alcohol Analysis]]+winequality_red[[#This Row],[volatile acidity]]+winequality_red[[#This Row],[citric acid]])</f>
        <v>9.7800000000000011</v>
      </c>
      <c r="O187">
        <f t="shared" si="17"/>
        <v>1.6938144329896907E-2</v>
      </c>
      <c r="S187" t="e">
        <f t="shared" si="18"/>
        <v>#N/A</v>
      </c>
      <c r="T187" t="e">
        <f t="shared" si="19"/>
        <v>#N/A</v>
      </c>
      <c r="U187">
        <f t="shared" si="20"/>
        <v>9.6999999999999993</v>
      </c>
      <c r="V187">
        <f t="shared" si="21"/>
        <v>5</v>
      </c>
      <c r="W187" t="e">
        <f t="shared" si="22"/>
        <v>#N/A</v>
      </c>
      <c r="X187" t="e">
        <f t="shared" si="23"/>
        <v>#N/A</v>
      </c>
    </row>
    <row r="188" spans="1:24" x14ac:dyDescent="0.3">
      <c r="A188">
        <v>7.4</v>
      </c>
      <c r="B188">
        <v>0.39</v>
      </c>
      <c r="C188">
        <v>0.48</v>
      </c>
      <c r="D188">
        <v>2</v>
      </c>
      <c r="E188">
        <v>8.199999999999999E-2</v>
      </c>
      <c r="F188">
        <v>14</v>
      </c>
      <c r="G188">
        <v>67</v>
      </c>
      <c r="H188">
        <v>0.99719999999999998</v>
      </c>
      <c r="I188">
        <v>3.34</v>
      </c>
      <c r="J188">
        <v>0.55000000000000004</v>
      </c>
      <c r="K188">
        <v>9.1999999999999993</v>
      </c>
      <c r="L188">
        <v>5</v>
      </c>
      <c r="M188" t="str">
        <f t="shared" si="16"/>
        <v>Medium</v>
      </c>
      <c r="N188">
        <f>(winequality_red[[#This Row],[Updated Quality &amp; Alcohol Analysis]]+winequality_red[[#This Row],[volatile acidity]]+winequality_red[[#This Row],[citric acid]])</f>
        <v>8.27</v>
      </c>
      <c r="O188">
        <f t="shared" si="17"/>
        <v>2.3315217391304353E-2</v>
      </c>
      <c r="S188" t="e">
        <f t="shared" si="18"/>
        <v>#N/A</v>
      </c>
      <c r="T188" t="e">
        <f t="shared" si="19"/>
        <v>#N/A</v>
      </c>
      <c r="U188">
        <f t="shared" si="20"/>
        <v>9.1999999999999993</v>
      </c>
      <c r="V188">
        <f t="shared" si="21"/>
        <v>5</v>
      </c>
      <c r="W188" t="e">
        <f t="shared" si="22"/>
        <v>#N/A</v>
      </c>
      <c r="X188" t="e">
        <f t="shared" si="23"/>
        <v>#N/A</v>
      </c>
    </row>
    <row r="189" spans="1:24" x14ac:dyDescent="0.3">
      <c r="A189">
        <v>7.7</v>
      </c>
      <c r="B189">
        <v>0.70499999999999996</v>
      </c>
      <c r="C189">
        <v>0.1</v>
      </c>
      <c r="D189">
        <v>2.6</v>
      </c>
      <c r="E189">
        <v>8.4000000000000005E-2</v>
      </c>
      <c r="F189">
        <v>9</v>
      </c>
      <c r="G189">
        <v>26</v>
      </c>
      <c r="H189">
        <v>0.99760000000000004</v>
      </c>
      <c r="I189">
        <v>3.39</v>
      </c>
      <c r="J189">
        <v>0.49</v>
      </c>
      <c r="K189">
        <v>9.6999999999999993</v>
      </c>
      <c r="L189">
        <v>5</v>
      </c>
      <c r="M189" t="str">
        <f t="shared" si="16"/>
        <v>Medium</v>
      </c>
      <c r="N189">
        <f>(winequality_red[[#This Row],[Updated Quality &amp; Alcohol Analysis]]+winequality_red[[#This Row],[volatile acidity]]+winequality_red[[#This Row],[citric acid]])</f>
        <v>8.504999999999999</v>
      </c>
      <c r="O189">
        <f t="shared" si="17"/>
        <v>3.5613402061855669E-2</v>
      </c>
      <c r="S189" t="e">
        <f t="shared" si="18"/>
        <v>#N/A</v>
      </c>
      <c r="T189" t="e">
        <f t="shared" si="19"/>
        <v>#N/A</v>
      </c>
      <c r="U189">
        <f t="shared" si="20"/>
        <v>9.6999999999999993</v>
      </c>
      <c r="V189">
        <f t="shared" si="21"/>
        <v>5</v>
      </c>
      <c r="W189" t="e">
        <f t="shared" si="22"/>
        <v>#N/A</v>
      </c>
      <c r="X189" t="e">
        <f t="shared" si="23"/>
        <v>#N/A</v>
      </c>
    </row>
    <row r="190" spans="1:24" x14ac:dyDescent="0.3">
      <c r="A190">
        <v>7.9</v>
      </c>
      <c r="B190">
        <v>0.5</v>
      </c>
      <c r="C190">
        <v>0.33</v>
      </c>
      <c r="D190">
        <v>2</v>
      </c>
      <c r="E190">
        <v>8.4000000000000005E-2</v>
      </c>
      <c r="F190">
        <v>15</v>
      </c>
      <c r="G190">
        <v>143</v>
      </c>
      <c r="H190">
        <v>0.99680000000000002</v>
      </c>
      <c r="I190">
        <v>3.2</v>
      </c>
      <c r="J190">
        <v>0.55000000000000004</v>
      </c>
      <c r="K190">
        <v>9.5</v>
      </c>
      <c r="L190">
        <v>5</v>
      </c>
      <c r="M190" t="str">
        <f t="shared" si="16"/>
        <v>Medium</v>
      </c>
      <c r="N190">
        <f>(winequality_red[[#This Row],[Updated Quality &amp; Alcohol Analysis]]+winequality_red[[#This Row],[volatile acidity]]+winequality_red[[#This Row],[citric acid]])</f>
        <v>8.73</v>
      </c>
      <c r="O190">
        <f t="shared" si="17"/>
        <v>2.8947368421052635E-2</v>
      </c>
      <c r="S190" t="e">
        <f t="shared" si="18"/>
        <v>#N/A</v>
      </c>
      <c r="T190" t="e">
        <f t="shared" si="19"/>
        <v>#N/A</v>
      </c>
      <c r="U190">
        <f t="shared" si="20"/>
        <v>9.5</v>
      </c>
      <c r="V190">
        <f t="shared" si="21"/>
        <v>5</v>
      </c>
      <c r="W190" t="e">
        <f t="shared" si="22"/>
        <v>#N/A</v>
      </c>
      <c r="X190" t="e">
        <f t="shared" si="23"/>
        <v>#N/A</v>
      </c>
    </row>
    <row r="191" spans="1:24" x14ac:dyDescent="0.3">
      <c r="A191">
        <v>7.9</v>
      </c>
      <c r="B191">
        <v>0.49</v>
      </c>
      <c r="C191">
        <v>0.32</v>
      </c>
      <c r="D191">
        <v>1.9</v>
      </c>
      <c r="E191">
        <v>8.199999999999999E-2</v>
      </c>
      <c r="F191">
        <v>17</v>
      </c>
      <c r="G191">
        <v>144</v>
      </c>
      <c r="H191">
        <v>0.99680000000000002</v>
      </c>
      <c r="I191">
        <v>3.2</v>
      </c>
      <c r="J191">
        <v>0.55000000000000004</v>
      </c>
      <c r="K191">
        <v>9.5</v>
      </c>
      <c r="L191">
        <v>5</v>
      </c>
      <c r="M191" t="str">
        <f t="shared" si="16"/>
        <v>Medium</v>
      </c>
      <c r="N191">
        <f>(winequality_red[[#This Row],[Updated Quality &amp; Alcohol Analysis]]+winequality_red[[#This Row],[volatile acidity]]+winequality_red[[#This Row],[citric acid]])</f>
        <v>8.7100000000000009</v>
      </c>
      <c r="O191">
        <f t="shared" si="17"/>
        <v>2.8368421052631581E-2</v>
      </c>
      <c r="S191" t="e">
        <f t="shared" si="18"/>
        <v>#N/A</v>
      </c>
      <c r="T191" t="e">
        <f t="shared" si="19"/>
        <v>#N/A</v>
      </c>
      <c r="U191">
        <f t="shared" si="20"/>
        <v>9.5</v>
      </c>
      <c r="V191">
        <f t="shared" si="21"/>
        <v>5</v>
      </c>
      <c r="W191" t="e">
        <f t="shared" si="22"/>
        <v>#N/A</v>
      </c>
      <c r="X191" t="e">
        <f t="shared" si="23"/>
        <v>#N/A</v>
      </c>
    </row>
    <row r="192" spans="1:24" x14ac:dyDescent="0.3">
      <c r="A192">
        <v>8.1999999999999993</v>
      </c>
      <c r="B192">
        <v>0.5</v>
      </c>
      <c r="C192">
        <v>0.35</v>
      </c>
      <c r="D192">
        <v>2.9</v>
      </c>
      <c r="E192">
        <v>7.6999999999999999E-2</v>
      </c>
      <c r="F192">
        <v>21</v>
      </c>
      <c r="G192">
        <v>127</v>
      </c>
      <c r="H192">
        <v>0.99760000000000004</v>
      </c>
      <c r="I192">
        <v>3.23</v>
      </c>
      <c r="J192">
        <v>0.62</v>
      </c>
      <c r="K192">
        <v>9.4</v>
      </c>
      <c r="L192">
        <v>5</v>
      </c>
      <c r="M192" t="str">
        <f t="shared" si="16"/>
        <v>Medium</v>
      </c>
      <c r="N192">
        <f>(winequality_red[[#This Row],[Updated Quality &amp; Alcohol Analysis]]+winequality_red[[#This Row],[volatile acidity]]+winequality_red[[#This Row],[citric acid]])</f>
        <v>9.0499999999999989</v>
      </c>
      <c r="O192">
        <f t="shared" si="17"/>
        <v>3.2978723404255318E-2</v>
      </c>
      <c r="S192" t="e">
        <f t="shared" si="18"/>
        <v>#N/A</v>
      </c>
      <c r="T192" t="e">
        <f t="shared" si="19"/>
        <v>#N/A</v>
      </c>
      <c r="U192">
        <f t="shared" si="20"/>
        <v>9.4</v>
      </c>
      <c r="V192">
        <f t="shared" si="21"/>
        <v>5</v>
      </c>
      <c r="W192" t="e">
        <f t="shared" si="22"/>
        <v>#N/A</v>
      </c>
      <c r="X192" t="e">
        <f t="shared" si="23"/>
        <v>#N/A</v>
      </c>
    </row>
    <row r="193" spans="1:24" x14ac:dyDescent="0.3">
      <c r="A193">
        <v>6.4</v>
      </c>
      <c r="B193">
        <v>0.37</v>
      </c>
      <c r="C193">
        <v>0.25</v>
      </c>
      <c r="D193">
        <v>1.9</v>
      </c>
      <c r="E193">
        <v>7.400000000000001E-2</v>
      </c>
      <c r="F193">
        <v>21</v>
      </c>
      <c r="G193">
        <v>49</v>
      </c>
      <c r="H193">
        <v>0.99739999999999995</v>
      </c>
      <c r="I193">
        <v>3.57</v>
      </c>
      <c r="J193">
        <v>0.62</v>
      </c>
      <c r="K193">
        <v>9.8000000000000007</v>
      </c>
      <c r="L193">
        <v>6</v>
      </c>
      <c r="M193" t="str">
        <f t="shared" si="16"/>
        <v>Medium</v>
      </c>
      <c r="N193">
        <f>(winequality_red[[#This Row],[Updated Quality &amp; Alcohol Analysis]]+winequality_red[[#This Row],[volatile acidity]]+winequality_red[[#This Row],[citric acid]])</f>
        <v>7.0200000000000005</v>
      </c>
      <c r="O193">
        <f t="shared" si="17"/>
        <v>2.340816326530612E-2</v>
      </c>
      <c r="S193" t="e">
        <f t="shared" si="18"/>
        <v>#N/A</v>
      </c>
      <c r="T193" t="e">
        <f t="shared" si="19"/>
        <v>#N/A</v>
      </c>
      <c r="U193">
        <f t="shared" si="20"/>
        <v>9.8000000000000007</v>
      </c>
      <c r="V193">
        <f t="shared" si="21"/>
        <v>6</v>
      </c>
      <c r="W193" t="e">
        <f t="shared" si="22"/>
        <v>#N/A</v>
      </c>
      <c r="X193" t="e">
        <f t="shared" si="23"/>
        <v>#N/A</v>
      </c>
    </row>
    <row r="194" spans="1:24" x14ac:dyDescent="0.3">
      <c r="A194">
        <v>6.8</v>
      </c>
      <c r="B194">
        <v>0.63</v>
      </c>
      <c r="C194">
        <v>0.12</v>
      </c>
      <c r="D194">
        <v>3.8</v>
      </c>
      <c r="E194">
        <v>9.9000000000000005E-2</v>
      </c>
      <c r="F194">
        <v>16</v>
      </c>
      <c r="G194">
        <v>126</v>
      </c>
      <c r="H194">
        <v>0.99690000000000001</v>
      </c>
      <c r="I194">
        <v>3.28</v>
      </c>
      <c r="J194">
        <v>0.61</v>
      </c>
      <c r="K194">
        <v>9.5</v>
      </c>
      <c r="L194">
        <v>5</v>
      </c>
      <c r="M194" t="str">
        <f t="shared" ref="M194:M257" si="24">IF($L194&gt;=7,"High",IF($L194&gt;=5,"Medium","Low"))</f>
        <v>Medium</v>
      </c>
      <c r="N194">
        <f>(winequality_red[[#This Row],[Updated Quality &amp; Alcohol Analysis]]+winequality_red[[#This Row],[volatile acidity]]+winequality_red[[#This Row],[citric acid]])</f>
        <v>7.55</v>
      </c>
      <c r="O194">
        <f t="shared" ref="O194:O257" si="25">($B194*$J194)/$K194</f>
        <v>4.0452631578947365E-2</v>
      </c>
      <c r="S194" t="e">
        <f t="shared" si="18"/>
        <v>#N/A</v>
      </c>
      <c r="T194" t="e">
        <f t="shared" si="19"/>
        <v>#N/A</v>
      </c>
      <c r="U194">
        <f t="shared" si="20"/>
        <v>9.5</v>
      </c>
      <c r="V194">
        <f t="shared" si="21"/>
        <v>5</v>
      </c>
      <c r="W194" t="e">
        <f t="shared" si="22"/>
        <v>#N/A</v>
      </c>
      <c r="X194" t="e">
        <f t="shared" si="23"/>
        <v>#N/A</v>
      </c>
    </row>
    <row r="195" spans="1:24" x14ac:dyDescent="0.3">
      <c r="A195">
        <v>7.6</v>
      </c>
      <c r="B195">
        <v>0.55000000000000004</v>
      </c>
      <c r="C195">
        <v>0.21</v>
      </c>
      <c r="D195">
        <v>2.2000000000000002</v>
      </c>
      <c r="E195">
        <v>7.0999999999999994E-2</v>
      </c>
      <c r="F195">
        <v>7</v>
      </c>
      <c r="G195">
        <v>28</v>
      </c>
      <c r="H195">
        <v>0.99639999999999995</v>
      </c>
      <c r="I195">
        <v>3.28</v>
      </c>
      <c r="J195">
        <v>0.55000000000000004</v>
      </c>
      <c r="K195">
        <v>9.6999999999999993</v>
      </c>
      <c r="L195">
        <v>5</v>
      </c>
      <c r="M195" t="str">
        <f t="shared" si="24"/>
        <v>Medium</v>
      </c>
      <c r="N195">
        <f>(winequality_red[[#This Row],[Updated Quality &amp; Alcohol Analysis]]+winequality_red[[#This Row],[volatile acidity]]+winequality_red[[#This Row],[citric acid]])</f>
        <v>8.3600000000000012</v>
      </c>
      <c r="O195">
        <f t="shared" si="25"/>
        <v>3.1185567010309286E-2</v>
      </c>
      <c r="S195" t="e">
        <f t="shared" ref="S195:S258" si="26">IF($M195="Low",$K195,NA())</f>
        <v>#N/A</v>
      </c>
      <c r="T195" t="e">
        <f t="shared" ref="T195:T258" si="27">IF($M195="Low",$L195,NA())</f>
        <v>#N/A</v>
      </c>
      <c r="U195">
        <f t="shared" ref="U195:U258" si="28">IF($M195="Medium",$K195,NA())</f>
        <v>9.6999999999999993</v>
      </c>
      <c r="V195">
        <f t="shared" ref="V195:V258" si="29">IF($M195="Medium",$L195,NA())</f>
        <v>5</v>
      </c>
      <c r="W195" t="e">
        <f t="shared" ref="W195:W258" si="30">IF($M195="High",$K195,NA())</f>
        <v>#N/A</v>
      </c>
      <c r="X195" t="e">
        <f t="shared" ref="X195:X258" si="31">IF($M195="High",$L195,NA())</f>
        <v>#N/A</v>
      </c>
    </row>
    <row r="196" spans="1:24" x14ac:dyDescent="0.3">
      <c r="A196">
        <v>7.6</v>
      </c>
      <c r="B196">
        <v>0.55000000000000004</v>
      </c>
      <c r="C196">
        <v>0.21</v>
      </c>
      <c r="D196">
        <v>2.2000000000000002</v>
      </c>
      <c r="E196">
        <v>7.0999999999999994E-2</v>
      </c>
      <c r="F196">
        <v>7</v>
      </c>
      <c r="G196">
        <v>28</v>
      </c>
      <c r="H196">
        <v>0.99639999999999995</v>
      </c>
      <c r="I196">
        <v>3.28</v>
      </c>
      <c r="J196">
        <v>0.55000000000000004</v>
      </c>
      <c r="K196">
        <v>9.6999999999999993</v>
      </c>
      <c r="L196">
        <v>5</v>
      </c>
      <c r="M196" t="str">
        <f t="shared" si="24"/>
        <v>Medium</v>
      </c>
      <c r="N196">
        <f>(winequality_red[[#This Row],[Updated Quality &amp; Alcohol Analysis]]+winequality_red[[#This Row],[volatile acidity]]+winequality_red[[#This Row],[citric acid]])</f>
        <v>8.3600000000000012</v>
      </c>
      <c r="O196">
        <f t="shared" si="25"/>
        <v>3.1185567010309286E-2</v>
      </c>
      <c r="S196" t="e">
        <f t="shared" si="26"/>
        <v>#N/A</v>
      </c>
      <c r="T196" t="e">
        <f t="shared" si="27"/>
        <v>#N/A</v>
      </c>
      <c r="U196">
        <f t="shared" si="28"/>
        <v>9.6999999999999993</v>
      </c>
      <c r="V196">
        <f t="shared" si="29"/>
        <v>5</v>
      </c>
      <c r="W196" t="e">
        <f t="shared" si="30"/>
        <v>#N/A</v>
      </c>
      <c r="X196" t="e">
        <f t="shared" si="31"/>
        <v>#N/A</v>
      </c>
    </row>
    <row r="197" spans="1:24" x14ac:dyDescent="0.3">
      <c r="A197">
        <v>7.8</v>
      </c>
      <c r="B197">
        <v>0.59</v>
      </c>
      <c r="C197">
        <v>0.33</v>
      </c>
      <c r="D197">
        <v>2</v>
      </c>
      <c r="E197">
        <v>7.400000000000001E-2</v>
      </c>
      <c r="F197">
        <v>24</v>
      </c>
      <c r="G197">
        <v>120</v>
      </c>
      <c r="H197">
        <v>0.99680000000000002</v>
      </c>
      <c r="I197">
        <v>3.25</v>
      </c>
      <c r="J197">
        <v>0.54</v>
      </c>
      <c r="K197">
        <v>9.4</v>
      </c>
      <c r="L197">
        <v>5</v>
      </c>
      <c r="M197" t="str">
        <f t="shared" si="24"/>
        <v>Medium</v>
      </c>
      <c r="N197">
        <f>(winequality_red[[#This Row],[Updated Quality &amp; Alcohol Analysis]]+winequality_red[[#This Row],[volatile acidity]]+winequality_red[[#This Row],[citric acid]])</f>
        <v>8.7200000000000006</v>
      </c>
      <c r="O197">
        <f t="shared" si="25"/>
        <v>3.3893617021276592E-2</v>
      </c>
      <c r="S197" t="e">
        <f t="shared" si="26"/>
        <v>#N/A</v>
      </c>
      <c r="T197" t="e">
        <f t="shared" si="27"/>
        <v>#N/A</v>
      </c>
      <c r="U197">
        <f t="shared" si="28"/>
        <v>9.4</v>
      </c>
      <c r="V197">
        <f t="shared" si="29"/>
        <v>5</v>
      </c>
      <c r="W197" t="e">
        <f t="shared" si="30"/>
        <v>#N/A</v>
      </c>
      <c r="X197" t="e">
        <f t="shared" si="31"/>
        <v>#N/A</v>
      </c>
    </row>
    <row r="198" spans="1:24" x14ac:dyDescent="0.3">
      <c r="A198">
        <v>7.3</v>
      </c>
      <c r="B198">
        <v>0.57999999999999996</v>
      </c>
      <c r="C198">
        <v>0.3</v>
      </c>
      <c r="D198">
        <v>2.4</v>
      </c>
      <c r="E198">
        <v>7.400000000000001E-2</v>
      </c>
      <c r="F198">
        <v>15</v>
      </c>
      <c r="G198">
        <v>55</v>
      </c>
      <c r="H198">
        <v>0.99680000000000002</v>
      </c>
      <c r="I198">
        <v>3.46</v>
      </c>
      <c r="J198">
        <v>0.59</v>
      </c>
      <c r="K198">
        <v>10.199999999999999</v>
      </c>
      <c r="L198">
        <v>5</v>
      </c>
      <c r="M198" t="str">
        <f t="shared" si="24"/>
        <v>Medium</v>
      </c>
      <c r="N198">
        <f>(winequality_red[[#This Row],[Updated Quality &amp; Alcohol Analysis]]+winequality_red[[#This Row],[volatile acidity]]+winequality_red[[#This Row],[citric acid]])</f>
        <v>8.18</v>
      </c>
      <c r="O198">
        <f t="shared" si="25"/>
        <v>3.3549019607843136E-2</v>
      </c>
      <c r="S198" t="e">
        <f t="shared" si="26"/>
        <v>#N/A</v>
      </c>
      <c r="T198" t="e">
        <f t="shared" si="27"/>
        <v>#N/A</v>
      </c>
      <c r="U198">
        <f t="shared" si="28"/>
        <v>10.199999999999999</v>
      </c>
      <c r="V198">
        <f t="shared" si="29"/>
        <v>5</v>
      </c>
      <c r="W198" t="e">
        <f t="shared" si="30"/>
        <v>#N/A</v>
      </c>
      <c r="X198" t="e">
        <f t="shared" si="31"/>
        <v>#N/A</v>
      </c>
    </row>
    <row r="199" spans="1:24" x14ac:dyDescent="0.3">
      <c r="A199">
        <v>11.5</v>
      </c>
      <c r="B199">
        <v>0.3</v>
      </c>
      <c r="C199">
        <v>0.6</v>
      </c>
      <c r="D199">
        <v>2</v>
      </c>
      <c r="E199">
        <v>6.7000000000000004E-2</v>
      </c>
      <c r="F199">
        <v>12</v>
      </c>
      <c r="G199">
        <v>27</v>
      </c>
      <c r="H199">
        <v>0.99809999999999999</v>
      </c>
      <c r="I199">
        <v>3.11</v>
      </c>
      <c r="J199">
        <v>0.97</v>
      </c>
      <c r="K199">
        <v>10.1</v>
      </c>
      <c r="L199">
        <v>6</v>
      </c>
      <c r="M199" t="str">
        <f t="shared" si="24"/>
        <v>Medium</v>
      </c>
      <c r="N199">
        <f>(winequality_red[[#This Row],[Updated Quality &amp; Alcohol Analysis]]+winequality_red[[#This Row],[volatile acidity]]+winequality_red[[#This Row],[citric acid]])</f>
        <v>12.4</v>
      </c>
      <c r="O199">
        <f t="shared" si="25"/>
        <v>2.881188118811881E-2</v>
      </c>
      <c r="S199" t="e">
        <f t="shared" si="26"/>
        <v>#N/A</v>
      </c>
      <c r="T199" t="e">
        <f t="shared" si="27"/>
        <v>#N/A</v>
      </c>
      <c r="U199">
        <f t="shared" si="28"/>
        <v>10.1</v>
      </c>
      <c r="V199">
        <f t="shared" si="29"/>
        <v>6</v>
      </c>
      <c r="W199" t="e">
        <f t="shared" si="30"/>
        <v>#N/A</v>
      </c>
      <c r="X199" t="e">
        <f t="shared" si="31"/>
        <v>#N/A</v>
      </c>
    </row>
    <row r="200" spans="1:24" x14ac:dyDescent="0.3">
      <c r="A200">
        <v>5.4</v>
      </c>
      <c r="B200">
        <v>0.83499999999999996</v>
      </c>
      <c r="C200">
        <v>0.08</v>
      </c>
      <c r="D200">
        <v>1.2</v>
      </c>
      <c r="E200">
        <v>4.5999999999999999E-2</v>
      </c>
      <c r="F200">
        <v>13</v>
      </c>
      <c r="G200">
        <v>93</v>
      </c>
      <c r="H200">
        <v>0.99239999999999995</v>
      </c>
      <c r="I200">
        <v>3.57</v>
      </c>
      <c r="J200">
        <v>0.85</v>
      </c>
      <c r="K200">
        <v>13</v>
      </c>
      <c r="L200">
        <v>7</v>
      </c>
      <c r="M200" t="str">
        <f t="shared" si="24"/>
        <v>High</v>
      </c>
      <c r="N200">
        <f>(winequality_red[[#This Row],[Updated Quality &amp; Alcohol Analysis]]+winequality_red[[#This Row],[volatile acidity]]+winequality_red[[#This Row],[citric acid]])</f>
        <v>6.3150000000000004</v>
      </c>
      <c r="O200">
        <f t="shared" si="25"/>
        <v>5.4596153846153843E-2</v>
      </c>
      <c r="S200" t="e">
        <f t="shared" si="26"/>
        <v>#N/A</v>
      </c>
      <c r="T200" t="e">
        <f t="shared" si="27"/>
        <v>#N/A</v>
      </c>
      <c r="U200" t="e">
        <f t="shared" si="28"/>
        <v>#N/A</v>
      </c>
      <c r="V200" t="e">
        <f t="shared" si="29"/>
        <v>#N/A</v>
      </c>
      <c r="W200">
        <f t="shared" si="30"/>
        <v>13</v>
      </c>
      <c r="X200">
        <f t="shared" si="31"/>
        <v>7</v>
      </c>
    </row>
    <row r="201" spans="1:24" x14ac:dyDescent="0.3">
      <c r="A201">
        <v>6.9</v>
      </c>
      <c r="B201">
        <v>1.0900000000000001</v>
      </c>
      <c r="C201">
        <v>0.06</v>
      </c>
      <c r="D201">
        <v>2.1</v>
      </c>
      <c r="E201">
        <v>6.0999999999999999E-2</v>
      </c>
      <c r="F201">
        <v>12</v>
      </c>
      <c r="G201">
        <v>31</v>
      </c>
      <c r="H201">
        <v>0.99480000000000002</v>
      </c>
      <c r="I201">
        <v>3.51</v>
      </c>
      <c r="J201">
        <v>0.43</v>
      </c>
      <c r="K201">
        <v>11.4</v>
      </c>
      <c r="L201">
        <v>4</v>
      </c>
      <c r="M201" t="str">
        <f t="shared" si="24"/>
        <v>Low</v>
      </c>
      <c r="N201">
        <f>(winequality_red[[#This Row],[Updated Quality &amp; Alcohol Analysis]]+winequality_red[[#This Row],[volatile acidity]]+winequality_red[[#This Row],[citric acid]])</f>
        <v>8.0500000000000007</v>
      </c>
      <c r="O201">
        <f t="shared" si="25"/>
        <v>4.1114035087719297E-2</v>
      </c>
      <c r="S201">
        <f t="shared" si="26"/>
        <v>11.4</v>
      </c>
      <c r="T201">
        <f t="shared" si="27"/>
        <v>4</v>
      </c>
      <c r="U201" t="e">
        <f t="shared" si="28"/>
        <v>#N/A</v>
      </c>
      <c r="V201" t="e">
        <f t="shared" si="29"/>
        <v>#N/A</v>
      </c>
      <c r="W201" t="e">
        <f t="shared" si="30"/>
        <v>#N/A</v>
      </c>
      <c r="X201" t="e">
        <f t="shared" si="31"/>
        <v>#N/A</v>
      </c>
    </row>
    <row r="202" spans="1:24" x14ac:dyDescent="0.3">
      <c r="A202">
        <v>9.6</v>
      </c>
      <c r="B202">
        <v>0.32</v>
      </c>
      <c r="C202">
        <v>0.47</v>
      </c>
      <c r="D202">
        <v>1.4</v>
      </c>
      <c r="E202">
        <v>5.5999999999999994E-2</v>
      </c>
      <c r="F202">
        <v>9</v>
      </c>
      <c r="G202">
        <v>24</v>
      </c>
      <c r="H202">
        <v>0.99695</v>
      </c>
      <c r="I202">
        <v>3.22</v>
      </c>
      <c r="J202">
        <v>0.82</v>
      </c>
      <c r="K202">
        <v>10.3</v>
      </c>
      <c r="L202">
        <v>7</v>
      </c>
      <c r="M202" t="str">
        <f t="shared" si="24"/>
        <v>High</v>
      </c>
      <c r="N202">
        <f>(winequality_red[[#This Row],[Updated Quality &amp; Alcohol Analysis]]+winequality_red[[#This Row],[volatile acidity]]+winequality_red[[#This Row],[citric acid]])</f>
        <v>10.39</v>
      </c>
      <c r="O202">
        <f t="shared" si="25"/>
        <v>2.54757281553398E-2</v>
      </c>
      <c r="S202" t="e">
        <f t="shared" si="26"/>
        <v>#N/A</v>
      </c>
      <c r="T202" t="e">
        <f t="shared" si="27"/>
        <v>#N/A</v>
      </c>
      <c r="U202" t="e">
        <f t="shared" si="28"/>
        <v>#N/A</v>
      </c>
      <c r="V202" t="e">
        <f t="shared" si="29"/>
        <v>#N/A</v>
      </c>
      <c r="W202">
        <f t="shared" si="30"/>
        <v>10.3</v>
      </c>
      <c r="X202">
        <f t="shared" si="31"/>
        <v>7</v>
      </c>
    </row>
    <row r="203" spans="1:24" x14ac:dyDescent="0.3">
      <c r="A203">
        <v>8.8000000000000007</v>
      </c>
      <c r="B203">
        <v>0.37</v>
      </c>
      <c r="C203">
        <v>0.48</v>
      </c>
      <c r="D203">
        <v>2.1</v>
      </c>
      <c r="E203">
        <v>9.6999999999999989E-2</v>
      </c>
      <c r="F203">
        <v>39</v>
      </c>
      <c r="G203">
        <v>145</v>
      </c>
      <c r="H203">
        <v>0.99750000000000005</v>
      </c>
      <c r="I203">
        <v>3.04</v>
      </c>
      <c r="J203">
        <v>1.03</v>
      </c>
      <c r="K203">
        <v>9.3000000000000007</v>
      </c>
      <c r="L203">
        <v>5</v>
      </c>
      <c r="M203" t="str">
        <f t="shared" si="24"/>
        <v>Medium</v>
      </c>
      <c r="N203">
        <f>(winequality_red[[#This Row],[Updated Quality &amp; Alcohol Analysis]]+winequality_red[[#This Row],[volatile acidity]]+winequality_red[[#This Row],[citric acid]])</f>
        <v>9.65</v>
      </c>
      <c r="O203">
        <f t="shared" si="25"/>
        <v>4.0978494623655909E-2</v>
      </c>
      <c r="S203" t="e">
        <f t="shared" si="26"/>
        <v>#N/A</v>
      </c>
      <c r="T203" t="e">
        <f t="shared" si="27"/>
        <v>#N/A</v>
      </c>
      <c r="U203">
        <f t="shared" si="28"/>
        <v>9.3000000000000007</v>
      </c>
      <c r="V203">
        <f t="shared" si="29"/>
        <v>5</v>
      </c>
      <c r="W203" t="e">
        <f t="shared" si="30"/>
        <v>#N/A</v>
      </c>
      <c r="X203" t="e">
        <f t="shared" si="31"/>
        <v>#N/A</v>
      </c>
    </row>
    <row r="204" spans="1:24" x14ac:dyDescent="0.3">
      <c r="A204">
        <v>6.8</v>
      </c>
      <c r="B204">
        <v>0.5</v>
      </c>
      <c r="C204">
        <v>0.11</v>
      </c>
      <c r="D204">
        <v>1.5</v>
      </c>
      <c r="E204">
        <v>7.4999999999999997E-2</v>
      </c>
      <c r="F204">
        <v>16</v>
      </c>
      <c r="G204">
        <v>49</v>
      </c>
      <c r="H204">
        <v>0.99544999999999995</v>
      </c>
      <c r="I204">
        <v>3.36</v>
      </c>
      <c r="J204">
        <v>0.79</v>
      </c>
      <c r="K204">
        <v>9.5</v>
      </c>
      <c r="L204">
        <v>5</v>
      </c>
      <c r="M204" t="str">
        <f t="shared" si="24"/>
        <v>Medium</v>
      </c>
      <c r="N204">
        <f>(winequality_red[[#This Row],[Updated Quality &amp; Alcohol Analysis]]+winequality_red[[#This Row],[volatile acidity]]+winequality_red[[#This Row],[citric acid]])</f>
        <v>7.41</v>
      </c>
      <c r="O204">
        <f t="shared" si="25"/>
        <v>4.1578947368421056E-2</v>
      </c>
      <c r="S204" t="e">
        <f t="shared" si="26"/>
        <v>#N/A</v>
      </c>
      <c r="T204" t="e">
        <f t="shared" si="27"/>
        <v>#N/A</v>
      </c>
      <c r="U204">
        <f t="shared" si="28"/>
        <v>9.5</v>
      </c>
      <c r="V204">
        <f t="shared" si="29"/>
        <v>5</v>
      </c>
      <c r="W204" t="e">
        <f t="shared" si="30"/>
        <v>#N/A</v>
      </c>
      <c r="X204" t="e">
        <f t="shared" si="31"/>
        <v>#N/A</v>
      </c>
    </row>
    <row r="205" spans="1:24" x14ac:dyDescent="0.3">
      <c r="A205">
        <v>7</v>
      </c>
      <c r="B205">
        <v>0.42</v>
      </c>
      <c r="C205">
        <v>0.35</v>
      </c>
      <c r="D205">
        <v>1.6</v>
      </c>
      <c r="E205">
        <v>8.8000000000000009E-2</v>
      </c>
      <c r="F205">
        <v>16</v>
      </c>
      <c r="G205">
        <v>39</v>
      </c>
      <c r="H205">
        <v>0.99609999999999999</v>
      </c>
      <c r="I205">
        <v>3.34</v>
      </c>
      <c r="J205">
        <v>0.55000000000000004</v>
      </c>
      <c r="K205">
        <v>9.1999999999999993</v>
      </c>
      <c r="L205">
        <v>5</v>
      </c>
      <c r="M205" t="str">
        <f t="shared" si="24"/>
        <v>Medium</v>
      </c>
      <c r="N205">
        <f>(winequality_red[[#This Row],[Updated Quality &amp; Alcohol Analysis]]+winequality_red[[#This Row],[volatile acidity]]+winequality_red[[#This Row],[citric acid]])</f>
        <v>7.77</v>
      </c>
      <c r="O205">
        <f t="shared" si="25"/>
        <v>2.5108695652173916E-2</v>
      </c>
      <c r="S205" t="e">
        <f t="shared" si="26"/>
        <v>#N/A</v>
      </c>
      <c r="T205" t="e">
        <f t="shared" si="27"/>
        <v>#N/A</v>
      </c>
      <c r="U205">
        <f t="shared" si="28"/>
        <v>9.1999999999999993</v>
      </c>
      <c r="V205">
        <f t="shared" si="29"/>
        <v>5</v>
      </c>
      <c r="W205" t="e">
        <f t="shared" si="30"/>
        <v>#N/A</v>
      </c>
      <c r="X205" t="e">
        <f t="shared" si="31"/>
        <v>#N/A</v>
      </c>
    </row>
    <row r="206" spans="1:24" x14ac:dyDescent="0.3">
      <c r="A206">
        <v>7</v>
      </c>
      <c r="B206">
        <v>0.43</v>
      </c>
      <c r="C206">
        <v>0.36</v>
      </c>
      <c r="D206">
        <v>1.6</v>
      </c>
      <c r="E206">
        <v>8.900000000000001E-2</v>
      </c>
      <c r="F206">
        <v>14</v>
      </c>
      <c r="G206">
        <v>37</v>
      </c>
      <c r="H206">
        <v>0.99614999999999998</v>
      </c>
      <c r="I206">
        <v>3.34</v>
      </c>
      <c r="J206">
        <v>0.56000000000000005</v>
      </c>
      <c r="K206">
        <v>9.1999999999999993</v>
      </c>
      <c r="L206">
        <v>6</v>
      </c>
      <c r="M206" t="str">
        <f t="shared" si="24"/>
        <v>Medium</v>
      </c>
      <c r="N206">
        <f>(winequality_red[[#This Row],[Updated Quality &amp; Alcohol Analysis]]+winequality_red[[#This Row],[volatile acidity]]+winequality_red[[#This Row],[citric acid]])</f>
        <v>7.79</v>
      </c>
      <c r="O206">
        <f t="shared" si="25"/>
        <v>2.6173913043478263E-2</v>
      </c>
      <c r="S206" t="e">
        <f t="shared" si="26"/>
        <v>#N/A</v>
      </c>
      <c r="T206" t="e">
        <f t="shared" si="27"/>
        <v>#N/A</v>
      </c>
      <c r="U206">
        <f t="shared" si="28"/>
        <v>9.1999999999999993</v>
      </c>
      <c r="V206">
        <f t="shared" si="29"/>
        <v>6</v>
      </c>
      <c r="W206" t="e">
        <f t="shared" si="30"/>
        <v>#N/A</v>
      </c>
      <c r="X206" t="e">
        <f t="shared" si="31"/>
        <v>#N/A</v>
      </c>
    </row>
    <row r="207" spans="1:24" x14ac:dyDescent="0.3">
      <c r="A207">
        <v>12.8</v>
      </c>
      <c r="B207">
        <v>0.3</v>
      </c>
      <c r="C207">
        <v>0.74</v>
      </c>
      <c r="D207">
        <v>2.6</v>
      </c>
      <c r="E207">
        <v>9.5000000000000001E-2</v>
      </c>
      <c r="F207">
        <v>9</v>
      </c>
      <c r="G207">
        <v>28</v>
      </c>
      <c r="H207">
        <v>0.99939999999999996</v>
      </c>
      <c r="I207">
        <v>3.2</v>
      </c>
      <c r="J207">
        <v>0.77</v>
      </c>
      <c r="K207">
        <v>10.8</v>
      </c>
      <c r="L207">
        <v>7</v>
      </c>
      <c r="M207" t="str">
        <f t="shared" si="24"/>
        <v>High</v>
      </c>
      <c r="N207">
        <f>(winequality_red[[#This Row],[Updated Quality &amp; Alcohol Analysis]]+winequality_red[[#This Row],[volatile acidity]]+winequality_red[[#This Row],[citric acid]])</f>
        <v>13.840000000000002</v>
      </c>
      <c r="O207">
        <f t="shared" si="25"/>
        <v>2.1388888888888884E-2</v>
      </c>
      <c r="S207" t="e">
        <f t="shared" si="26"/>
        <v>#N/A</v>
      </c>
      <c r="T207" t="e">
        <f t="shared" si="27"/>
        <v>#N/A</v>
      </c>
      <c r="U207" t="e">
        <f t="shared" si="28"/>
        <v>#N/A</v>
      </c>
      <c r="V207" t="e">
        <f t="shared" si="29"/>
        <v>#N/A</v>
      </c>
      <c r="W207">
        <f t="shared" si="30"/>
        <v>10.8</v>
      </c>
      <c r="X207">
        <f t="shared" si="31"/>
        <v>7</v>
      </c>
    </row>
    <row r="208" spans="1:24" x14ac:dyDescent="0.3">
      <c r="A208">
        <v>12.8</v>
      </c>
      <c r="B208">
        <v>0.3</v>
      </c>
      <c r="C208">
        <v>0.74</v>
      </c>
      <c r="D208">
        <v>2.6</v>
      </c>
      <c r="E208">
        <v>9.5000000000000001E-2</v>
      </c>
      <c r="F208">
        <v>9</v>
      </c>
      <c r="G208">
        <v>28</v>
      </c>
      <c r="H208">
        <v>0.99939999999999996</v>
      </c>
      <c r="I208">
        <v>3.2</v>
      </c>
      <c r="J208">
        <v>0.77</v>
      </c>
      <c r="K208">
        <v>10.8</v>
      </c>
      <c r="L208">
        <v>7</v>
      </c>
      <c r="M208" t="str">
        <f t="shared" si="24"/>
        <v>High</v>
      </c>
      <c r="N208">
        <f>(winequality_red[[#This Row],[Updated Quality &amp; Alcohol Analysis]]+winequality_red[[#This Row],[volatile acidity]]+winequality_red[[#This Row],[citric acid]])</f>
        <v>13.840000000000002</v>
      </c>
      <c r="O208">
        <f t="shared" si="25"/>
        <v>2.1388888888888884E-2</v>
      </c>
      <c r="S208" t="e">
        <f t="shared" si="26"/>
        <v>#N/A</v>
      </c>
      <c r="T208" t="e">
        <f t="shared" si="27"/>
        <v>#N/A</v>
      </c>
      <c r="U208" t="e">
        <f t="shared" si="28"/>
        <v>#N/A</v>
      </c>
      <c r="V208" t="e">
        <f t="shared" si="29"/>
        <v>#N/A</v>
      </c>
      <c r="W208">
        <f t="shared" si="30"/>
        <v>10.8</v>
      </c>
      <c r="X208">
        <f t="shared" si="31"/>
        <v>7</v>
      </c>
    </row>
    <row r="209" spans="1:24" x14ac:dyDescent="0.3">
      <c r="A209">
        <v>7.8</v>
      </c>
      <c r="B209">
        <v>0.56999999999999995</v>
      </c>
      <c r="C209">
        <v>0.31</v>
      </c>
      <c r="D209">
        <v>1.8</v>
      </c>
      <c r="E209">
        <v>6.9000000000000006E-2</v>
      </c>
      <c r="F209">
        <v>26</v>
      </c>
      <c r="G209">
        <v>120</v>
      </c>
      <c r="H209">
        <v>0.99624999999999997</v>
      </c>
      <c r="I209">
        <v>3.29</v>
      </c>
      <c r="J209">
        <v>0.53</v>
      </c>
      <c r="K209">
        <v>9.3000000000000007</v>
      </c>
      <c r="L209">
        <v>5</v>
      </c>
      <c r="M209" t="str">
        <f t="shared" si="24"/>
        <v>Medium</v>
      </c>
      <c r="N209">
        <f>(winequality_red[[#This Row],[Updated Quality &amp; Alcohol Analysis]]+winequality_red[[#This Row],[volatile acidity]]+winequality_red[[#This Row],[citric acid]])</f>
        <v>8.68</v>
      </c>
      <c r="O209">
        <f t="shared" si="25"/>
        <v>3.2483870967741933E-2</v>
      </c>
      <c r="S209" t="e">
        <f t="shared" si="26"/>
        <v>#N/A</v>
      </c>
      <c r="T209" t="e">
        <f t="shared" si="27"/>
        <v>#N/A</v>
      </c>
      <c r="U209">
        <f t="shared" si="28"/>
        <v>9.3000000000000007</v>
      </c>
      <c r="V209">
        <f t="shared" si="29"/>
        <v>5</v>
      </c>
      <c r="W209" t="e">
        <f t="shared" si="30"/>
        <v>#N/A</v>
      </c>
      <c r="X209" t="e">
        <f t="shared" si="31"/>
        <v>#N/A</v>
      </c>
    </row>
    <row r="210" spans="1:24" x14ac:dyDescent="0.3">
      <c r="A210">
        <v>7.8</v>
      </c>
      <c r="B210">
        <v>0.44</v>
      </c>
      <c r="C210">
        <v>0.28000000000000003</v>
      </c>
      <c r="D210">
        <v>2.7</v>
      </c>
      <c r="E210">
        <v>0.1</v>
      </c>
      <c r="F210">
        <v>18</v>
      </c>
      <c r="G210">
        <v>95</v>
      </c>
      <c r="H210">
        <v>0.99660000000000004</v>
      </c>
      <c r="I210">
        <v>3.22</v>
      </c>
      <c r="J210">
        <v>0.67</v>
      </c>
      <c r="K210">
        <v>9.4</v>
      </c>
      <c r="L210">
        <v>5</v>
      </c>
      <c r="M210" t="str">
        <f t="shared" si="24"/>
        <v>Medium</v>
      </c>
      <c r="N210">
        <f>(winequality_red[[#This Row],[Updated Quality &amp; Alcohol Analysis]]+winequality_red[[#This Row],[volatile acidity]]+winequality_red[[#This Row],[citric acid]])</f>
        <v>8.52</v>
      </c>
      <c r="O210">
        <f t="shared" si="25"/>
        <v>3.1361702127659576E-2</v>
      </c>
      <c r="S210" t="e">
        <f t="shared" si="26"/>
        <v>#N/A</v>
      </c>
      <c r="T210" t="e">
        <f t="shared" si="27"/>
        <v>#N/A</v>
      </c>
      <c r="U210">
        <f t="shared" si="28"/>
        <v>9.4</v>
      </c>
      <c r="V210">
        <f t="shared" si="29"/>
        <v>5</v>
      </c>
      <c r="W210" t="e">
        <f t="shared" si="30"/>
        <v>#N/A</v>
      </c>
      <c r="X210" t="e">
        <f t="shared" si="31"/>
        <v>#N/A</v>
      </c>
    </row>
    <row r="211" spans="1:24" x14ac:dyDescent="0.3">
      <c r="A211">
        <v>11</v>
      </c>
      <c r="B211">
        <v>0.3</v>
      </c>
      <c r="C211">
        <v>0.57999999999999996</v>
      </c>
      <c r="D211">
        <v>2.1</v>
      </c>
      <c r="E211">
        <v>5.4000000000000006E-2</v>
      </c>
      <c r="F211">
        <v>7</v>
      </c>
      <c r="G211">
        <v>19</v>
      </c>
      <c r="H211">
        <v>0.998</v>
      </c>
      <c r="I211">
        <v>3.31</v>
      </c>
      <c r="J211">
        <v>0.88</v>
      </c>
      <c r="K211">
        <v>10.5</v>
      </c>
      <c r="L211">
        <v>7</v>
      </c>
      <c r="M211" t="str">
        <f t="shared" si="24"/>
        <v>High</v>
      </c>
      <c r="N211">
        <f>(winequality_red[[#This Row],[Updated Quality &amp; Alcohol Analysis]]+winequality_red[[#This Row],[volatile acidity]]+winequality_red[[#This Row],[citric acid]])</f>
        <v>11.88</v>
      </c>
      <c r="O211">
        <f t="shared" si="25"/>
        <v>2.5142857142857144E-2</v>
      </c>
      <c r="S211" t="e">
        <f t="shared" si="26"/>
        <v>#N/A</v>
      </c>
      <c r="T211" t="e">
        <f t="shared" si="27"/>
        <v>#N/A</v>
      </c>
      <c r="U211" t="e">
        <f t="shared" si="28"/>
        <v>#N/A</v>
      </c>
      <c r="V211" t="e">
        <f t="shared" si="29"/>
        <v>#N/A</v>
      </c>
      <c r="W211">
        <f t="shared" si="30"/>
        <v>10.5</v>
      </c>
      <c r="X211">
        <f t="shared" si="31"/>
        <v>7</v>
      </c>
    </row>
    <row r="212" spans="1:24" x14ac:dyDescent="0.3">
      <c r="A212">
        <v>9.6999999999999993</v>
      </c>
      <c r="B212">
        <v>0.53</v>
      </c>
      <c r="C212">
        <v>0.6</v>
      </c>
      <c r="D212">
        <v>2</v>
      </c>
      <c r="E212">
        <v>3.9E-2</v>
      </c>
      <c r="F212">
        <v>5</v>
      </c>
      <c r="G212">
        <v>19</v>
      </c>
      <c r="H212">
        <v>0.99585000000000001</v>
      </c>
      <c r="I212">
        <v>3.3</v>
      </c>
      <c r="J212">
        <v>0.86</v>
      </c>
      <c r="K212">
        <v>12.4</v>
      </c>
      <c r="L212">
        <v>6</v>
      </c>
      <c r="M212" t="str">
        <f t="shared" si="24"/>
        <v>Medium</v>
      </c>
      <c r="N212">
        <f>(winequality_red[[#This Row],[Updated Quality &amp; Alcohol Analysis]]+winequality_red[[#This Row],[volatile acidity]]+winequality_red[[#This Row],[citric acid]])</f>
        <v>10.829999999999998</v>
      </c>
      <c r="O212">
        <f t="shared" si="25"/>
        <v>3.6758064516129035E-2</v>
      </c>
      <c r="S212" t="e">
        <f t="shared" si="26"/>
        <v>#N/A</v>
      </c>
      <c r="T212" t="e">
        <f t="shared" si="27"/>
        <v>#N/A</v>
      </c>
      <c r="U212">
        <f t="shared" si="28"/>
        <v>12.4</v>
      </c>
      <c r="V212">
        <f t="shared" si="29"/>
        <v>6</v>
      </c>
      <c r="W212" t="e">
        <f t="shared" si="30"/>
        <v>#N/A</v>
      </c>
      <c r="X212" t="e">
        <f t="shared" si="31"/>
        <v>#N/A</v>
      </c>
    </row>
    <row r="213" spans="1:24" x14ac:dyDescent="0.3">
      <c r="A213">
        <v>8</v>
      </c>
      <c r="B213">
        <v>0.72499999999999998</v>
      </c>
      <c r="C213">
        <v>0.24</v>
      </c>
      <c r="D213">
        <v>2.8</v>
      </c>
      <c r="E213">
        <v>8.3000000000000004E-2</v>
      </c>
      <c r="F213">
        <v>10</v>
      </c>
      <c r="G213">
        <v>62</v>
      </c>
      <c r="H213">
        <v>0.99685000000000001</v>
      </c>
      <c r="I213">
        <v>3.35</v>
      </c>
      <c r="J213">
        <v>0.56000000000000005</v>
      </c>
      <c r="K213">
        <v>10</v>
      </c>
      <c r="L213">
        <v>6</v>
      </c>
      <c r="M213" t="str">
        <f t="shared" si="24"/>
        <v>Medium</v>
      </c>
      <c r="N213">
        <f>(winequality_red[[#This Row],[Updated Quality &amp; Alcohol Analysis]]+winequality_red[[#This Row],[volatile acidity]]+winequality_red[[#This Row],[citric acid]])</f>
        <v>8.9649999999999999</v>
      </c>
      <c r="O213">
        <f t="shared" si="25"/>
        <v>4.0600000000000004E-2</v>
      </c>
      <c r="S213" t="e">
        <f t="shared" si="26"/>
        <v>#N/A</v>
      </c>
      <c r="T213" t="e">
        <f t="shared" si="27"/>
        <v>#N/A</v>
      </c>
      <c r="U213">
        <f t="shared" si="28"/>
        <v>10</v>
      </c>
      <c r="V213">
        <f t="shared" si="29"/>
        <v>6</v>
      </c>
      <c r="W213" t="e">
        <f t="shared" si="30"/>
        <v>#N/A</v>
      </c>
      <c r="X213" t="e">
        <f t="shared" si="31"/>
        <v>#N/A</v>
      </c>
    </row>
    <row r="214" spans="1:24" x14ac:dyDescent="0.3">
      <c r="A214">
        <v>11.6</v>
      </c>
      <c r="B214">
        <v>0.44</v>
      </c>
      <c r="C214">
        <v>0.64</v>
      </c>
      <c r="D214">
        <v>2.1</v>
      </c>
      <c r="E214">
        <v>5.9000000000000004E-2</v>
      </c>
      <c r="F214">
        <v>5</v>
      </c>
      <c r="G214">
        <v>15</v>
      </c>
      <c r="H214">
        <v>0.998</v>
      </c>
      <c r="I214">
        <v>3.21</v>
      </c>
      <c r="J214">
        <v>0.67</v>
      </c>
      <c r="K214">
        <v>10.199999999999999</v>
      </c>
      <c r="L214">
        <v>6</v>
      </c>
      <c r="M214" t="str">
        <f t="shared" si="24"/>
        <v>Medium</v>
      </c>
      <c r="N214">
        <f>(winequality_red[[#This Row],[Updated Quality &amp; Alcohol Analysis]]+winequality_red[[#This Row],[volatile acidity]]+winequality_red[[#This Row],[citric acid]])</f>
        <v>12.68</v>
      </c>
      <c r="O214">
        <f t="shared" si="25"/>
        <v>2.8901960784313729E-2</v>
      </c>
      <c r="S214" t="e">
        <f t="shared" si="26"/>
        <v>#N/A</v>
      </c>
      <c r="T214" t="e">
        <f t="shared" si="27"/>
        <v>#N/A</v>
      </c>
      <c r="U214">
        <f t="shared" si="28"/>
        <v>10.199999999999999</v>
      </c>
      <c r="V214">
        <f t="shared" si="29"/>
        <v>6</v>
      </c>
      <c r="W214" t="e">
        <f t="shared" si="30"/>
        <v>#N/A</v>
      </c>
      <c r="X214" t="e">
        <f t="shared" si="31"/>
        <v>#N/A</v>
      </c>
    </row>
    <row r="215" spans="1:24" x14ac:dyDescent="0.3">
      <c r="A215">
        <v>8.1999999999999993</v>
      </c>
      <c r="B215">
        <v>0.56999999999999995</v>
      </c>
      <c r="C215">
        <v>0.26</v>
      </c>
      <c r="D215">
        <v>2.2000000000000002</v>
      </c>
      <c r="E215">
        <v>0.06</v>
      </c>
      <c r="F215">
        <v>28</v>
      </c>
      <c r="G215">
        <v>65</v>
      </c>
      <c r="H215">
        <v>0.99590000000000001</v>
      </c>
      <c r="I215">
        <v>3.3</v>
      </c>
      <c r="J215">
        <v>0.43</v>
      </c>
      <c r="K215">
        <v>10.1</v>
      </c>
      <c r="L215">
        <v>5</v>
      </c>
      <c r="M215" t="str">
        <f t="shared" si="24"/>
        <v>Medium</v>
      </c>
      <c r="N215">
        <f>(winequality_red[[#This Row],[Updated Quality &amp; Alcohol Analysis]]+winequality_red[[#This Row],[volatile acidity]]+winequality_red[[#This Row],[citric acid]])</f>
        <v>9.0299999999999994</v>
      </c>
      <c r="O215">
        <f t="shared" si="25"/>
        <v>2.4267326732673268E-2</v>
      </c>
      <c r="S215" t="e">
        <f t="shared" si="26"/>
        <v>#N/A</v>
      </c>
      <c r="T215" t="e">
        <f t="shared" si="27"/>
        <v>#N/A</v>
      </c>
      <c r="U215">
        <f t="shared" si="28"/>
        <v>10.1</v>
      </c>
      <c r="V215">
        <f t="shared" si="29"/>
        <v>5</v>
      </c>
      <c r="W215" t="e">
        <f t="shared" si="30"/>
        <v>#N/A</v>
      </c>
      <c r="X215" t="e">
        <f t="shared" si="31"/>
        <v>#N/A</v>
      </c>
    </row>
    <row r="216" spans="1:24" x14ac:dyDescent="0.3">
      <c r="A216">
        <v>7.8</v>
      </c>
      <c r="B216">
        <v>0.73499999999999999</v>
      </c>
      <c r="C216">
        <v>0.08</v>
      </c>
      <c r="D216">
        <v>2.4</v>
      </c>
      <c r="E216">
        <v>9.1999999999999998E-2</v>
      </c>
      <c r="F216">
        <v>10</v>
      </c>
      <c r="G216">
        <v>41</v>
      </c>
      <c r="H216">
        <v>0.99739999999999995</v>
      </c>
      <c r="I216">
        <v>3.24</v>
      </c>
      <c r="J216">
        <v>0.71</v>
      </c>
      <c r="K216">
        <v>9.8000000000000007</v>
      </c>
      <c r="L216">
        <v>6</v>
      </c>
      <c r="M216" t="str">
        <f t="shared" si="24"/>
        <v>Medium</v>
      </c>
      <c r="N216">
        <f>(winequality_red[[#This Row],[Updated Quality &amp; Alcohol Analysis]]+winequality_red[[#This Row],[volatile acidity]]+winequality_red[[#This Row],[citric acid]])</f>
        <v>8.6150000000000002</v>
      </c>
      <c r="O216">
        <f t="shared" si="25"/>
        <v>5.3249999999999992E-2</v>
      </c>
      <c r="S216" t="e">
        <f t="shared" si="26"/>
        <v>#N/A</v>
      </c>
      <c r="T216" t="e">
        <f t="shared" si="27"/>
        <v>#N/A</v>
      </c>
      <c r="U216">
        <f t="shared" si="28"/>
        <v>9.8000000000000007</v>
      </c>
      <c r="V216">
        <f t="shared" si="29"/>
        <v>6</v>
      </c>
      <c r="W216" t="e">
        <f t="shared" si="30"/>
        <v>#N/A</v>
      </c>
      <c r="X216" t="e">
        <f t="shared" si="31"/>
        <v>#N/A</v>
      </c>
    </row>
    <row r="217" spans="1:24" x14ac:dyDescent="0.3">
      <c r="A217">
        <v>7</v>
      </c>
      <c r="B217">
        <v>0.49</v>
      </c>
      <c r="C217">
        <v>0.49</v>
      </c>
      <c r="D217">
        <v>5.6</v>
      </c>
      <c r="E217">
        <v>0.06</v>
      </c>
      <c r="F217">
        <v>26</v>
      </c>
      <c r="G217">
        <v>121</v>
      </c>
      <c r="H217">
        <v>0.99739999999999995</v>
      </c>
      <c r="I217">
        <v>3.34</v>
      </c>
      <c r="J217">
        <v>0.76</v>
      </c>
      <c r="K217">
        <v>10.5</v>
      </c>
      <c r="L217">
        <v>5</v>
      </c>
      <c r="M217" t="str">
        <f t="shared" si="24"/>
        <v>Medium</v>
      </c>
      <c r="N217">
        <f>(winequality_red[[#This Row],[Updated Quality &amp; Alcohol Analysis]]+winequality_red[[#This Row],[volatile acidity]]+winequality_red[[#This Row],[citric acid]])</f>
        <v>7.98</v>
      </c>
      <c r="O217">
        <f t="shared" si="25"/>
        <v>3.5466666666666667E-2</v>
      </c>
      <c r="S217" t="e">
        <f t="shared" si="26"/>
        <v>#N/A</v>
      </c>
      <c r="T217" t="e">
        <f t="shared" si="27"/>
        <v>#N/A</v>
      </c>
      <c r="U217">
        <f t="shared" si="28"/>
        <v>10.5</v>
      </c>
      <c r="V217">
        <f t="shared" si="29"/>
        <v>5</v>
      </c>
      <c r="W217" t="e">
        <f t="shared" si="30"/>
        <v>#N/A</v>
      </c>
      <c r="X217" t="e">
        <f t="shared" si="31"/>
        <v>#N/A</v>
      </c>
    </row>
    <row r="218" spans="1:24" x14ac:dyDescent="0.3">
      <c r="A218">
        <v>8.6999999999999993</v>
      </c>
      <c r="B218">
        <v>0.625</v>
      </c>
      <c r="C218">
        <v>0.16</v>
      </c>
      <c r="D218">
        <v>2</v>
      </c>
      <c r="E218">
        <v>0.10099999999999999</v>
      </c>
      <c r="F218">
        <v>13</v>
      </c>
      <c r="G218">
        <v>49</v>
      </c>
      <c r="H218">
        <v>0.99619999999999997</v>
      </c>
      <c r="I218">
        <v>3.14</v>
      </c>
      <c r="J218">
        <v>0.56999999999999995</v>
      </c>
      <c r="K218">
        <v>11</v>
      </c>
      <c r="L218">
        <v>5</v>
      </c>
      <c r="M218" t="str">
        <f t="shared" si="24"/>
        <v>Medium</v>
      </c>
      <c r="N218">
        <f>(winequality_red[[#This Row],[Updated Quality &amp; Alcohol Analysis]]+winequality_red[[#This Row],[volatile acidity]]+winequality_red[[#This Row],[citric acid]])</f>
        <v>9.4849999999999994</v>
      </c>
      <c r="O218">
        <f t="shared" si="25"/>
        <v>3.238636363636363E-2</v>
      </c>
      <c r="S218" t="e">
        <f t="shared" si="26"/>
        <v>#N/A</v>
      </c>
      <c r="T218" t="e">
        <f t="shared" si="27"/>
        <v>#N/A</v>
      </c>
      <c r="U218">
        <f t="shared" si="28"/>
        <v>11</v>
      </c>
      <c r="V218">
        <f t="shared" si="29"/>
        <v>5</v>
      </c>
      <c r="W218" t="e">
        <f t="shared" si="30"/>
        <v>#N/A</v>
      </c>
      <c r="X218" t="e">
        <f t="shared" si="31"/>
        <v>#N/A</v>
      </c>
    </row>
    <row r="219" spans="1:24" x14ac:dyDescent="0.3">
      <c r="A219">
        <v>8.1</v>
      </c>
      <c r="B219">
        <v>0.72499999999999998</v>
      </c>
      <c r="C219">
        <v>0.22</v>
      </c>
      <c r="D219">
        <v>2.2000000000000002</v>
      </c>
      <c r="E219">
        <v>7.2000000000000008E-2</v>
      </c>
      <c r="F219">
        <v>11</v>
      </c>
      <c r="G219">
        <v>41</v>
      </c>
      <c r="H219">
        <v>0.99670000000000003</v>
      </c>
      <c r="I219">
        <v>3.36</v>
      </c>
      <c r="J219">
        <v>0.55000000000000004</v>
      </c>
      <c r="K219">
        <v>9.1</v>
      </c>
      <c r="L219">
        <v>5</v>
      </c>
      <c r="M219" t="str">
        <f t="shared" si="24"/>
        <v>Medium</v>
      </c>
      <c r="N219">
        <f>(winequality_red[[#This Row],[Updated Quality &amp; Alcohol Analysis]]+winequality_red[[#This Row],[volatile acidity]]+winequality_red[[#This Row],[citric acid]])</f>
        <v>9.0449999999999999</v>
      </c>
      <c r="O219">
        <f t="shared" si="25"/>
        <v>4.3818681318681323E-2</v>
      </c>
      <c r="S219" t="e">
        <f t="shared" si="26"/>
        <v>#N/A</v>
      </c>
      <c r="T219" t="e">
        <f t="shared" si="27"/>
        <v>#N/A</v>
      </c>
      <c r="U219">
        <f t="shared" si="28"/>
        <v>9.1</v>
      </c>
      <c r="V219">
        <f t="shared" si="29"/>
        <v>5</v>
      </c>
      <c r="W219" t="e">
        <f t="shared" si="30"/>
        <v>#N/A</v>
      </c>
      <c r="X219" t="e">
        <f t="shared" si="31"/>
        <v>#N/A</v>
      </c>
    </row>
    <row r="220" spans="1:24" x14ac:dyDescent="0.3">
      <c r="A220">
        <v>7.5</v>
      </c>
      <c r="B220">
        <v>0.49</v>
      </c>
      <c r="C220">
        <v>0.19</v>
      </c>
      <c r="D220">
        <v>1.9</v>
      </c>
      <c r="E220">
        <v>7.5999999999999998E-2</v>
      </c>
      <c r="F220">
        <v>10</v>
      </c>
      <c r="G220">
        <v>44</v>
      </c>
      <c r="H220">
        <v>0.99570000000000003</v>
      </c>
      <c r="I220">
        <v>3.39</v>
      </c>
      <c r="J220">
        <v>0.54</v>
      </c>
      <c r="K220">
        <v>9.6999999999999993</v>
      </c>
      <c r="L220">
        <v>5</v>
      </c>
      <c r="M220" t="str">
        <f t="shared" si="24"/>
        <v>Medium</v>
      </c>
      <c r="N220">
        <f>(winequality_red[[#This Row],[Updated Quality &amp; Alcohol Analysis]]+winequality_red[[#This Row],[volatile acidity]]+winequality_red[[#This Row],[citric acid]])</f>
        <v>8.18</v>
      </c>
      <c r="O220">
        <f t="shared" si="25"/>
        <v>2.7278350515463921E-2</v>
      </c>
      <c r="S220" t="e">
        <f t="shared" si="26"/>
        <v>#N/A</v>
      </c>
      <c r="T220" t="e">
        <f t="shared" si="27"/>
        <v>#N/A</v>
      </c>
      <c r="U220">
        <f t="shared" si="28"/>
        <v>9.6999999999999993</v>
      </c>
      <c r="V220">
        <f t="shared" si="29"/>
        <v>5</v>
      </c>
      <c r="W220" t="e">
        <f t="shared" si="30"/>
        <v>#N/A</v>
      </c>
      <c r="X220" t="e">
        <f t="shared" si="31"/>
        <v>#N/A</v>
      </c>
    </row>
    <row r="221" spans="1:24" x14ac:dyDescent="0.3">
      <c r="A221">
        <v>7.8</v>
      </c>
      <c r="B221">
        <v>0.53</v>
      </c>
      <c r="C221">
        <v>0.33</v>
      </c>
      <c r="D221">
        <v>2.4</v>
      </c>
      <c r="E221">
        <v>0.08</v>
      </c>
      <c r="F221">
        <v>24</v>
      </c>
      <c r="G221">
        <v>144</v>
      </c>
      <c r="H221">
        <v>0.99655000000000005</v>
      </c>
      <c r="I221">
        <v>3.3</v>
      </c>
      <c r="J221">
        <v>0.6</v>
      </c>
      <c r="K221">
        <v>9.5</v>
      </c>
      <c r="L221">
        <v>5</v>
      </c>
      <c r="M221" t="str">
        <f t="shared" si="24"/>
        <v>Medium</v>
      </c>
      <c r="N221">
        <f>(winequality_red[[#This Row],[Updated Quality &amp; Alcohol Analysis]]+winequality_red[[#This Row],[volatile acidity]]+winequality_red[[#This Row],[citric acid]])</f>
        <v>8.66</v>
      </c>
      <c r="O221">
        <f t="shared" si="25"/>
        <v>3.3473684210526315E-2</v>
      </c>
      <c r="S221" t="e">
        <f t="shared" si="26"/>
        <v>#N/A</v>
      </c>
      <c r="T221" t="e">
        <f t="shared" si="27"/>
        <v>#N/A</v>
      </c>
      <c r="U221">
        <f t="shared" si="28"/>
        <v>9.5</v>
      </c>
      <c r="V221">
        <f t="shared" si="29"/>
        <v>5</v>
      </c>
      <c r="W221" t="e">
        <f t="shared" si="30"/>
        <v>#N/A</v>
      </c>
      <c r="X221" t="e">
        <f t="shared" si="31"/>
        <v>#N/A</v>
      </c>
    </row>
    <row r="222" spans="1:24" x14ac:dyDescent="0.3">
      <c r="A222">
        <v>7.8</v>
      </c>
      <c r="B222">
        <v>0.34</v>
      </c>
      <c r="C222">
        <v>0.37</v>
      </c>
      <c r="D222">
        <v>2</v>
      </c>
      <c r="E222">
        <v>8.199999999999999E-2</v>
      </c>
      <c r="F222">
        <v>24</v>
      </c>
      <c r="G222">
        <v>58</v>
      </c>
      <c r="H222">
        <v>0.99639999999999995</v>
      </c>
      <c r="I222">
        <v>3.34</v>
      </c>
      <c r="J222">
        <v>0.59</v>
      </c>
      <c r="K222">
        <v>9.4</v>
      </c>
      <c r="L222">
        <v>6</v>
      </c>
      <c r="M222" t="str">
        <f t="shared" si="24"/>
        <v>Medium</v>
      </c>
      <c r="N222">
        <f>(winequality_red[[#This Row],[Updated Quality &amp; Alcohol Analysis]]+winequality_red[[#This Row],[volatile acidity]]+winequality_red[[#This Row],[citric acid]])</f>
        <v>8.51</v>
      </c>
      <c r="O222">
        <f t="shared" si="25"/>
        <v>2.1340425531914894E-2</v>
      </c>
      <c r="S222" t="e">
        <f t="shared" si="26"/>
        <v>#N/A</v>
      </c>
      <c r="T222" t="e">
        <f t="shared" si="27"/>
        <v>#N/A</v>
      </c>
      <c r="U222">
        <f t="shared" si="28"/>
        <v>9.4</v>
      </c>
      <c r="V222">
        <f t="shared" si="29"/>
        <v>6</v>
      </c>
      <c r="W222" t="e">
        <f t="shared" si="30"/>
        <v>#N/A</v>
      </c>
      <c r="X222" t="e">
        <f t="shared" si="31"/>
        <v>#N/A</v>
      </c>
    </row>
    <row r="223" spans="1:24" x14ac:dyDescent="0.3">
      <c r="A223">
        <v>7.4</v>
      </c>
      <c r="B223">
        <v>0.53</v>
      </c>
      <c r="C223">
        <v>0.26</v>
      </c>
      <c r="D223">
        <v>2</v>
      </c>
      <c r="E223">
        <v>0.10099999999999999</v>
      </c>
      <c r="F223">
        <v>16</v>
      </c>
      <c r="G223">
        <v>72</v>
      </c>
      <c r="H223">
        <v>0.99570000000000003</v>
      </c>
      <c r="I223">
        <v>3.15</v>
      </c>
      <c r="J223">
        <v>0.56999999999999995</v>
      </c>
      <c r="K223">
        <v>9.4</v>
      </c>
      <c r="L223">
        <v>5</v>
      </c>
      <c r="M223" t="str">
        <f t="shared" si="24"/>
        <v>Medium</v>
      </c>
      <c r="N223">
        <f>(winequality_red[[#This Row],[Updated Quality &amp; Alcohol Analysis]]+winequality_red[[#This Row],[volatile acidity]]+winequality_red[[#This Row],[citric acid]])</f>
        <v>8.1900000000000013</v>
      </c>
      <c r="O223">
        <f t="shared" si="25"/>
        <v>3.2138297872340425E-2</v>
      </c>
      <c r="S223" t="e">
        <f t="shared" si="26"/>
        <v>#N/A</v>
      </c>
      <c r="T223" t="e">
        <f t="shared" si="27"/>
        <v>#N/A</v>
      </c>
      <c r="U223">
        <f t="shared" si="28"/>
        <v>9.4</v>
      </c>
      <c r="V223">
        <f t="shared" si="29"/>
        <v>5</v>
      </c>
      <c r="W223" t="e">
        <f t="shared" si="30"/>
        <v>#N/A</v>
      </c>
      <c r="X223" t="e">
        <f t="shared" si="31"/>
        <v>#N/A</v>
      </c>
    </row>
    <row r="224" spans="1:24" x14ac:dyDescent="0.3">
      <c r="A224">
        <v>6.8</v>
      </c>
      <c r="B224">
        <v>0.61</v>
      </c>
      <c r="C224">
        <v>0.04</v>
      </c>
      <c r="D224">
        <v>1.5</v>
      </c>
      <c r="E224">
        <v>5.7000000000000002E-2</v>
      </c>
      <c r="F224">
        <v>5</v>
      </c>
      <c r="G224">
        <v>10</v>
      </c>
      <c r="H224">
        <v>0.99524999999999997</v>
      </c>
      <c r="I224">
        <v>3.42</v>
      </c>
      <c r="J224">
        <v>0.6</v>
      </c>
      <c r="K224">
        <v>9.5</v>
      </c>
      <c r="L224">
        <v>5</v>
      </c>
      <c r="M224" t="str">
        <f t="shared" si="24"/>
        <v>Medium</v>
      </c>
      <c r="N224">
        <f>(winequality_red[[#This Row],[Updated Quality &amp; Alcohol Analysis]]+winequality_red[[#This Row],[volatile acidity]]+winequality_red[[#This Row],[citric acid]])</f>
        <v>7.45</v>
      </c>
      <c r="O224">
        <f t="shared" si="25"/>
        <v>3.8526315789473686E-2</v>
      </c>
      <c r="S224" t="e">
        <f t="shared" si="26"/>
        <v>#N/A</v>
      </c>
      <c r="T224" t="e">
        <f t="shared" si="27"/>
        <v>#N/A</v>
      </c>
      <c r="U224">
        <f t="shared" si="28"/>
        <v>9.5</v>
      </c>
      <c r="V224">
        <f t="shared" si="29"/>
        <v>5</v>
      </c>
      <c r="W224" t="e">
        <f t="shared" si="30"/>
        <v>#N/A</v>
      </c>
      <c r="X224" t="e">
        <f t="shared" si="31"/>
        <v>#N/A</v>
      </c>
    </row>
    <row r="225" spans="1:24" x14ac:dyDescent="0.3">
      <c r="A225">
        <v>8.6</v>
      </c>
      <c r="B225">
        <v>0.64500000000000002</v>
      </c>
      <c r="C225">
        <v>0.25</v>
      </c>
      <c r="D225">
        <v>2</v>
      </c>
      <c r="E225">
        <v>8.3000000000000004E-2</v>
      </c>
      <c r="F225">
        <v>8</v>
      </c>
      <c r="G225">
        <v>28</v>
      </c>
      <c r="H225">
        <v>0.99814999999999998</v>
      </c>
      <c r="I225">
        <v>3.28</v>
      </c>
      <c r="J225">
        <v>0.6</v>
      </c>
      <c r="K225">
        <v>10</v>
      </c>
      <c r="L225">
        <v>6</v>
      </c>
      <c r="M225" t="str">
        <f t="shared" si="24"/>
        <v>Medium</v>
      </c>
      <c r="N225">
        <f>(winequality_red[[#This Row],[Updated Quality &amp; Alcohol Analysis]]+winequality_red[[#This Row],[volatile acidity]]+winequality_red[[#This Row],[citric acid]])</f>
        <v>9.4949999999999992</v>
      </c>
      <c r="O225">
        <f t="shared" si="25"/>
        <v>3.8699999999999998E-2</v>
      </c>
      <c r="S225" t="e">
        <f t="shared" si="26"/>
        <v>#N/A</v>
      </c>
      <c r="T225" t="e">
        <f t="shared" si="27"/>
        <v>#N/A</v>
      </c>
      <c r="U225">
        <f t="shared" si="28"/>
        <v>10</v>
      </c>
      <c r="V225">
        <f t="shared" si="29"/>
        <v>6</v>
      </c>
      <c r="W225" t="e">
        <f t="shared" si="30"/>
        <v>#N/A</v>
      </c>
      <c r="X225" t="e">
        <f t="shared" si="31"/>
        <v>#N/A</v>
      </c>
    </row>
    <row r="226" spans="1:24" x14ac:dyDescent="0.3">
      <c r="A226">
        <v>8.4</v>
      </c>
      <c r="B226">
        <v>0.63500000000000001</v>
      </c>
      <c r="C226">
        <v>0.36</v>
      </c>
      <c r="D226">
        <v>2</v>
      </c>
      <c r="E226">
        <v>8.900000000000001E-2</v>
      </c>
      <c r="F226">
        <v>15</v>
      </c>
      <c r="G226">
        <v>55</v>
      </c>
      <c r="H226">
        <v>0.99744999999999995</v>
      </c>
      <c r="I226">
        <v>3.31</v>
      </c>
      <c r="J226">
        <v>0.56999999999999995</v>
      </c>
      <c r="K226">
        <v>10.4</v>
      </c>
      <c r="L226">
        <v>4</v>
      </c>
      <c r="M226" t="str">
        <f t="shared" si="24"/>
        <v>Low</v>
      </c>
      <c r="N226">
        <f>(winequality_red[[#This Row],[Updated Quality &amp; Alcohol Analysis]]+winequality_red[[#This Row],[volatile acidity]]+winequality_red[[#This Row],[citric acid]])</f>
        <v>9.3949999999999996</v>
      </c>
      <c r="O226">
        <f t="shared" si="25"/>
        <v>3.4802884615384611E-2</v>
      </c>
      <c r="S226">
        <f t="shared" si="26"/>
        <v>10.4</v>
      </c>
      <c r="T226">
        <f t="shared" si="27"/>
        <v>4</v>
      </c>
      <c r="U226" t="e">
        <f t="shared" si="28"/>
        <v>#N/A</v>
      </c>
      <c r="V226" t="e">
        <f t="shared" si="29"/>
        <v>#N/A</v>
      </c>
      <c r="W226" t="e">
        <f t="shared" si="30"/>
        <v>#N/A</v>
      </c>
      <c r="X226" t="e">
        <f t="shared" si="31"/>
        <v>#N/A</v>
      </c>
    </row>
    <row r="227" spans="1:24" x14ac:dyDescent="0.3">
      <c r="A227">
        <v>7.7</v>
      </c>
      <c r="B227">
        <v>0.43</v>
      </c>
      <c r="C227">
        <v>0.25</v>
      </c>
      <c r="D227">
        <v>2.6</v>
      </c>
      <c r="E227">
        <v>7.2999999999999995E-2</v>
      </c>
      <c r="F227">
        <v>29</v>
      </c>
      <c r="G227">
        <v>63</v>
      </c>
      <c r="H227">
        <v>0.99614999999999998</v>
      </c>
      <c r="I227">
        <v>3.37</v>
      </c>
      <c r="J227">
        <v>0.57999999999999996</v>
      </c>
      <c r="K227">
        <v>10.5</v>
      </c>
      <c r="L227">
        <v>6</v>
      </c>
      <c r="M227" t="str">
        <f t="shared" si="24"/>
        <v>Medium</v>
      </c>
      <c r="N227">
        <f>(winequality_red[[#This Row],[Updated Quality &amp; Alcohol Analysis]]+winequality_red[[#This Row],[volatile acidity]]+winequality_red[[#This Row],[citric acid]])</f>
        <v>8.3800000000000008</v>
      </c>
      <c r="O227">
        <f t="shared" si="25"/>
        <v>2.3752380952380952E-2</v>
      </c>
      <c r="S227" t="e">
        <f t="shared" si="26"/>
        <v>#N/A</v>
      </c>
      <c r="T227" t="e">
        <f t="shared" si="27"/>
        <v>#N/A</v>
      </c>
      <c r="U227">
        <f t="shared" si="28"/>
        <v>10.5</v>
      </c>
      <c r="V227">
        <f t="shared" si="29"/>
        <v>6</v>
      </c>
      <c r="W227" t="e">
        <f t="shared" si="30"/>
        <v>#N/A</v>
      </c>
      <c r="X227" t="e">
        <f t="shared" si="31"/>
        <v>#N/A</v>
      </c>
    </row>
    <row r="228" spans="1:24" x14ac:dyDescent="0.3">
      <c r="A228">
        <v>8.9</v>
      </c>
      <c r="B228">
        <v>0.59</v>
      </c>
      <c r="C228">
        <v>0.5</v>
      </c>
      <c r="D228">
        <v>2</v>
      </c>
      <c r="E228">
        <v>0.33700000000000002</v>
      </c>
      <c r="F228">
        <v>27</v>
      </c>
      <c r="G228">
        <v>81</v>
      </c>
      <c r="H228">
        <v>0.99639999999999995</v>
      </c>
      <c r="I228">
        <v>3.04</v>
      </c>
      <c r="J228">
        <v>1.61</v>
      </c>
      <c r="K228">
        <v>9.5</v>
      </c>
      <c r="L228">
        <v>6</v>
      </c>
      <c r="M228" t="str">
        <f t="shared" si="24"/>
        <v>Medium</v>
      </c>
      <c r="N228">
        <f>(winequality_red[[#This Row],[Updated Quality &amp; Alcohol Analysis]]+winequality_red[[#This Row],[volatile acidity]]+winequality_red[[#This Row],[citric acid]])</f>
        <v>9.99</v>
      </c>
      <c r="O228">
        <f t="shared" si="25"/>
        <v>9.9989473684210517E-2</v>
      </c>
      <c r="S228" t="e">
        <f t="shared" si="26"/>
        <v>#N/A</v>
      </c>
      <c r="T228" t="e">
        <f t="shared" si="27"/>
        <v>#N/A</v>
      </c>
      <c r="U228">
        <f t="shared" si="28"/>
        <v>9.5</v>
      </c>
      <c r="V228">
        <f t="shared" si="29"/>
        <v>6</v>
      </c>
      <c r="W228" t="e">
        <f t="shared" si="30"/>
        <v>#N/A</v>
      </c>
      <c r="X228" t="e">
        <f t="shared" si="31"/>
        <v>#N/A</v>
      </c>
    </row>
    <row r="229" spans="1:24" x14ac:dyDescent="0.3">
      <c r="A229">
        <v>9</v>
      </c>
      <c r="B229">
        <v>0.82</v>
      </c>
      <c r="C229">
        <v>0.14000000000000001</v>
      </c>
      <c r="D229">
        <v>2.6</v>
      </c>
      <c r="E229">
        <v>8.900000000000001E-2</v>
      </c>
      <c r="F229">
        <v>9</v>
      </c>
      <c r="G229">
        <v>23</v>
      </c>
      <c r="H229">
        <v>0.99839999999999995</v>
      </c>
      <c r="I229">
        <v>3.39</v>
      </c>
      <c r="J229">
        <v>0.63</v>
      </c>
      <c r="K229">
        <v>9.8000000000000007</v>
      </c>
      <c r="L229">
        <v>5</v>
      </c>
      <c r="M229" t="str">
        <f t="shared" si="24"/>
        <v>Medium</v>
      </c>
      <c r="N229">
        <f>(winequality_red[[#This Row],[Updated Quality &amp; Alcohol Analysis]]+winequality_red[[#This Row],[volatile acidity]]+winequality_red[[#This Row],[citric acid]])</f>
        <v>9.9600000000000009</v>
      </c>
      <c r="O229">
        <f t="shared" si="25"/>
        <v>5.2714285714285707E-2</v>
      </c>
      <c r="S229" t="e">
        <f t="shared" si="26"/>
        <v>#N/A</v>
      </c>
      <c r="T229" t="e">
        <f t="shared" si="27"/>
        <v>#N/A</v>
      </c>
      <c r="U229">
        <f t="shared" si="28"/>
        <v>9.8000000000000007</v>
      </c>
      <c r="V229">
        <f t="shared" si="29"/>
        <v>5</v>
      </c>
      <c r="W229" t="e">
        <f t="shared" si="30"/>
        <v>#N/A</v>
      </c>
      <c r="X229" t="e">
        <f t="shared" si="31"/>
        <v>#N/A</v>
      </c>
    </row>
    <row r="230" spans="1:24" x14ac:dyDescent="0.3">
      <c r="A230">
        <v>7.7</v>
      </c>
      <c r="B230">
        <v>0.43</v>
      </c>
      <c r="C230">
        <v>0.25</v>
      </c>
      <c r="D230">
        <v>2.6</v>
      </c>
      <c r="E230">
        <v>7.2999999999999995E-2</v>
      </c>
      <c r="F230">
        <v>29</v>
      </c>
      <c r="G230">
        <v>63</v>
      </c>
      <c r="H230">
        <v>0.99614999999999998</v>
      </c>
      <c r="I230">
        <v>3.37</v>
      </c>
      <c r="J230">
        <v>0.57999999999999996</v>
      </c>
      <c r="K230">
        <v>10.5</v>
      </c>
      <c r="L230">
        <v>6</v>
      </c>
      <c r="M230" t="str">
        <f t="shared" si="24"/>
        <v>Medium</v>
      </c>
      <c r="N230">
        <f>(winequality_red[[#This Row],[Updated Quality &amp; Alcohol Analysis]]+winequality_red[[#This Row],[volatile acidity]]+winequality_red[[#This Row],[citric acid]])</f>
        <v>8.3800000000000008</v>
      </c>
      <c r="O230">
        <f t="shared" si="25"/>
        <v>2.3752380952380952E-2</v>
      </c>
      <c r="S230" t="e">
        <f t="shared" si="26"/>
        <v>#N/A</v>
      </c>
      <c r="T230" t="e">
        <f t="shared" si="27"/>
        <v>#N/A</v>
      </c>
      <c r="U230">
        <f t="shared" si="28"/>
        <v>10.5</v>
      </c>
      <c r="V230">
        <f t="shared" si="29"/>
        <v>6</v>
      </c>
      <c r="W230" t="e">
        <f t="shared" si="30"/>
        <v>#N/A</v>
      </c>
      <c r="X230" t="e">
        <f t="shared" si="31"/>
        <v>#N/A</v>
      </c>
    </row>
    <row r="231" spans="1:24" x14ac:dyDescent="0.3">
      <c r="A231">
        <v>6.9</v>
      </c>
      <c r="B231">
        <v>0.52</v>
      </c>
      <c r="C231">
        <v>0.25</v>
      </c>
      <c r="D231">
        <v>2.6</v>
      </c>
      <c r="E231">
        <v>8.1000000000000003E-2</v>
      </c>
      <c r="F231">
        <v>10</v>
      </c>
      <c r="G231">
        <v>37</v>
      </c>
      <c r="H231">
        <v>0.99685000000000001</v>
      </c>
      <c r="I231">
        <v>3.46</v>
      </c>
      <c r="J231">
        <v>0.5</v>
      </c>
      <c r="K231">
        <v>11</v>
      </c>
      <c r="L231">
        <v>5</v>
      </c>
      <c r="M231" t="str">
        <f t="shared" si="24"/>
        <v>Medium</v>
      </c>
      <c r="N231">
        <f>(winequality_red[[#This Row],[Updated Quality &amp; Alcohol Analysis]]+winequality_red[[#This Row],[volatile acidity]]+winequality_red[[#This Row],[citric acid]])</f>
        <v>7.67</v>
      </c>
      <c r="O231">
        <f t="shared" si="25"/>
        <v>2.3636363636363636E-2</v>
      </c>
      <c r="S231" t="e">
        <f t="shared" si="26"/>
        <v>#N/A</v>
      </c>
      <c r="T231" t="e">
        <f t="shared" si="27"/>
        <v>#N/A</v>
      </c>
      <c r="U231">
        <f t="shared" si="28"/>
        <v>11</v>
      </c>
      <c r="V231">
        <f t="shared" si="29"/>
        <v>5</v>
      </c>
      <c r="W231" t="e">
        <f t="shared" si="30"/>
        <v>#N/A</v>
      </c>
      <c r="X231" t="e">
        <f t="shared" si="31"/>
        <v>#N/A</v>
      </c>
    </row>
    <row r="232" spans="1:24" x14ac:dyDescent="0.3">
      <c r="A232">
        <v>5.2</v>
      </c>
      <c r="B232">
        <v>0.48</v>
      </c>
      <c r="C232">
        <v>0.04</v>
      </c>
      <c r="D232">
        <v>1.6</v>
      </c>
      <c r="E232">
        <v>5.4000000000000006E-2</v>
      </c>
      <c r="F232">
        <v>19</v>
      </c>
      <c r="G232">
        <v>106</v>
      </c>
      <c r="H232">
        <v>0.99270000000000003</v>
      </c>
      <c r="I232">
        <v>3.54</v>
      </c>
      <c r="J232">
        <v>0.62</v>
      </c>
      <c r="K232">
        <v>12.2</v>
      </c>
      <c r="L232">
        <v>7</v>
      </c>
      <c r="M232" t="str">
        <f t="shared" si="24"/>
        <v>High</v>
      </c>
      <c r="N232">
        <f>(winequality_red[[#This Row],[Updated Quality &amp; Alcohol Analysis]]+winequality_red[[#This Row],[volatile acidity]]+winequality_red[[#This Row],[citric acid]])</f>
        <v>5.72</v>
      </c>
      <c r="O232">
        <f t="shared" si="25"/>
        <v>2.4393442622950821E-2</v>
      </c>
      <c r="S232" t="e">
        <f t="shared" si="26"/>
        <v>#N/A</v>
      </c>
      <c r="T232" t="e">
        <f t="shared" si="27"/>
        <v>#N/A</v>
      </c>
      <c r="U232" t="e">
        <f t="shared" si="28"/>
        <v>#N/A</v>
      </c>
      <c r="V232" t="e">
        <f t="shared" si="29"/>
        <v>#N/A</v>
      </c>
      <c r="W232">
        <f t="shared" si="30"/>
        <v>12.2</v>
      </c>
      <c r="X232">
        <f t="shared" si="31"/>
        <v>7</v>
      </c>
    </row>
    <row r="233" spans="1:24" x14ac:dyDescent="0.3">
      <c r="A233">
        <v>8</v>
      </c>
      <c r="B233">
        <v>0.38</v>
      </c>
      <c r="C233">
        <v>0.06</v>
      </c>
      <c r="D233">
        <v>1.8</v>
      </c>
      <c r="E233">
        <v>7.8E-2</v>
      </c>
      <c r="F233">
        <v>12</v>
      </c>
      <c r="G233">
        <v>49</v>
      </c>
      <c r="H233">
        <v>0.99624999999999997</v>
      </c>
      <c r="I233">
        <v>3.37</v>
      </c>
      <c r="J233">
        <v>0.52</v>
      </c>
      <c r="K233">
        <v>9.9</v>
      </c>
      <c r="L233">
        <v>6</v>
      </c>
      <c r="M233" t="str">
        <f t="shared" si="24"/>
        <v>Medium</v>
      </c>
      <c r="N233">
        <f>(winequality_red[[#This Row],[Updated Quality &amp; Alcohol Analysis]]+winequality_red[[#This Row],[volatile acidity]]+winequality_red[[#This Row],[citric acid]])</f>
        <v>8.4400000000000013</v>
      </c>
      <c r="O233">
        <f t="shared" si="25"/>
        <v>1.9959595959595958E-2</v>
      </c>
      <c r="S233" t="e">
        <f t="shared" si="26"/>
        <v>#N/A</v>
      </c>
      <c r="T233" t="e">
        <f t="shared" si="27"/>
        <v>#N/A</v>
      </c>
      <c r="U233">
        <f t="shared" si="28"/>
        <v>9.9</v>
      </c>
      <c r="V233">
        <f t="shared" si="29"/>
        <v>6</v>
      </c>
      <c r="W233" t="e">
        <f t="shared" si="30"/>
        <v>#N/A</v>
      </c>
      <c r="X233" t="e">
        <f t="shared" si="31"/>
        <v>#N/A</v>
      </c>
    </row>
    <row r="234" spans="1:24" x14ac:dyDescent="0.3">
      <c r="A234">
        <v>8.5</v>
      </c>
      <c r="B234">
        <v>0.37</v>
      </c>
      <c r="C234">
        <v>0.2</v>
      </c>
      <c r="D234">
        <v>2.8</v>
      </c>
      <c r="E234">
        <v>0.09</v>
      </c>
      <c r="F234">
        <v>18</v>
      </c>
      <c r="G234">
        <v>58</v>
      </c>
      <c r="H234">
        <v>0.998</v>
      </c>
      <c r="I234">
        <v>3.34</v>
      </c>
      <c r="J234">
        <v>0.7</v>
      </c>
      <c r="K234">
        <v>9.6</v>
      </c>
      <c r="L234">
        <v>6</v>
      </c>
      <c r="M234" t="str">
        <f t="shared" si="24"/>
        <v>Medium</v>
      </c>
      <c r="N234">
        <f>(winequality_red[[#This Row],[Updated Quality &amp; Alcohol Analysis]]+winequality_red[[#This Row],[volatile acidity]]+winequality_red[[#This Row],[citric acid]])</f>
        <v>9.0699999999999985</v>
      </c>
      <c r="O234">
        <f t="shared" si="25"/>
        <v>2.6979166666666669E-2</v>
      </c>
      <c r="S234" t="e">
        <f t="shared" si="26"/>
        <v>#N/A</v>
      </c>
      <c r="T234" t="e">
        <f t="shared" si="27"/>
        <v>#N/A</v>
      </c>
      <c r="U234">
        <f t="shared" si="28"/>
        <v>9.6</v>
      </c>
      <c r="V234">
        <f t="shared" si="29"/>
        <v>6</v>
      </c>
      <c r="W234" t="e">
        <f t="shared" si="30"/>
        <v>#N/A</v>
      </c>
      <c r="X234" t="e">
        <f t="shared" si="31"/>
        <v>#N/A</v>
      </c>
    </row>
    <row r="235" spans="1:24" x14ac:dyDescent="0.3">
      <c r="A235">
        <v>6.9</v>
      </c>
      <c r="B235">
        <v>0.52</v>
      </c>
      <c r="C235">
        <v>0.25</v>
      </c>
      <c r="D235">
        <v>2.6</v>
      </c>
      <c r="E235">
        <v>8.1000000000000003E-2</v>
      </c>
      <c r="F235">
        <v>10</v>
      </c>
      <c r="G235">
        <v>37</v>
      </c>
      <c r="H235">
        <v>0.99685000000000001</v>
      </c>
      <c r="I235">
        <v>3.46</v>
      </c>
      <c r="J235">
        <v>0.5</v>
      </c>
      <c r="K235">
        <v>11</v>
      </c>
      <c r="L235">
        <v>5</v>
      </c>
      <c r="M235" t="str">
        <f t="shared" si="24"/>
        <v>Medium</v>
      </c>
      <c r="N235">
        <f>(winequality_red[[#This Row],[Updated Quality &amp; Alcohol Analysis]]+winequality_red[[#This Row],[volatile acidity]]+winequality_red[[#This Row],[citric acid]])</f>
        <v>7.67</v>
      </c>
      <c r="O235">
        <f t="shared" si="25"/>
        <v>2.3636363636363636E-2</v>
      </c>
      <c r="S235" t="e">
        <f t="shared" si="26"/>
        <v>#N/A</v>
      </c>
      <c r="T235" t="e">
        <f t="shared" si="27"/>
        <v>#N/A</v>
      </c>
      <c r="U235">
        <f t="shared" si="28"/>
        <v>11</v>
      </c>
      <c r="V235">
        <f t="shared" si="29"/>
        <v>5</v>
      </c>
      <c r="W235" t="e">
        <f t="shared" si="30"/>
        <v>#N/A</v>
      </c>
      <c r="X235" t="e">
        <f t="shared" si="31"/>
        <v>#N/A</v>
      </c>
    </row>
    <row r="236" spans="1:24" x14ac:dyDescent="0.3">
      <c r="A236">
        <v>8.1999999999999993</v>
      </c>
      <c r="B236">
        <v>1</v>
      </c>
      <c r="C236">
        <v>0.09</v>
      </c>
      <c r="D236">
        <v>2.2999999999999998</v>
      </c>
      <c r="E236">
        <v>6.5000000000000002E-2</v>
      </c>
      <c r="F236">
        <v>7</v>
      </c>
      <c r="G236">
        <v>37</v>
      </c>
      <c r="H236">
        <v>0.99685000000000001</v>
      </c>
      <c r="I236">
        <v>3.32</v>
      </c>
      <c r="J236">
        <v>0.55000000000000004</v>
      </c>
      <c r="K236">
        <v>9</v>
      </c>
      <c r="L236">
        <v>6</v>
      </c>
      <c r="M236" t="str">
        <f t="shared" si="24"/>
        <v>Medium</v>
      </c>
      <c r="N236">
        <f>(winequality_red[[#This Row],[Updated Quality &amp; Alcohol Analysis]]+winequality_red[[#This Row],[volatile acidity]]+winequality_red[[#This Row],[citric acid]])</f>
        <v>9.2899999999999991</v>
      </c>
      <c r="O236">
        <f t="shared" si="25"/>
        <v>6.1111111111111116E-2</v>
      </c>
      <c r="S236" t="e">
        <f t="shared" si="26"/>
        <v>#N/A</v>
      </c>
      <c r="T236" t="e">
        <f t="shared" si="27"/>
        <v>#N/A</v>
      </c>
      <c r="U236">
        <f t="shared" si="28"/>
        <v>9</v>
      </c>
      <c r="V236">
        <f t="shared" si="29"/>
        <v>6</v>
      </c>
      <c r="W236" t="e">
        <f t="shared" si="30"/>
        <v>#N/A</v>
      </c>
      <c r="X236" t="e">
        <f t="shared" si="31"/>
        <v>#N/A</v>
      </c>
    </row>
    <row r="237" spans="1:24" x14ac:dyDescent="0.3">
      <c r="A237">
        <v>7.2</v>
      </c>
      <c r="B237">
        <v>0.63</v>
      </c>
      <c r="C237">
        <v>0</v>
      </c>
      <c r="D237">
        <v>1.9</v>
      </c>
      <c r="E237">
        <v>9.6999999999999989E-2</v>
      </c>
      <c r="F237">
        <v>14</v>
      </c>
      <c r="G237">
        <v>38</v>
      </c>
      <c r="H237">
        <v>0.99675000000000002</v>
      </c>
      <c r="I237">
        <v>3.37</v>
      </c>
      <c r="J237">
        <v>0.57999999999999996</v>
      </c>
      <c r="K237">
        <v>9</v>
      </c>
      <c r="L237">
        <v>6</v>
      </c>
      <c r="M237" t="str">
        <f t="shared" si="24"/>
        <v>Medium</v>
      </c>
      <c r="N237">
        <f>(winequality_red[[#This Row],[Updated Quality &amp; Alcohol Analysis]]+winequality_red[[#This Row],[volatile acidity]]+winequality_red[[#This Row],[citric acid]])</f>
        <v>7.83</v>
      </c>
      <c r="O237">
        <f t="shared" si="25"/>
        <v>4.0599999999999997E-2</v>
      </c>
      <c r="S237" t="e">
        <f t="shared" si="26"/>
        <v>#N/A</v>
      </c>
      <c r="T237" t="e">
        <f t="shared" si="27"/>
        <v>#N/A</v>
      </c>
      <c r="U237">
        <f t="shared" si="28"/>
        <v>9</v>
      </c>
      <c r="V237">
        <f t="shared" si="29"/>
        <v>6</v>
      </c>
      <c r="W237" t="e">
        <f t="shared" si="30"/>
        <v>#N/A</v>
      </c>
      <c r="X237" t="e">
        <f t="shared" si="31"/>
        <v>#N/A</v>
      </c>
    </row>
    <row r="238" spans="1:24" x14ac:dyDescent="0.3">
      <c r="A238">
        <v>7.2</v>
      </c>
      <c r="B238">
        <v>0.63</v>
      </c>
      <c r="C238">
        <v>0</v>
      </c>
      <c r="D238">
        <v>1.9</v>
      </c>
      <c r="E238">
        <v>9.6999999999999989E-2</v>
      </c>
      <c r="F238">
        <v>14</v>
      </c>
      <c r="G238">
        <v>38</v>
      </c>
      <c r="H238">
        <v>0.99675000000000002</v>
      </c>
      <c r="I238">
        <v>3.37</v>
      </c>
      <c r="J238">
        <v>0.57999999999999996</v>
      </c>
      <c r="K238">
        <v>9</v>
      </c>
      <c r="L238">
        <v>6</v>
      </c>
      <c r="M238" t="str">
        <f t="shared" si="24"/>
        <v>Medium</v>
      </c>
      <c r="N238">
        <f>(winequality_red[[#This Row],[Updated Quality &amp; Alcohol Analysis]]+winequality_red[[#This Row],[volatile acidity]]+winequality_red[[#This Row],[citric acid]])</f>
        <v>7.83</v>
      </c>
      <c r="O238">
        <f t="shared" si="25"/>
        <v>4.0599999999999997E-2</v>
      </c>
      <c r="S238" t="e">
        <f t="shared" si="26"/>
        <v>#N/A</v>
      </c>
      <c r="T238" t="e">
        <f t="shared" si="27"/>
        <v>#N/A</v>
      </c>
      <c r="U238">
        <f t="shared" si="28"/>
        <v>9</v>
      </c>
      <c r="V238">
        <f t="shared" si="29"/>
        <v>6</v>
      </c>
      <c r="W238" t="e">
        <f t="shared" si="30"/>
        <v>#N/A</v>
      </c>
      <c r="X238" t="e">
        <f t="shared" si="31"/>
        <v>#N/A</v>
      </c>
    </row>
    <row r="239" spans="1:24" x14ac:dyDescent="0.3">
      <c r="A239">
        <v>7.2</v>
      </c>
      <c r="B239">
        <v>0.64500000000000002</v>
      </c>
      <c r="C239">
        <v>0</v>
      </c>
      <c r="D239">
        <v>1.9</v>
      </c>
      <c r="E239">
        <v>9.6999999999999989E-2</v>
      </c>
      <c r="F239">
        <v>15</v>
      </c>
      <c r="G239">
        <v>39</v>
      </c>
      <c r="H239">
        <v>0.99675000000000002</v>
      </c>
      <c r="I239">
        <v>3.37</v>
      </c>
      <c r="J239">
        <v>0.57999999999999996</v>
      </c>
      <c r="K239">
        <v>9.1999999999999993</v>
      </c>
      <c r="L239">
        <v>6</v>
      </c>
      <c r="M239" t="str">
        <f t="shared" si="24"/>
        <v>Medium</v>
      </c>
      <c r="N239">
        <f>(winequality_red[[#This Row],[Updated Quality &amp; Alcohol Analysis]]+winequality_red[[#This Row],[volatile acidity]]+winequality_red[[#This Row],[citric acid]])</f>
        <v>7.8450000000000006</v>
      </c>
      <c r="O239">
        <f t="shared" si="25"/>
        <v>4.0663043478260871E-2</v>
      </c>
      <c r="S239" t="e">
        <f t="shared" si="26"/>
        <v>#N/A</v>
      </c>
      <c r="T239" t="e">
        <f t="shared" si="27"/>
        <v>#N/A</v>
      </c>
      <c r="U239">
        <f t="shared" si="28"/>
        <v>9.1999999999999993</v>
      </c>
      <c r="V239">
        <f t="shared" si="29"/>
        <v>6</v>
      </c>
      <c r="W239" t="e">
        <f t="shared" si="30"/>
        <v>#N/A</v>
      </c>
      <c r="X239" t="e">
        <f t="shared" si="31"/>
        <v>#N/A</v>
      </c>
    </row>
    <row r="240" spans="1:24" x14ac:dyDescent="0.3">
      <c r="A240">
        <v>7.2</v>
      </c>
      <c r="B240">
        <v>0.63</v>
      </c>
      <c r="C240">
        <v>0</v>
      </c>
      <c r="D240">
        <v>1.9</v>
      </c>
      <c r="E240">
        <v>9.6999999999999989E-2</v>
      </c>
      <c r="F240">
        <v>14</v>
      </c>
      <c r="G240">
        <v>38</v>
      </c>
      <c r="H240">
        <v>0.99675000000000002</v>
      </c>
      <c r="I240">
        <v>3.37</v>
      </c>
      <c r="J240">
        <v>0.57999999999999996</v>
      </c>
      <c r="K240">
        <v>9</v>
      </c>
      <c r="L240">
        <v>6</v>
      </c>
      <c r="M240" t="str">
        <f t="shared" si="24"/>
        <v>Medium</v>
      </c>
      <c r="N240">
        <f>(winequality_red[[#This Row],[Updated Quality &amp; Alcohol Analysis]]+winequality_red[[#This Row],[volatile acidity]]+winequality_red[[#This Row],[citric acid]])</f>
        <v>7.83</v>
      </c>
      <c r="O240">
        <f t="shared" si="25"/>
        <v>4.0599999999999997E-2</v>
      </c>
      <c r="S240" t="e">
        <f t="shared" si="26"/>
        <v>#N/A</v>
      </c>
      <c r="T240" t="e">
        <f t="shared" si="27"/>
        <v>#N/A</v>
      </c>
      <c r="U240">
        <f t="shared" si="28"/>
        <v>9</v>
      </c>
      <c r="V240">
        <f t="shared" si="29"/>
        <v>6</v>
      </c>
      <c r="W240" t="e">
        <f t="shared" si="30"/>
        <v>#N/A</v>
      </c>
      <c r="X240" t="e">
        <f t="shared" si="31"/>
        <v>#N/A</v>
      </c>
    </row>
    <row r="241" spans="1:24" x14ac:dyDescent="0.3">
      <c r="A241">
        <v>8.1999999999999993</v>
      </c>
      <c r="B241">
        <v>1</v>
      </c>
      <c r="C241">
        <v>0.09</v>
      </c>
      <c r="D241">
        <v>2.2999999999999998</v>
      </c>
      <c r="E241">
        <v>6.5000000000000002E-2</v>
      </c>
      <c r="F241">
        <v>7</v>
      </c>
      <c r="G241">
        <v>37</v>
      </c>
      <c r="H241">
        <v>0.99685000000000001</v>
      </c>
      <c r="I241">
        <v>3.32</v>
      </c>
      <c r="J241">
        <v>0.55000000000000004</v>
      </c>
      <c r="K241">
        <v>9</v>
      </c>
      <c r="L241">
        <v>6</v>
      </c>
      <c r="M241" t="str">
        <f t="shared" si="24"/>
        <v>Medium</v>
      </c>
      <c r="N241">
        <f>(winequality_red[[#This Row],[Updated Quality &amp; Alcohol Analysis]]+winequality_red[[#This Row],[volatile acidity]]+winequality_red[[#This Row],[citric acid]])</f>
        <v>9.2899999999999991</v>
      </c>
      <c r="O241">
        <f t="shared" si="25"/>
        <v>6.1111111111111116E-2</v>
      </c>
      <c r="S241" t="e">
        <f t="shared" si="26"/>
        <v>#N/A</v>
      </c>
      <c r="T241" t="e">
        <f t="shared" si="27"/>
        <v>#N/A</v>
      </c>
      <c r="U241">
        <f t="shared" si="28"/>
        <v>9</v>
      </c>
      <c r="V241">
        <f t="shared" si="29"/>
        <v>6</v>
      </c>
      <c r="W241" t="e">
        <f t="shared" si="30"/>
        <v>#N/A</v>
      </c>
      <c r="X241" t="e">
        <f t="shared" si="31"/>
        <v>#N/A</v>
      </c>
    </row>
    <row r="242" spans="1:24" x14ac:dyDescent="0.3">
      <c r="A242">
        <v>8.9</v>
      </c>
      <c r="B242">
        <v>0.63500000000000001</v>
      </c>
      <c r="C242">
        <v>0.37</v>
      </c>
      <c r="D242">
        <v>1.7</v>
      </c>
      <c r="E242">
        <v>0.26300000000000001</v>
      </c>
      <c r="F242">
        <v>5</v>
      </c>
      <c r="G242">
        <v>62</v>
      </c>
      <c r="H242">
        <v>0.99709999999999999</v>
      </c>
      <c r="I242">
        <v>3</v>
      </c>
      <c r="J242">
        <v>1.0900000000000001</v>
      </c>
      <c r="K242">
        <v>9.3000000000000007</v>
      </c>
      <c r="L242">
        <v>5</v>
      </c>
      <c r="M242" t="str">
        <f t="shared" si="24"/>
        <v>Medium</v>
      </c>
      <c r="N242">
        <f>(winequality_red[[#This Row],[Updated Quality &amp; Alcohol Analysis]]+winequality_red[[#This Row],[volatile acidity]]+winequality_red[[#This Row],[citric acid]])</f>
        <v>9.9049999999999994</v>
      </c>
      <c r="O242">
        <f t="shared" si="25"/>
        <v>7.4424731182795703E-2</v>
      </c>
      <c r="S242" t="e">
        <f t="shared" si="26"/>
        <v>#N/A</v>
      </c>
      <c r="T242" t="e">
        <f t="shared" si="27"/>
        <v>#N/A</v>
      </c>
      <c r="U242">
        <f t="shared" si="28"/>
        <v>9.3000000000000007</v>
      </c>
      <c r="V242">
        <f t="shared" si="29"/>
        <v>5</v>
      </c>
      <c r="W242" t="e">
        <f t="shared" si="30"/>
        <v>#N/A</v>
      </c>
      <c r="X242" t="e">
        <f t="shared" si="31"/>
        <v>#N/A</v>
      </c>
    </row>
    <row r="243" spans="1:24" x14ac:dyDescent="0.3">
      <c r="A243">
        <v>12</v>
      </c>
      <c r="B243">
        <v>0.38</v>
      </c>
      <c r="C243">
        <v>0.56000000000000005</v>
      </c>
      <c r="D243">
        <v>2.1</v>
      </c>
      <c r="E243">
        <v>9.3000000000000013E-2</v>
      </c>
      <c r="F243">
        <v>6</v>
      </c>
      <c r="G243">
        <v>24</v>
      </c>
      <c r="H243">
        <v>0.99924999999999997</v>
      </c>
      <c r="I243">
        <v>3.14</v>
      </c>
      <c r="J243">
        <v>0.71</v>
      </c>
      <c r="K243">
        <v>10.9</v>
      </c>
      <c r="L243">
        <v>6</v>
      </c>
      <c r="M243" t="str">
        <f t="shared" si="24"/>
        <v>Medium</v>
      </c>
      <c r="N243">
        <f>(winequality_red[[#This Row],[Updated Quality &amp; Alcohol Analysis]]+winequality_red[[#This Row],[volatile acidity]]+winequality_red[[#This Row],[citric acid]])</f>
        <v>12.940000000000001</v>
      </c>
      <c r="O243">
        <f t="shared" si="25"/>
        <v>2.475229357798165E-2</v>
      </c>
      <c r="S243" t="e">
        <f t="shared" si="26"/>
        <v>#N/A</v>
      </c>
      <c r="T243" t="e">
        <f t="shared" si="27"/>
        <v>#N/A</v>
      </c>
      <c r="U243">
        <f t="shared" si="28"/>
        <v>10.9</v>
      </c>
      <c r="V243">
        <f t="shared" si="29"/>
        <v>6</v>
      </c>
      <c r="W243" t="e">
        <f t="shared" si="30"/>
        <v>#N/A</v>
      </c>
      <c r="X243" t="e">
        <f t="shared" si="31"/>
        <v>#N/A</v>
      </c>
    </row>
    <row r="244" spans="1:24" x14ac:dyDescent="0.3">
      <c r="A244">
        <v>7.7</v>
      </c>
      <c r="B244">
        <v>0.57999999999999996</v>
      </c>
      <c r="C244">
        <v>0.1</v>
      </c>
      <c r="D244">
        <v>1.8</v>
      </c>
      <c r="E244">
        <v>0.10199999999999999</v>
      </c>
      <c r="F244">
        <v>28</v>
      </c>
      <c r="G244">
        <v>109</v>
      </c>
      <c r="H244">
        <v>0.99565000000000003</v>
      </c>
      <c r="I244">
        <v>3.08</v>
      </c>
      <c r="J244">
        <v>0.49</v>
      </c>
      <c r="K244">
        <v>9.8000000000000007</v>
      </c>
      <c r="L244">
        <v>6</v>
      </c>
      <c r="M244" t="str">
        <f t="shared" si="24"/>
        <v>Medium</v>
      </c>
      <c r="N244">
        <f>(winequality_red[[#This Row],[Updated Quality &amp; Alcohol Analysis]]+winequality_red[[#This Row],[volatile acidity]]+winequality_red[[#This Row],[citric acid]])</f>
        <v>8.379999999999999</v>
      </c>
      <c r="O244">
        <f t="shared" si="25"/>
        <v>2.8999999999999995E-2</v>
      </c>
      <c r="S244" t="e">
        <f t="shared" si="26"/>
        <v>#N/A</v>
      </c>
      <c r="T244" t="e">
        <f t="shared" si="27"/>
        <v>#N/A</v>
      </c>
      <c r="U244">
        <f t="shared" si="28"/>
        <v>9.8000000000000007</v>
      </c>
      <c r="V244">
        <f t="shared" si="29"/>
        <v>6</v>
      </c>
      <c r="W244" t="e">
        <f t="shared" si="30"/>
        <v>#N/A</v>
      </c>
      <c r="X244" t="e">
        <f t="shared" si="31"/>
        <v>#N/A</v>
      </c>
    </row>
    <row r="245" spans="1:24" x14ac:dyDescent="0.3">
      <c r="A245">
        <v>15</v>
      </c>
      <c r="B245">
        <v>0.21</v>
      </c>
      <c r="C245">
        <v>0.44</v>
      </c>
      <c r="D245">
        <v>2.2000000000000002</v>
      </c>
      <c r="E245">
        <v>7.4999999999999997E-2</v>
      </c>
      <c r="F245">
        <v>10</v>
      </c>
      <c r="G245">
        <v>24</v>
      </c>
      <c r="H245">
        <v>1.0000500000000001</v>
      </c>
      <c r="I245">
        <v>3.07</v>
      </c>
      <c r="J245">
        <v>0.84</v>
      </c>
      <c r="K245">
        <v>9.1999999999999993</v>
      </c>
      <c r="L245">
        <v>7</v>
      </c>
      <c r="M245" t="str">
        <f t="shared" si="24"/>
        <v>High</v>
      </c>
      <c r="N245">
        <f>(winequality_red[[#This Row],[Updated Quality &amp; Alcohol Analysis]]+winequality_red[[#This Row],[volatile acidity]]+winequality_red[[#This Row],[citric acid]])</f>
        <v>15.65</v>
      </c>
      <c r="O245">
        <f t="shared" si="25"/>
        <v>1.917391304347826E-2</v>
      </c>
      <c r="S245" t="e">
        <f t="shared" si="26"/>
        <v>#N/A</v>
      </c>
      <c r="T245" t="e">
        <f t="shared" si="27"/>
        <v>#N/A</v>
      </c>
      <c r="U245" t="e">
        <f t="shared" si="28"/>
        <v>#N/A</v>
      </c>
      <c r="V245" t="e">
        <f t="shared" si="29"/>
        <v>#N/A</v>
      </c>
      <c r="W245">
        <f t="shared" si="30"/>
        <v>9.1999999999999993</v>
      </c>
      <c r="X245">
        <f t="shared" si="31"/>
        <v>7</v>
      </c>
    </row>
    <row r="246" spans="1:24" x14ac:dyDescent="0.3">
      <c r="A246">
        <v>15</v>
      </c>
      <c r="B246">
        <v>0.21</v>
      </c>
      <c r="C246">
        <v>0.44</v>
      </c>
      <c r="D246">
        <v>2.2000000000000002</v>
      </c>
      <c r="E246">
        <v>7.4999999999999997E-2</v>
      </c>
      <c r="F246">
        <v>10</v>
      </c>
      <c r="G246">
        <v>24</v>
      </c>
      <c r="H246">
        <v>1.0000500000000001</v>
      </c>
      <c r="I246">
        <v>3.07</v>
      </c>
      <c r="J246">
        <v>0.84</v>
      </c>
      <c r="K246">
        <v>9.1999999999999993</v>
      </c>
      <c r="L246">
        <v>7</v>
      </c>
      <c r="M246" t="str">
        <f t="shared" si="24"/>
        <v>High</v>
      </c>
      <c r="N246">
        <f>(winequality_red[[#This Row],[Updated Quality &amp; Alcohol Analysis]]+winequality_red[[#This Row],[volatile acidity]]+winequality_red[[#This Row],[citric acid]])</f>
        <v>15.65</v>
      </c>
      <c r="O246">
        <f t="shared" si="25"/>
        <v>1.917391304347826E-2</v>
      </c>
      <c r="S246" t="e">
        <f t="shared" si="26"/>
        <v>#N/A</v>
      </c>
      <c r="T246" t="e">
        <f t="shared" si="27"/>
        <v>#N/A</v>
      </c>
      <c r="U246" t="e">
        <f t="shared" si="28"/>
        <v>#N/A</v>
      </c>
      <c r="V246" t="e">
        <f t="shared" si="29"/>
        <v>#N/A</v>
      </c>
      <c r="W246">
        <f t="shared" si="30"/>
        <v>9.1999999999999993</v>
      </c>
      <c r="X246">
        <f t="shared" si="31"/>
        <v>7</v>
      </c>
    </row>
    <row r="247" spans="1:24" x14ac:dyDescent="0.3">
      <c r="A247">
        <v>7.3</v>
      </c>
      <c r="B247">
        <v>0.66</v>
      </c>
      <c r="C247">
        <v>0</v>
      </c>
      <c r="D247">
        <v>2</v>
      </c>
      <c r="E247">
        <v>8.4000000000000005E-2</v>
      </c>
      <c r="F247">
        <v>6</v>
      </c>
      <c r="G247">
        <v>23</v>
      </c>
      <c r="H247">
        <v>0.99829999999999997</v>
      </c>
      <c r="I247">
        <v>3.61</v>
      </c>
      <c r="J247">
        <v>0.96</v>
      </c>
      <c r="K247">
        <v>9.9</v>
      </c>
      <c r="L247">
        <v>6</v>
      </c>
      <c r="M247" t="str">
        <f t="shared" si="24"/>
        <v>Medium</v>
      </c>
      <c r="N247">
        <f>(winequality_red[[#This Row],[Updated Quality &amp; Alcohol Analysis]]+winequality_red[[#This Row],[volatile acidity]]+winequality_red[[#This Row],[citric acid]])</f>
        <v>7.96</v>
      </c>
      <c r="O247">
        <f t="shared" si="25"/>
        <v>6.4000000000000001E-2</v>
      </c>
      <c r="S247" t="e">
        <f t="shared" si="26"/>
        <v>#N/A</v>
      </c>
      <c r="T247" t="e">
        <f t="shared" si="27"/>
        <v>#N/A</v>
      </c>
      <c r="U247">
        <f t="shared" si="28"/>
        <v>9.9</v>
      </c>
      <c r="V247">
        <f t="shared" si="29"/>
        <v>6</v>
      </c>
      <c r="W247" t="e">
        <f t="shared" si="30"/>
        <v>#N/A</v>
      </c>
      <c r="X247" t="e">
        <f t="shared" si="31"/>
        <v>#N/A</v>
      </c>
    </row>
    <row r="248" spans="1:24" x14ac:dyDescent="0.3">
      <c r="A248">
        <v>7.1</v>
      </c>
      <c r="B248">
        <v>0.68</v>
      </c>
      <c r="C248">
        <v>7.0000000000000007E-2</v>
      </c>
      <c r="D248">
        <v>1.9</v>
      </c>
      <c r="E248">
        <v>7.4999999999999997E-2</v>
      </c>
      <c r="F248">
        <v>16</v>
      </c>
      <c r="G248">
        <v>51</v>
      </c>
      <c r="H248">
        <v>0.99685000000000001</v>
      </c>
      <c r="I248">
        <v>3.38</v>
      </c>
      <c r="J248">
        <v>0.52</v>
      </c>
      <c r="K248">
        <v>9.5</v>
      </c>
      <c r="L248">
        <v>5</v>
      </c>
      <c r="M248" t="str">
        <f t="shared" si="24"/>
        <v>Medium</v>
      </c>
      <c r="N248">
        <f>(winequality_red[[#This Row],[Updated Quality &amp; Alcohol Analysis]]+winequality_red[[#This Row],[volatile acidity]]+winequality_red[[#This Row],[citric acid]])</f>
        <v>7.85</v>
      </c>
      <c r="O248">
        <f t="shared" si="25"/>
        <v>3.7221052631578953E-2</v>
      </c>
      <c r="S248" t="e">
        <f t="shared" si="26"/>
        <v>#N/A</v>
      </c>
      <c r="T248" t="e">
        <f t="shared" si="27"/>
        <v>#N/A</v>
      </c>
      <c r="U248">
        <f t="shared" si="28"/>
        <v>9.5</v>
      </c>
      <c r="V248">
        <f t="shared" si="29"/>
        <v>5</v>
      </c>
      <c r="W248" t="e">
        <f t="shared" si="30"/>
        <v>#N/A</v>
      </c>
      <c r="X248" t="e">
        <f t="shared" si="31"/>
        <v>#N/A</v>
      </c>
    </row>
    <row r="249" spans="1:24" x14ac:dyDescent="0.3">
      <c r="A249">
        <v>8.1999999999999993</v>
      </c>
      <c r="B249">
        <v>0.6</v>
      </c>
      <c r="C249">
        <v>0.17</v>
      </c>
      <c r="D249">
        <v>2.2999999999999998</v>
      </c>
      <c r="E249">
        <v>7.2000000000000008E-2</v>
      </c>
      <c r="F249">
        <v>11</v>
      </c>
      <c r="G249">
        <v>73</v>
      </c>
      <c r="H249">
        <v>0.99629999999999996</v>
      </c>
      <c r="I249">
        <v>3.2</v>
      </c>
      <c r="J249">
        <v>0.45</v>
      </c>
      <c r="K249">
        <v>9.3000000000000007</v>
      </c>
      <c r="L249">
        <v>5</v>
      </c>
      <c r="M249" t="str">
        <f t="shared" si="24"/>
        <v>Medium</v>
      </c>
      <c r="N249">
        <f>(winequality_red[[#This Row],[Updated Quality &amp; Alcohol Analysis]]+winequality_red[[#This Row],[volatile acidity]]+winequality_red[[#This Row],[citric acid]])</f>
        <v>8.9699999999999989</v>
      </c>
      <c r="O249">
        <f t="shared" si="25"/>
        <v>2.903225806451613E-2</v>
      </c>
      <c r="S249" t="e">
        <f t="shared" si="26"/>
        <v>#N/A</v>
      </c>
      <c r="T249" t="e">
        <f t="shared" si="27"/>
        <v>#N/A</v>
      </c>
      <c r="U249">
        <f t="shared" si="28"/>
        <v>9.3000000000000007</v>
      </c>
      <c r="V249">
        <f t="shared" si="29"/>
        <v>5</v>
      </c>
      <c r="W249" t="e">
        <f t="shared" si="30"/>
        <v>#N/A</v>
      </c>
      <c r="X249" t="e">
        <f t="shared" si="31"/>
        <v>#N/A</v>
      </c>
    </row>
    <row r="250" spans="1:24" x14ac:dyDescent="0.3">
      <c r="A250">
        <v>7.7</v>
      </c>
      <c r="B250">
        <v>0.53</v>
      </c>
      <c r="C250">
        <v>0.06</v>
      </c>
      <c r="D250">
        <v>1.7</v>
      </c>
      <c r="E250">
        <v>7.400000000000001E-2</v>
      </c>
      <c r="F250">
        <v>9</v>
      </c>
      <c r="G250">
        <v>39</v>
      </c>
      <c r="H250">
        <v>0.99614999999999998</v>
      </c>
      <c r="I250">
        <v>3.35</v>
      </c>
      <c r="J250">
        <v>0.48</v>
      </c>
      <c r="K250">
        <v>9.8000000000000007</v>
      </c>
      <c r="L250">
        <v>6</v>
      </c>
      <c r="M250" t="str">
        <f t="shared" si="24"/>
        <v>Medium</v>
      </c>
      <c r="N250">
        <f>(winequality_red[[#This Row],[Updated Quality &amp; Alcohol Analysis]]+winequality_red[[#This Row],[volatile acidity]]+winequality_red[[#This Row],[citric acid]])</f>
        <v>8.2900000000000009</v>
      </c>
      <c r="O250">
        <f t="shared" si="25"/>
        <v>2.5959183673469388E-2</v>
      </c>
      <c r="S250" t="e">
        <f t="shared" si="26"/>
        <v>#N/A</v>
      </c>
      <c r="T250" t="e">
        <f t="shared" si="27"/>
        <v>#N/A</v>
      </c>
      <c r="U250">
        <f t="shared" si="28"/>
        <v>9.8000000000000007</v>
      </c>
      <c r="V250">
        <f t="shared" si="29"/>
        <v>6</v>
      </c>
      <c r="W250" t="e">
        <f t="shared" si="30"/>
        <v>#N/A</v>
      </c>
      <c r="X250" t="e">
        <f t="shared" si="31"/>
        <v>#N/A</v>
      </c>
    </row>
    <row r="251" spans="1:24" x14ac:dyDescent="0.3">
      <c r="A251">
        <v>7.3</v>
      </c>
      <c r="B251">
        <v>0.66</v>
      </c>
      <c r="C251">
        <v>0</v>
      </c>
      <c r="D251">
        <v>2</v>
      </c>
      <c r="E251">
        <v>8.4000000000000005E-2</v>
      </c>
      <c r="F251">
        <v>6</v>
      </c>
      <c r="G251">
        <v>23</v>
      </c>
      <c r="H251">
        <v>0.99829999999999997</v>
      </c>
      <c r="I251">
        <v>3.61</v>
      </c>
      <c r="J251">
        <v>0.96</v>
      </c>
      <c r="K251">
        <v>9.9</v>
      </c>
      <c r="L251">
        <v>6</v>
      </c>
      <c r="M251" t="str">
        <f t="shared" si="24"/>
        <v>Medium</v>
      </c>
      <c r="N251">
        <f>(winequality_red[[#This Row],[Updated Quality &amp; Alcohol Analysis]]+winequality_red[[#This Row],[volatile acidity]]+winequality_red[[#This Row],[citric acid]])</f>
        <v>7.96</v>
      </c>
      <c r="O251">
        <f t="shared" si="25"/>
        <v>6.4000000000000001E-2</v>
      </c>
      <c r="S251" t="e">
        <f t="shared" si="26"/>
        <v>#N/A</v>
      </c>
      <c r="T251" t="e">
        <f t="shared" si="27"/>
        <v>#N/A</v>
      </c>
      <c r="U251">
        <f t="shared" si="28"/>
        <v>9.9</v>
      </c>
      <c r="V251">
        <f t="shared" si="29"/>
        <v>6</v>
      </c>
      <c r="W251" t="e">
        <f t="shared" si="30"/>
        <v>#N/A</v>
      </c>
      <c r="X251" t="e">
        <f t="shared" si="31"/>
        <v>#N/A</v>
      </c>
    </row>
    <row r="252" spans="1:24" x14ac:dyDescent="0.3">
      <c r="A252">
        <v>10.8</v>
      </c>
      <c r="B252">
        <v>0.32</v>
      </c>
      <c r="C252">
        <v>0.44</v>
      </c>
      <c r="D252">
        <v>1.6</v>
      </c>
      <c r="E252">
        <v>6.3E-2</v>
      </c>
      <c r="F252">
        <v>16</v>
      </c>
      <c r="G252">
        <v>37</v>
      </c>
      <c r="H252">
        <v>0.99850000000000005</v>
      </c>
      <c r="I252">
        <v>3.22</v>
      </c>
      <c r="J252">
        <v>0.78</v>
      </c>
      <c r="K252">
        <v>10</v>
      </c>
      <c r="L252">
        <v>6</v>
      </c>
      <c r="M252" t="str">
        <f t="shared" si="24"/>
        <v>Medium</v>
      </c>
      <c r="N252">
        <f>(winequality_red[[#This Row],[Updated Quality &amp; Alcohol Analysis]]+winequality_red[[#This Row],[volatile acidity]]+winequality_red[[#This Row],[citric acid]])</f>
        <v>11.56</v>
      </c>
      <c r="O252">
        <f t="shared" si="25"/>
        <v>2.4960000000000003E-2</v>
      </c>
      <c r="S252" t="e">
        <f t="shared" si="26"/>
        <v>#N/A</v>
      </c>
      <c r="T252" t="e">
        <f t="shared" si="27"/>
        <v>#N/A</v>
      </c>
      <c r="U252">
        <f t="shared" si="28"/>
        <v>10</v>
      </c>
      <c r="V252">
        <f t="shared" si="29"/>
        <v>6</v>
      </c>
      <c r="W252" t="e">
        <f t="shared" si="30"/>
        <v>#N/A</v>
      </c>
      <c r="X252" t="e">
        <f t="shared" si="31"/>
        <v>#N/A</v>
      </c>
    </row>
    <row r="253" spans="1:24" x14ac:dyDescent="0.3">
      <c r="A253">
        <v>7.1</v>
      </c>
      <c r="B253">
        <v>0.6</v>
      </c>
      <c r="C253">
        <v>0</v>
      </c>
      <c r="D253">
        <v>1.8</v>
      </c>
      <c r="E253">
        <v>7.400000000000001E-2</v>
      </c>
      <c r="F253">
        <v>16</v>
      </c>
      <c r="G253">
        <v>34</v>
      </c>
      <c r="H253">
        <v>0.99719999999999998</v>
      </c>
      <c r="I253">
        <v>3.47</v>
      </c>
      <c r="J253">
        <v>0.7</v>
      </c>
      <c r="K253">
        <v>9.9</v>
      </c>
      <c r="L253">
        <v>6</v>
      </c>
      <c r="M253" t="str">
        <f t="shared" si="24"/>
        <v>Medium</v>
      </c>
      <c r="N253">
        <f>(winequality_red[[#This Row],[Updated Quality &amp; Alcohol Analysis]]+winequality_red[[#This Row],[volatile acidity]]+winequality_red[[#This Row],[citric acid]])</f>
        <v>7.6999999999999993</v>
      </c>
      <c r="O253">
        <f t="shared" si="25"/>
        <v>4.242424242424242E-2</v>
      </c>
      <c r="S253" t="e">
        <f t="shared" si="26"/>
        <v>#N/A</v>
      </c>
      <c r="T253" t="e">
        <f t="shared" si="27"/>
        <v>#N/A</v>
      </c>
      <c r="U253">
        <f t="shared" si="28"/>
        <v>9.9</v>
      </c>
      <c r="V253">
        <f t="shared" si="29"/>
        <v>6</v>
      </c>
      <c r="W253" t="e">
        <f t="shared" si="30"/>
        <v>#N/A</v>
      </c>
      <c r="X253" t="e">
        <f t="shared" si="31"/>
        <v>#N/A</v>
      </c>
    </row>
    <row r="254" spans="1:24" x14ac:dyDescent="0.3">
      <c r="A254">
        <v>11.1</v>
      </c>
      <c r="B254">
        <v>0.35</v>
      </c>
      <c r="C254">
        <v>0.48</v>
      </c>
      <c r="D254">
        <v>3.1</v>
      </c>
      <c r="E254">
        <v>0.09</v>
      </c>
      <c r="F254">
        <v>5</v>
      </c>
      <c r="G254">
        <v>21</v>
      </c>
      <c r="H254">
        <v>0.99860000000000004</v>
      </c>
      <c r="I254">
        <v>3.17</v>
      </c>
      <c r="J254">
        <v>0.53</v>
      </c>
      <c r="K254">
        <v>10.5</v>
      </c>
      <c r="L254">
        <v>5</v>
      </c>
      <c r="M254" t="str">
        <f t="shared" si="24"/>
        <v>Medium</v>
      </c>
      <c r="N254">
        <f>(winequality_red[[#This Row],[Updated Quality &amp; Alcohol Analysis]]+winequality_red[[#This Row],[volatile acidity]]+winequality_red[[#This Row],[citric acid]])</f>
        <v>11.93</v>
      </c>
      <c r="O254">
        <f t="shared" si="25"/>
        <v>1.7666666666666667E-2</v>
      </c>
      <c r="S254" t="e">
        <f t="shared" si="26"/>
        <v>#N/A</v>
      </c>
      <c r="T254" t="e">
        <f t="shared" si="27"/>
        <v>#N/A</v>
      </c>
      <c r="U254">
        <f t="shared" si="28"/>
        <v>10.5</v>
      </c>
      <c r="V254">
        <f t="shared" si="29"/>
        <v>5</v>
      </c>
      <c r="W254" t="e">
        <f t="shared" si="30"/>
        <v>#N/A</v>
      </c>
      <c r="X254" t="e">
        <f t="shared" si="31"/>
        <v>#N/A</v>
      </c>
    </row>
    <row r="255" spans="1:24" x14ac:dyDescent="0.3">
      <c r="A255">
        <v>7.7</v>
      </c>
      <c r="B255">
        <v>0.77500000000000002</v>
      </c>
      <c r="C255">
        <v>0.42</v>
      </c>
      <c r="D255">
        <v>1.9</v>
      </c>
      <c r="E255">
        <v>9.1999999999999998E-2</v>
      </c>
      <c r="F255">
        <v>8</v>
      </c>
      <c r="G255">
        <v>86</v>
      </c>
      <c r="H255">
        <v>0.99590000000000001</v>
      </c>
      <c r="I255">
        <v>3.23</v>
      </c>
      <c r="J255">
        <v>0.59</v>
      </c>
      <c r="K255">
        <v>9.5</v>
      </c>
      <c r="L255">
        <v>5</v>
      </c>
      <c r="M255" t="str">
        <f t="shared" si="24"/>
        <v>Medium</v>
      </c>
      <c r="N255">
        <f>(winequality_red[[#This Row],[Updated Quality &amp; Alcohol Analysis]]+winequality_red[[#This Row],[volatile acidity]]+winequality_red[[#This Row],[citric acid]])</f>
        <v>8.8949999999999996</v>
      </c>
      <c r="O255">
        <f t="shared" si="25"/>
        <v>4.8131578947368421E-2</v>
      </c>
      <c r="S255" t="e">
        <f t="shared" si="26"/>
        <v>#N/A</v>
      </c>
      <c r="T255" t="e">
        <f t="shared" si="27"/>
        <v>#N/A</v>
      </c>
      <c r="U255">
        <f t="shared" si="28"/>
        <v>9.5</v>
      </c>
      <c r="V255">
        <f t="shared" si="29"/>
        <v>5</v>
      </c>
      <c r="W255" t="e">
        <f t="shared" si="30"/>
        <v>#N/A</v>
      </c>
      <c r="X255" t="e">
        <f t="shared" si="31"/>
        <v>#N/A</v>
      </c>
    </row>
    <row r="256" spans="1:24" x14ac:dyDescent="0.3">
      <c r="A256">
        <v>7.1</v>
      </c>
      <c r="B256">
        <v>0.6</v>
      </c>
      <c r="C256">
        <v>0</v>
      </c>
      <c r="D256">
        <v>1.8</v>
      </c>
      <c r="E256">
        <v>7.400000000000001E-2</v>
      </c>
      <c r="F256">
        <v>16</v>
      </c>
      <c r="G256">
        <v>34</v>
      </c>
      <c r="H256">
        <v>0.99719999999999998</v>
      </c>
      <c r="I256">
        <v>3.47</v>
      </c>
      <c r="J256">
        <v>0.7</v>
      </c>
      <c r="K256">
        <v>9.9</v>
      </c>
      <c r="L256">
        <v>6</v>
      </c>
      <c r="M256" t="str">
        <f t="shared" si="24"/>
        <v>Medium</v>
      </c>
      <c r="N256">
        <f>(winequality_red[[#This Row],[Updated Quality &amp; Alcohol Analysis]]+winequality_red[[#This Row],[volatile acidity]]+winequality_red[[#This Row],[citric acid]])</f>
        <v>7.6999999999999993</v>
      </c>
      <c r="O256">
        <f t="shared" si="25"/>
        <v>4.242424242424242E-2</v>
      </c>
      <c r="S256" t="e">
        <f t="shared" si="26"/>
        <v>#N/A</v>
      </c>
      <c r="T256" t="e">
        <f t="shared" si="27"/>
        <v>#N/A</v>
      </c>
      <c r="U256">
        <f t="shared" si="28"/>
        <v>9.9</v>
      </c>
      <c r="V256">
        <f t="shared" si="29"/>
        <v>6</v>
      </c>
      <c r="W256" t="e">
        <f t="shared" si="30"/>
        <v>#N/A</v>
      </c>
      <c r="X256" t="e">
        <f t="shared" si="31"/>
        <v>#N/A</v>
      </c>
    </row>
    <row r="257" spans="1:24" x14ac:dyDescent="0.3">
      <c r="A257">
        <v>8</v>
      </c>
      <c r="B257">
        <v>0.56999999999999995</v>
      </c>
      <c r="C257">
        <v>0.23</v>
      </c>
      <c r="D257">
        <v>3.2</v>
      </c>
      <c r="E257">
        <v>7.2999999999999995E-2</v>
      </c>
      <c r="F257">
        <v>17</v>
      </c>
      <c r="G257">
        <v>119</v>
      </c>
      <c r="H257">
        <v>0.99675000000000002</v>
      </c>
      <c r="I257">
        <v>3.26</v>
      </c>
      <c r="J257">
        <v>0.56999999999999995</v>
      </c>
      <c r="K257">
        <v>9.3000000000000007</v>
      </c>
      <c r="L257">
        <v>5</v>
      </c>
      <c r="M257" t="str">
        <f t="shared" si="24"/>
        <v>Medium</v>
      </c>
      <c r="N257">
        <f>(winequality_red[[#This Row],[Updated Quality &amp; Alcohol Analysis]]+winequality_red[[#This Row],[volatile acidity]]+winequality_red[[#This Row],[citric acid]])</f>
        <v>8.8000000000000007</v>
      </c>
      <c r="O257">
        <f t="shared" si="25"/>
        <v>3.4935483870967739E-2</v>
      </c>
      <c r="S257" t="e">
        <f t="shared" si="26"/>
        <v>#N/A</v>
      </c>
      <c r="T257" t="e">
        <f t="shared" si="27"/>
        <v>#N/A</v>
      </c>
      <c r="U257">
        <f t="shared" si="28"/>
        <v>9.3000000000000007</v>
      </c>
      <c r="V257">
        <f t="shared" si="29"/>
        <v>5</v>
      </c>
      <c r="W257" t="e">
        <f t="shared" si="30"/>
        <v>#N/A</v>
      </c>
      <c r="X257" t="e">
        <f t="shared" si="31"/>
        <v>#N/A</v>
      </c>
    </row>
    <row r="258" spans="1:24" x14ac:dyDescent="0.3">
      <c r="A258">
        <v>9.4</v>
      </c>
      <c r="B258">
        <v>0.34</v>
      </c>
      <c r="C258">
        <v>0.37</v>
      </c>
      <c r="D258">
        <v>2.2000000000000002</v>
      </c>
      <c r="E258">
        <v>7.4999999999999997E-2</v>
      </c>
      <c r="F258">
        <v>5</v>
      </c>
      <c r="G258">
        <v>13</v>
      </c>
      <c r="H258">
        <v>0.998</v>
      </c>
      <c r="I258">
        <v>3.22</v>
      </c>
      <c r="J258">
        <v>0.62</v>
      </c>
      <c r="K258">
        <v>9.1999999999999993</v>
      </c>
      <c r="L258">
        <v>5</v>
      </c>
      <c r="M258" t="str">
        <f t="shared" ref="M258:M321" si="32">IF($L258&gt;=7,"High",IF($L258&gt;=5,"Medium","Low"))</f>
        <v>Medium</v>
      </c>
      <c r="N258">
        <f>(winequality_red[[#This Row],[Updated Quality &amp; Alcohol Analysis]]+winequality_red[[#This Row],[volatile acidity]]+winequality_red[[#This Row],[citric acid]])</f>
        <v>10.11</v>
      </c>
      <c r="O258">
        <f t="shared" ref="O258:O321" si="33">($B258*$J258)/$K258</f>
        <v>2.2913043478260873E-2</v>
      </c>
      <c r="S258" t="e">
        <f t="shared" si="26"/>
        <v>#N/A</v>
      </c>
      <c r="T258" t="e">
        <f t="shared" si="27"/>
        <v>#N/A</v>
      </c>
      <c r="U258">
        <f t="shared" si="28"/>
        <v>9.1999999999999993</v>
      </c>
      <c r="V258">
        <f t="shared" si="29"/>
        <v>5</v>
      </c>
      <c r="W258" t="e">
        <f t="shared" si="30"/>
        <v>#N/A</v>
      </c>
      <c r="X258" t="e">
        <f t="shared" si="31"/>
        <v>#N/A</v>
      </c>
    </row>
    <row r="259" spans="1:24" x14ac:dyDescent="0.3">
      <c r="A259">
        <v>6.6</v>
      </c>
      <c r="B259">
        <v>0.69499999999999995</v>
      </c>
      <c r="C259">
        <v>0</v>
      </c>
      <c r="D259">
        <v>2.1</v>
      </c>
      <c r="E259">
        <v>7.4999999999999997E-2</v>
      </c>
      <c r="F259">
        <v>12</v>
      </c>
      <c r="G259">
        <v>56</v>
      </c>
      <c r="H259">
        <v>0.99680000000000002</v>
      </c>
      <c r="I259">
        <v>3.49</v>
      </c>
      <c r="J259">
        <v>0.67</v>
      </c>
      <c r="K259">
        <v>9.1999999999999993</v>
      </c>
      <c r="L259">
        <v>5</v>
      </c>
      <c r="M259" t="str">
        <f t="shared" si="32"/>
        <v>Medium</v>
      </c>
      <c r="N259">
        <f>(winequality_red[[#This Row],[Updated Quality &amp; Alcohol Analysis]]+winequality_red[[#This Row],[volatile acidity]]+winequality_red[[#This Row],[citric acid]])</f>
        <v>7.2949999999999999</v>
      </c>
      <c r="O259">
        <f t="shared" si="33"/>
        <v>5.0614130434782613E-2</v>
      </c>
      <c r="S259" t="e">
        <f t="shared" ref="S259:S322" si="34">IF($M259="Low",$K259,NA())</f>
        <v>#N/A</v>
      </c>
      <c r="T259" t="e">
        <f t="shared" ref="T259:T322" si="35">IF($M259="Low",$L259,NA())</f>
        <v>#N/A</v>
      </c>
      <c r="U259">
        <f t="shared" ref="U259:U322" si="36">IF($M259="Medium",$K259,NA())</f>
        <v>9.1999999999999993</v>
      </c>
      <c r="V259">
        <f t="shared" ref="V259:V322" si="37">IF($M259="Medium",$L259,NA())</f>
        <v>5</v>
      </c>
      <c r="W259" t="e">
        <f t="shared" ref="W259:W322" si="38">IF($M259="High",$K259,NA())</f>
        <v>#N/A</v>
      </c>
      <c r="X259" t="e">
        <f t="shared" ref="X259:X322" si="39">IF($M259="High",$L259,NA())</f>
        <v>#N/A</v>
      </c>
    </row>
    <row r="260" spans="1:24" x14ac:dyDescent="0.3">
      <c r="A260">
        <v>7.7</v>
      </c>
      <c r="B260">
        <v>0.41</v>
      </c>
      <c r="C260">
        <v>0.76</v>
      </c>
      <c r="D260">
        <v>1.8</v>
      </c>
      <c r="E260">
        <v>0.61099999999999999</v>
      </c>
      <c r="F260">
        <v>8</v>
      </c>
      <c r="G260">
        <v>45</v>
      </c>
      <c r="H260">
        <v>0.99680000000000002</v>
      </c>
      <c r="I260">
        <v>3.06</v>
      </c>
      <c r="J260">
        <v>1.26</v>
      </c>
      <c r="K260">
        <v>9.4</v>
      </c>
      <c r="L260">
        <v>5</v>
      </c>
      <c r="M260" t="str">
        <f t="shared" si="32"/>
        <v>Medium</v>
      </c>
      <c r="N260">
        <f>(winequality_red[[#This Row],[Updated Quality &amp; Alcohol Analysis]]+winequality_red[[#This Row],[volatile acidity]]+winequality_red[[#This Row],[citric acid]])</f>
        <v>8.8699999999999992</v>
      </c>
      <c r="O260">
        <f t="shared" si="33"/>
        <v>5.4957446808510634E-2</v>
      </c>
      <c r="S260" t="e">
        <f t="shared" si="34"/>
        <v>#N/A</v>
      </c>
      <c r="T260" t="e">
        <f t="shared" si="35"/>
        <v>#N/A</v>
      </c>
      <c r="U260">
        <f t="shared" si="36"/>
        <v>9.4</v>
      </c>
      <c r="V260">
        <f t="shared" si="37"/>
        <v>5</v>
      </c>
      <c r="W260" t="e">
        <f t="shared" si="38"/>
        <v>#N/A</v>
      </c>
      <c r="X260" t="e">
        <f t="shared" si="39"/>
        <v>#N/A</v>
      </c>
    </row>
    <row r="261" spans="1:24" x14ac:dyDescent="0.3">
      <c r="A261">
        <v>10</v>
      </c>
      <c r="B261">
        <v>0.31</v>
      </c>
      <c r="C261">
        <v>0.47</v>
      </c>
      <c r="D261">
        <v>2.6</v>
      </c>
      <c r="E261">
        <v>8.5000000000000006E-2</v>
      </c>
      <c r="F261">
        <v>14</v>
      </c>
      <c r="G261">
        <v>33</v>
      </c>
      <c r="H261">
        <v>0.99965000000000004</v>
      </c>
      <c r="I261">
        <v>3.36</v>
      </c>
      <c r="J261">
        <v>0.8</v>
      </c>
      <c r="K261">
        <v>10.5</v>
      </c>
      <c r="L261">
        <v>7</v>
      </c>
      <c r="M261" t="str">
        <f t="shared" si="32"/>
        <v>High</v>
      </c>
      <c r="N261">
        <f>(winequality_red[[#This Row],[Updated Quality &amp; Alcohol Analysis]]+winequality_red[[#This Row],[volatile acidity]]+winequality_red[[#This Row],[citric acid]])</f>
        <v>10.780000000000001</v>
      </c>
      <c r="O261">
        <f t="shared" si="33"/>
        <v>2.3619047619047619E-2</v>
      </c>
      <c r="S261" t="e">
        <f t="shared" si="34"/>
        <v>#N/A</v>
      </c>
      <c r="T261" t="e">
        <f t="shared" si="35"/>
        <v>#N/A</v>
      </c>
      <c r="U261" t="e">
        <f t="shared" si="36"/>
        <v>#N/A</v>
      </c>
      <c r="V261" t="e">
        <f t="shared" si="37"/>
        <v>#N/A</v>
      </c>
      <c r="W261">
        <f t="shared" si="38"/>
        <v>10.5</v>
      </c>
      <c r="X261">
        <f t="shared" si="39"/>
        <v>7</v>
      </c>
    </row>
    <row r="262" spans="1:24" x14ac:dyDescent="0.3">
      <c r="A262">
        <v>7.9</v>
      </c>
      <c r="B262">
        <v>0.33</v>
      </c>
      <c r="C262">
        <v>0.23</v>
      </c>
      <c r="D262">
        <v>1.7</v>
      </c>
      <c r="E262">
        <v>7.6999999999999999E-2</v>
      </c>
      <c r="F262">
        <v>18</v>
      </c>
      <c r="G262">
        <v>45</v>
      </c>
      <c r="H262">
        <v>0.99624999999999997</v>
      </c>
      <c r="I262">
        <v>3.29</v>
      </c>
      <c r="J262">
        <v>0.65</v>
      </c>
      <c r="K262">
        <v>9.3000000000000007</v>
      </c>
      <c r="L262">
        <v>5</v>
      </c>
      <c r="M262" t="str">
        <f t="shared" si="32"/>
        <v>Medium</v>
      </c>
      <c r="N262">
        <f>(winequality_red[[#This Row],[Updated Quality &amp; Alcohol Analysis]]+winequality_red[[#This Row],[volatile acidity]]+winequality_red[[#This Row],[citric acid]])</f>
        <v>8.4600000000000009</v>
      </c>
      <c r="O262">
        <f t="shared" si="33"/>
        <v>2.3064516129032257E-2</v>
      </c>
      <c r="S262" t="e">
        <f t="shared" si="34"/>
        <v>#N/A</v>
      </c>
      <c r="T262" t="e">
        <f t="shared" si="35"/>
        <v>#N/A</v>
      </c>
      <c r="U262">
        <f t="shared" si="36"/>
        <v>9.3000000000000007</v>
      </c>
      <c r="V262">
        <f t="shared" si="37"/>
        <v>5</v>
      </c>
      <c r="W262" t="e">
        <f t="shared" si="38"/>
        <v>#N/A</v>
      </c>
      <c r="X262" t="e">
        <f t="shared" si="39"/>
        <v>#N/A</v>
      </c>
    </row>
    <row r="263" spans="1:24" x14ac:dyDescent="0.3">
      <c r="A263">
        <v>7</v>
      </c>
      <c r="B263">
        <v>0.97499999999999998</v>
      </c>
      <c r="C263">
        <v>0.04</v>
      </c>
      <c r="D263">
        <v>2</v>
      </c>
      <c r="E263">
        <v>8.6999999999999994E-2</v>
      </c>
      <c r="F263">
        <v>12</v>
      </c>
      <c r="G263">
        <v>67</v>
      </c>
      <c r="H263">
        <v>0.99565000000000003</v>
      </c>
      <c r="I263">
        <v>3.35</v>
      </c>
      <c r="J263">
        <v>0.6</v>
      </c>
      <c r="K263">
        <v>9.4</v>
      </c>
      <c r="L263">
        <v>4</v>
      </c>
      <c r="M263" t="str">
        <f t="shared" si="32"/>
        <v>Low</v>
      </c>
      <c r="N263">
        <f>(winequality_red[[#This Row],[Updated Quality &amp; Alcohol Analysis]]+winequality_red[[#This Row],[volatile acidity]]+winequality_red[[#This Row],[citric acid]])</f>
        <v>8.0149999999999988</v>
      </c>
      <c r="O263">
        <f t="shared" si="33"/>
        <v>6.2234042553191482E-2</v>
      </c>
      <c r="S263">
        <f t="shared" si="34"/>
        <v>9.4</v>
      </c>
      <c r="T263">
        <f t="shared" si="35"/>
        <v>4</v>
      </c>
      <c r="U263" t="e">
        <f t="shared" si="36"/>
        <v>#N/A</v>
      </c>
      <c r="V263" t="e">
        <f t="shared" si="37"/>
        <v>#N/A</v>
      </c>
      <c r="W263" t="e">
        <f t="shared" si="38"/>
        <v>#N/A</v>
      </c>
      <c r="X263" t="e">
        <f t="shared" si="39"/>
        <v>#N/A</v>
      </c>
    </row>
    <row r="264" spans="1:24" x14ac:dyDescent="0.3">
      <c r="A264">
        <v>8</v>
      </c>
      <c r="B264">
        <v>0.52</v>
      </c>
      <c r="C264">
        <v>0.03</v>
      </c>
      <c r="D264">
        <v>1.7</v>
      </c>
      <c r="E264">
        <v>7.0000000000000007E-2</v>
      </c>
      <c r="F264">
        <v>10</v>
      </c>
      <c r="G264">
        <v>35</v>
      </c>
      <c r="H264">
        <v>0.99575000000000002</v>
      </c>
      <c r="I264">
        <v>3.34</v>
      </c>
      <c r="J264">
        <v>0.56999999999999995</v>
      </c>
      <c r="K264">
        <v>10</v>
      </c>
      <c r="L264">
        <v>5</v>
      </c>
      <c r="M264" t="str">
        <f t="shared" si="32"/>
        <v>Medium</v>
      </c>
      <c r="N264">
        <f>(winequality_red[[#This Row],[Updated Quality &amp; Alcohol Analysis]]+winequality_red[[#This Row],[volatile acidity]]+winequality_red[[#This Row],[citric acid]])</f>
        <v>8.5499999999999989</v>
      </c>
      <c r="O264">
        <f t="shared" si="33"/>
        <v>2.964E-2</v>
      </c>
      <c r="S264" t="e">
        <f t="shared" si="34"/>
        <v>#N/A</v>
      </c>
      <c r="T264" t="e">
        <f t="shared" si="35"/>
        <v>#N/A</v>
      </c>
      <c r="U264">
        <f t="shared" si="36"/>
        <v>10</v>
      </c>
      <c r="V264">
        <f t="shared" si="37"/>
        <v>5</v>
      </c>
      <c r="W264" t="e">
        <f t="shared" si="38"/>
        <v>#N/A</v>
      </c>
      <c r="X264" t="e">
        <f t="shared" si="39"/>
        <v>#N/A</v>
      </c>
    </row>
    <row r="265" spans="1:24" x14ac:dyDescent="0.3">
      <c r="A265">
        <v>7.9</v>
      </c>
      <c r="B265">
        <v>0.37</v>
      </c>
      <c r="C265">
        <v>0.23</v>
      </c>
      <c r="D265">
        <v>1.8</v>
      </c>
      <c r="E265">
        <v>7.6999999999999999E-2</v>
      </c>
      <c r="F265">
        <v>23</v>
      </c>
      <c r="G265">
        <v>49</v>
      </c>
      <c r="H265">
        <v>0.99629999999999996</v>
      </c>
      <c r="I265">
        <v>3.28</v>
      </c>
      <c r="J265">
        <v>0.67</v>
      </c>
      <c r="K265">
        <v>9.3000000000000007</v>
      </c>
      <c r="L265">
        <v>5</v>
      </c>
      <c r="M265" t="str">
        <f t="shared" si="32"/>
        <v>Medium</v>
      </c>
      <c r="N265">
        <f>(winequality_red[[#This Row],[Updated Quality &amp; Alcohol Analysis]]+winequality_red[[#This Row],[volatile acidity]]+winequality_red[[#This Row],[citric acid]])</f>
        <v>8.5</v>
      </c>
      <c r="O265">
        <f t="shared" si="33"/>
        <v>2.6655913978494622E-2</v>
      </c>
      <c r="S265" t="e">
        <f t="shared" si="34"/>
        <v>#N/A</v>
      </c>
      <c r="T265" t="e">
        <f t="shared" si="35"/>
        <v>#N/A</v>
      </c>
      <c r="U265">
        <f t="shared" si="36"/>
        <v>9.3000000000000007</v>
      </c>
      <c r="V265">
        <f t="shared" si="37"/>
        <v>5</v>
      </c>
      <c r="W265" t="e">
        <f t="shared" si="38"/>
        <v>#N/A</v>
      </c>
      <c r="X265" t="e">
        <f t="shared" si="39"/>
        <v>#N/A</v>
      </c>
    </row>
    <row r="266" spans="1:24" x14ac:dyDescent="0.3">
      <c r="A266">
        <v>12.5</v>
      </c>
      <c r="B266">
        <v>0.56000000000000005</v>
      </c>
      <c r="C266">
        <v>0.49</v>
      </c>
      <c r="D266">
        <v>2.4</v>
      </c>
      <c r="E266">
        <v>6.4000000000000001E-2</v>
      </c>
      <c r="F266">
        <v>5</v>
      </c>
      <c r="G266">
        <v>27</v>
      </c>
      <c r="H266">
        <v>0.99990000000000001</v>
      </c>
      <c r="I266">
        <v>3.08</v>
      </c>
      <c r="J266">
        <v>0.87</v>
      </c>
      <c r="K266">
        <v>10.9</v>
      </c>
      <c r="L266">
        <v>5</v>
      </c>
      <c r="M266" t="str">
        <f t="shared" si="32"/>
        <v>Medium</v>
      </c>
      <c r="N266">
        <f>(winequality_red[[#This Row],[Updated Quality &amp; Alcohol Analysis]]+winequality_red[[#This Row],[volatile acidity]]+winequality_red[[#This Row],[citric acid]])</f>
        <v>13.55</v>
      </c>
      <c r="O266">
        <f t="shared" si="33"/>
        <v>4.4697247706422021E-2</v>
      </c>
      <c r="S266" t="e">
        <f t="shared" si="34"/>
        <v>#N/A</v>
      </c>
      <c r="T266" t="e">
        <f t="shared" si="35"/>
        <v>#N/A</v>
      </c>
      <c r="U266">
        <f t="shared" si="36"/>
        <v>10.9</v>
      </c>
      <c r="V266">
        <f t="shared" si="37"/>
        <v>5</v>
      </c>
      <c r="W266" t="e">
        <f t="shared" si="38"/>
        <v>#N/A</v>
      </c>
      <c r="X266" t="e">
        <f t="shared" si="39"/>
        <v>#N/A</v>
      </c>
    </row>
    <row r="267" spans="1:24" x14ac:dyDescent="0.3">
      <c r="A267">
        <v>11.8</v>
      </c>
      <c r="B267">
        <v>0.26</v>
      </c>
      <c r="C267">
        <v>0.52</v>
      </c>
      <c r="D267">
        <v>1.8</v>
      </c>
      <c r="E267">
        <v>7.0999999999999994E-2</v>
      </c>
      <c r="F267">
        <v>6</v>
      </c>
      <c r="G267">
        <v>10</v>
      </c>
      <c r="H267">
        <v>0.99680000000000002</v>
      </c>
      <c r="I267">
        <v>3.2</v>
      </c>
      <c r="J267">
        <v>0.72</v>
      </c>
      <c r="K267">
        <v>10.199999999999999</v>
      </c>
      <c r="L267">
        <v>7</v>
      </c>
      <c r="M267" t="str">
        <f t="shared" si="32"/>
        <v>High</v>
      </c>
      <c r="N267">
        <f>(winequality_red[[#This Row],[Updated Quality &amp; Alcohol Analysis]]+winequality_red[[#This Row],[volatile acidity]]+winequality_red[[#This Row],[citric acid]])</f>
        <v>12.58</v>
      </c>
      <c r="O267">
        <f t="shared" si="33"/>
        <v>1.8352941176470589E-2</v>
      </c>
      <c r="S267" t="e">
        <f t="shared" si="34"/>
        <v>#N/A</v>
      </c>
      <c r="T267" t="e">
        <f t="shared" si="35"/>
        <v>#N/A</v>
      </c>
      <c r="U267" t="e">
        <f t="shared" si="36"/>
        <v>#N/A</v>
      </c>
      <c r="V267" t="e">
        <f t="shared" si="37"/>
        <v>#N/A</v>
      </c>
      <c r="W267">
        <f t="shared" si="38"/>
        <v>10.199999999999999</v>
      </c>
      <c r="X267">
        <f t="shared" si="39"/>
        <v>7</v>
      </c>
    </row>
    <row r="268" spans="1:24" x14ac:dyDescent="0.3">
      <c r="A268">
        <v>8.1</v>
      </c>
      <c r="B268">
        <v>0.87</v>
      </c>
      <c r="C268">
        <v>0</v>
      </c>
      <c r="D268">
        <v>3.3</v>
      </c>
      <c r="E268">
        <v>9.6000000000000002E-2</v>
      </c>
      <c r="F268">
        <v>26</v>
      </c>
      <c r="G268">
        <v>61</v>
      </c>
      <c r="H268">
        <v>1.0002500000000001</v>
      </c>
      <c r="I268">
        <v>3.6</v>
      </c>
      <c r="J268">
        <v>0.72</v>
      </c>
      <c r="K268">
        <v>9.8000000000000007</v>
      </c>
      <c r="L268">
        <v>4</v>
      </c>
      <c r="M268" t="str">
        <f t="shared" si="32"/>
        <v>Low</v>
      </c>
      <c r="N268">
        <f>(winequality_red[[#This Row],[Updated Quality &amp; Alcohol Analysis]]+winequality_red[[#This Row],[volatile acidity]]+winequality_red[[#This Row],[citric acid]])</f>
        <v>8.9699999999999989</v>
      </c>
      <c r="O268">
        <f t="shared" si="33"/>
        <v>6.3918367346938773E-2</v>
      </c>
      <c r="S268">
        <f t="shared" si="34"/>
        <v>9.8000000000000007</v>
      </c>
      <c r="T268">
        <f t="shared" si="35"/>
        <v>4</v>
      </c>
      <c r="U268" t="e">
        <f t="shared" si="36"/>
        <v>#N/A</v>
      </c>
      <c r="V268" t="e">
        <f t="shared" si="37"/>
        <v>#N/A</v>
      </c>
      <c r="W268" t="e">
        <f t="shared" si="38"/>
        <v>#N/A</v>
      </c>
      <c r="X268" t="e">
        <f t="shared" si="39"/>
        <v>#N/A</v>
      </c>
    </row>
    <row r="269" spans="1:24" x14ac:dyDescent="0.3">
      <c r="A269">
        <v>7.9</v>
      </c>
      <c r="B269">
        <v>0.35</v>
      </c>
      <c r="C269">
        <v>0.46</v>
      </c>
      <c r="D269">
        <v>3.6</v>
      </c>
      <c r="E269">
        <v>7.8E-2</v>
      </c>
      <c r="F269">
        <v>15</v>
      </c>
      <c r="G269">
        <v>37</v>
      </c>
      <c r="H269">
        <v>0.99729999999999996</v>
      </c>
      <c r="I269">
        <v>3.35</v>
      </c>
      <c r="J269">
        <v>0.86</v>
      </c>
      <c r="K269">
        <v>12.8</v>
      </c>
      <c r="L269">
        <v>8</v>
      </c>
      <c r="M269" t="str">
        <f t="shared" si="32"/>
        <v>High</v>
      </c>
      <c r="N269">
        <f>(winequality_red[[#This Row],[Updated Quality &amp; Alcohol Analysis]]+winequality_red[[#This Row],[volatile acidity]]+winequality_red[[#This Row],[citric acid]])</f>
        <v>8.7100000000000009</v>
      </c>
      <c r="O269">
        <f t="shared" si="33"/>
        <v>2.3515624999999998E-2</v>
      </c>
      <c r="S269" t="e">
        <f t="shared" si="34"/>
        <v>#N/A</v>
      </c>
      <c r="T269" t="e">
        <f t="shared" si="35"/>
        <v>#N/A</v>
      </c>
      <c r="U269" t="e">
        <f t="shared" si="36"/>
        <v>#N/A</v>
      </c>
      <c r="V269" t="e">
        <f t="shared" si="37"/>
        <v>#N/A</v>
      </c>
      <c r="W269">
        <f t="shared" si="38"/>
        <v>12.8</v>
      </c>
      <c r="X269">
        <f t="shared" si="39"/>
        <v>8</v>
      </c>
    </row>
    <row r="270" spans="1:24" x14ac:dyDescent="0.3">
      <c r="A270">
        <v>6.9</v>
      </c>
      <c r="B270">
        <v>0.54</v>
      </c>
      <c r="C270">
        <v>0.04</v>
      </c>
      <c r="D270">
        <v>3</v>
      </c>
      <c r="E270">
        <v>7.6999999999999999E-2</v>
      </c>
      <c r="F270">
        <v>7</v>
      </c>
      <c r="G270">
        <v>27</v>
      </c>
      <c r="H270">
        <v>0.99870000000000003</v>
      </c>
      <c r="I270">
        <v>3.69</v>
      </c>
      <c r="J270">
        <v>0.91</v>
      </c>
      <c r="K270">
        <v>9.4</v>
      </c>
      <c r="L270">
        <v>6</v>
      </c>
      <c r="M270" t="str">
        <f t="shared" si="32"/>
        <v>Medium</v>
      </c>
      <c r="N270">
        <f>(winequality_red[[#This Row],[Updated Quality &amp; Alcohol Analysis]]+winequality_red[[#This Row],[volatile acidity]]+winequality_red[[#This Row],[citric acid]])</f>
        <v>7.48</v>
      </c>
      <c r="O270">
        <f t="shared" si="33"/>
        <v>5.2276595744680854E-2</v>
      </c>
      <c r="S270" t="e">
        <f t="shared" si="34"/>
        <v>#N/A</v>
      </c>
      <c r="T270" t="e">
        <f t="shared" si="35"/>
        <v>#N/A</v>
      </c>
      <c r="U270">
        <f t="shared" si="36"/>
        <v>9.4</v>
      </c>
      <c r="V270">
        <f t="shared" si="37"/>
        <v>6</v>
      </c>
      <c r="W270" t="e">
        <f t="shared" si="38"/>
        <v>#N/A</v>
      </c>
      <c r="X270" t="e">
        <f t="shared" si="39"/>
        <v>#N/A</v>
      </c>
    </row>
    <row r="271" spans="1:24" x14ac:dyDescent="0.3">
      <c r="A271">
        <v>11.5</v>
      </c>
      <c r="B271">
        <v>0.18</v>
      </c>
      <c r="C271">
        <v>0.51</v>
      </c>
      <c r="D271">
        <v>4</v>
      </c>
      <c r="E271">
        <v>0.10400000000000001</v>
      </c>
      <c r="F271">
        <v>4</v>
      </c>
      <c r="G271">
        <v>23</v>
      </c>
      <c r="H271">
        <v>0.99960000000000004</v>
      </c>
      <c r="I271">
        <v>3.28</v>
      </c>
      <c r="J271">
        <v>0.97</v>
      </c>
      <c r="K271">
        <v>10.1</v>
      </c>
      <c r="L271">
        <v>6</v>
      </c>
      <c r="M271" t="str">
        <f t="shared" si="32"/>
        <v>Medium</v>
      </c>
      <c r="N271">
        <f>(winequality_red[[#This Row],[Updated Quality &amp; Alcohol Analysis]]+winequality_red[[#This Row],[volatile acidity]]+winequality_red[[#This Row],[citric acid]])</f>
        <v>12.19</v>
      </c>
      <c r="O271">
        <f t="shared" si="33"/>
        <v>1.7287128712871285E-2</v>
      </c>
      <c r="S271" t="e">
        <f t="shared" si="34"/>
        <v>#N/A</v>
      </c>
      <c r="T271" t="e">
        <f t="shared" si="35"/>
        <v>#N/A</v>
      </c>
      <c r="U271">
        <f t="shared" si="36"/>
        <v>10.1</v>
      </c>
      <c r="V271">
        <f t="shared" si="37"/>
        <v>6</v>
      </c>
      <c r="W271" t="e">
        <f t="shared" si="38"/>
        <v>#N/A</v>
      </c>
      <c r="X271" t="e">
        <f t="shared" si="39"/>
        <v>#N/A</v>
      </c>
    </row>
    <row r="272" spans="1:24" x14ac:dyDescent="0.3">
      <c r="A272">
        <v>7.9</v>
      </c>
      <c r="B272">
        <v>0.54500000000000004</v>
      </c>
      <c r="C272">
        <v>0.06</v>
      </c>
      <c r="D272">
        <v>4</v>
      </c>
      <c r="E272">
        <v>8.6999999999999994E-2</v>
      </c>
      <c r="F272">
        <v>27</v>
      </c>
      <c r="G272">
        <v>61</v>
      </c>
      <c r="H272">
        <v>0.99650000000000005</v>
      </c>
      <c r="I272">
        <v>3.36</v>
      </c>
      <c r="J272">
        <v>0.67</v>
      </c>
      <c r="K272">
        <v>10.7</v>
      </c>
      <c r="L272">
        <v>6</v>
      </c>
      <c r="M272" t="str">
        <f t="shared" si="32"/>
        <v>Medium</v>
      </c>
      <c r="N272">
        <f>(winequality_red[[#This Row],[Updated Quality &amp; Alcohol Analysis]]+winequality_red[[#This Row],[volatile acidity]]+winequality_red[[#This Row],[citric acid]])</f>
        <v>8.5050000000000008</v>
      </c>
      <c r="O272">
        <f t="shared" si="33"/>
        <v>3.4126168224299071E-2</v>
      </c>
      <c r="S272" t="e">
        <f t="shared" si="34"/>
        <v>#N/A</v>
      </c>
      <c r="T272" t="e">
        <f t="shared" si="35"/>
        <v>#N/A</v>
      </c>
      <c r="U272">
        <f t="shared" si="36"/>
        <v>10.7</v>
      </c>
      <c r="V272">
        <f t="shared" si="37"/>
        <v>6</v>
      </c>
      <c r="W272" t="e">
        <f t="shared" si="38"/>
        <v>#N/A</v>
      </c>
      <c r="X272" t="e">
        <f t="shared" si="39"/>
        <v>#N/A</v>
      </c>
    </row>
    <row r="273" spans="1:24" x14ac:dyDescent="0.3">
      <c r="A273">
        <v>11.5</v>
      </c>
      <c r="B273">
        <v>0.18</v>
      </c>
      <c r="C273">
        <v>0.51</v>
      </c>
      <c r="D273">
        <v>4</v>
      </c>
      <c r="E273">
        <v>0.10400000000000001</v>
      </c>
      <c r="F273">
        <v>4</v>
      </c>
      <c r="G273">
        <v>23</v>
      </c>
      <c r="H273">
        <v>0.99960000000000004</v>
      </c>
      <c r="I273">
        <v>3.28</v>
      </c>
      <c r="J273">
        <v>0.97</v>
      </c>
      <c r="K273">
        <v>10.1</v>
      </c>
      <c r="L273">
        <v>6</v>
      </c>
      <c r="M273" t="str">
        <f t="shared" si="32"/>
        <v>Medium</v>
      </c>
      <c r="N273">
        <f>(winequality_red[[#This Row],[Updated Quality &amp; Alcohol Analysis]]+winequality_red[[#This Row],[volatile acidity]]+winequality_red[[#This Row],[citric acid]])</f>
        <v>12.19</v>
      </c>
      <c r="O273">
        <f t="shared" si="33"/>
        <v>1.7287128712871285E-2</v>
      </c>
      <c r="S273" t="e">
        <f t="shared" si="34"/>
        <v>#N/A</v>
      </c>
      <c r="T273" t="e">
        <f t="shared" si="35"/>
        <v>#N/A</v>
      </c>
      <c r="U273">
        <f t="shared" si="36"/>
        <v>10.1</v>
      </c>
      <c r="V273">
        <f t="shared" si="37"/>
        <v>6</v>
      </c>
      <c r="W273" t="e">
        <f t="shared" si="38"/>
        <v>#N/A</v>
      </c>
      <c r="X273" t="e">
        <f t="shared" si="39"/>
        <v>#N/A</v>
      </c>
    </row>
    <row r="274" spans="1:24" x14ac:dyDescent="0.3">
      <c r="A274">
        <v>10.9</v>
      </c>
      <c r="B274">
        <v>0.37</v>
      </c>
      <c r="C274">
        <v>0.57999999999999996</v>
      </c>
      <c r="D274">
        <v>4</v>
      </c>
      <c r="E274">
        <v>7.0999999999999994E-2</v>
      </c>
      <c r="F274">
        <v>17</v>
      </c>
      <c r="G274">
        <v>65</v>
      </c>
      <c r="H274">
        <v>0.99934999999999996</v>
      </c>
      <c r="I274">
        <v>3.22</v>
      </c>
      <c r="J274">
        <v>0.78</v>
      </c>
      <c r="K274">
        <v>10.1</v>
      </c>
      <c r="L274">
        <v>5</v>
      </c>
      <c r="M274" t="str">
        <f t="shared" si="32"/>
        <v>Medium</v>
      </c>
      <c r="N274">
        <f>(winequality_red[[#This Row],[Updated Quality &amp; Alcohol Analysis]]+winequality_red[[#This Row],[volatile acidity]]+winequality_red[[#This Row],[citric acid]])</f>
        <v>11.85</v>
      </c>
      <c r="O274">
        <f t="shared" si="33"/>
        <v>2.8574257425742579E-2</v>
      </c>
      <c r="S274" t="e">
        <f t="shared" si="34"/>
        <v>#N/A</v>
      </c>
      <c r="T274" t="e">
        <f t="shared" si="35"/>
        <v>#N/A</v>
      </c>
      <c r="U274">
        <f t="shared" si="36"/>
        <v>10.1</v>
      </c>
      <c r="V274">
        <f t="shared" si="37"/>
        <v>5</v>
      </c>
      <c r="W274" t="e">
        <f t="shared" si="38"/>
        <v>#N/A</v>
      </c>
      <c r="X274" t="e">
        <f t="shared" si="39"/>
        <v>#N/A</v>
      </c>
    </row>
    <row r="275" spans="1:24" x14ac:dyDescent="0.3">
      <c r="A275">
        <v>8.4</v>
      </c>
      <c r="B275">
        <v>0.71499999999999997</v>
      </c>
      <c r="C275">
        <v>0.2</v>
      </c>
      <c r="D275">
        <v>2.4</v>
      </c>
      <c r="E275">
        <v>7.5999999999999998E-2</v>
      </c>
      <c r="F275">
        <v>10</v>
      </c>
      <c r="G275">
        <v>38</v>
      </c>
      <c r="H275">
        <v>0.99734999999999996</v>
      </c>
      <c r="I275">
        <v>3.31</v>
      </c>
      <c r="J275">
        <v>0.64</v>
      </c>
      <c r="K275">
        <v>9.4</v>
      </c>
      <c r="L275">
        <v>5</v>
      </c>
      <c r="M275" t="str">
        <f t="shared" si="32"/>
        <v>Medium</v>
      </c>
      <c r="N275">
        <f>(winequality_red[[#This Row],[Updated Quality &amp; Alcohol Analysis]]+winequality_red[[#This Row],[volatile acidity]]+winequality_red[[#This Row],[citric acid]])</f>
        <v>9.3149999999999995</v>
      </c>
      <c r="O275">
        <f t="shared" si="33"/>
        <v>4.8680851063829786E-2</v>
      </c>
      <c r="S275" t="e">
        <f t="shared" si="34"/>
        <v>#N/A</v>
      </c>
      <c r="T275" t="e">
        <f t="shared" si="35"/>
        <v>#N/A</v>
      </c>
      <c r="U275">
        <f t="shared" si="36"/>
        <v>9.4</v>
      </c>
      <c r="V275">
        <f t="shared" si="37"/>
        <v>5</v>
      </c>
      <c r="W275" t="e">
        <f t="shared" si="38"/>
        <v>#N/A</v>
      </c>
      <c r="X275" t="e">
        <f t="shared" si="39"/>
        <v>#N/A</v>
      </c>
    </row>
    <row r="276" spans="1:24" x14ac:dyDescent="0.3">
      <c r="A276">
        <v>7.5</v>
      </c>
      <c r="B276">
        <v>0.65</v>
      </c>
      <c r="C276">
        <v>0.18</v>
      </c>
      <c r="D276">
        <v>7</v>
      </c>
      <c r="E276">
        <v>8.8000000000000009E-2</v>
      </c>
      <c r="F276">
        <v>27</v>
      </c>
      <c r="G276">
        <v>94</v>
      </c>
      <c r="H276">
        <v>0.99914999999999998</v>
      </c>
      <c r="I276">
        <v>3.38</v>
      </c>
      <c r="J276">
        <v>0.77</v>
      </c>
      <c r="K276">
        <v>9.4</v>
      </c>
      <c r="L276">
        <v>5</v>
      </c>
      <c r="M276" t="str">
        <f t="shared" si="32"/>
        <v>Medium</v>
      </c>
      <c r="N276">
        <f>(winequality_red[[#This Row],[Updated Quality &amp; Alcohol Analysis]]+winequality_red[[#This Row],[volatile acidity]]+winequality_red[[#This Row],[citric acid]])</f>
        <v>8.33</v>
      </c>
      <c r="O276">
        <f t="shared" si="33"/>
        <v>5.3244680851063833E-2</v>
      </c>
      <c r="S276" t="e">
        <f t="shared" si="34"/>
        <v>#N/A</v>
      </c>
      <c r="T276" t="e">
        <f t="shared" si="35"/>
        <v>#N/A</v>
      </c>
      <c r="U276">
        <f t="shared" si="36"/>
        <v>9.4</v>
      </c>
      <c r="V276">
        <f t="shared" si="37"/>
        <v>5</v>
      </c>
      <c r="W276" t="e">
        <f t="shared" si="38"/>
        <v>#N/A</v>
      </c>
      <c r="X276" t="e">
        <f t="shared" si="39"/>
        <v>#N/A</v>
      </c>
    </row>
    <row r="277" spans="1:24" x14ac:dyDescent="0.3">
      <c r="A277">
        <v>7.9</v>
      </c>
      <c r="B277">
        <v>0.54500000000000004</v>
      </c>
      <c r="C277">
        <v>0.06</v>
      </c>
      <c r="D277">
        <v>4</v>
      </c>
      <c r="E277">
        <v>8.6999999999999994E-2</v>
      </c>
      <c r="F277">
        <v>27</v>
      </c>
      <c r="G277">
        <v>61</v>
      </c>
      <c r="H277">
        <v>0.99650000000000005</v>
      </c>
      <c r="I277">
        <v>3.36</v>
      </c>
      <c r="J277">
        <v>0.67</v>
      </c>
      <c r="K277">
        <v>10.7</v>
      </c>
      <c r="L277">
        <v>6</v>
      </c>
      <c r="M277" t="str">
        <f t="shared" si="32"/>
        <v>Medium</v>
      </c>
      <c r="N277">
        <f>(winequality_red[[#This Row],[Updated Quality &amp; Alcohol Analysis]]+winequality_red[[#This Row],[volatile acidity]]+winequality_red[[#This Row],[citric acid]])</f>
        <v>8.5050000000000008</v>
      </c>
      <c r="O277">
        <f t="shared" si="33"/>
        <v>3.4126168224299071E-2</v>
      </c>
      <c r="S277" t="e">
        <f t="shared" si="34"/>
        <v>#N/A</v>
      </c>
      <c r="T277" t="e">
        <f t="shared" si="35"/>
        <v>#N/A</v>
      </c>
      <c r="U277">
        <f t="shared" si="36"/>
        <v>10.7</v>
      </c>
      <c r="V277">
        <f t="shared" si="37"/>
        <v>6</v>
      </c>
      <c r="W277" t="e">
        <f t="shared" si="38"/>
        <v>#N/A</v>
      </c>
      <c r="X277" t="e">
        <f t="shared" si="39"/>
        <v>#N/A</v>
      </c>
    </row>
    <row r="278" spans="1:24" x14ac:dyDescent="0.3">
      <c r="A278">
        <v>6.9</v>
      </c>
      <c r="B278">
        <v>0.54</v>
      </c>
      <c r="C278">
        <v>0.04</v>
      </c>
      <c r="D278">
        <v>3</v>
      </c>
      <c r="E278">
        <v>7.6999999999999999E-2</v>
      </c>
      <c r="F278">
        <v>7</v>
      </c>
      <c r="G278">
        <v>27</v>
      </c>
      <c r="H278">
        <v>0.99870000000000003</v>
      </c>
      <c r="I278">
        <v>3.69</v>
      </c>
      <c r="J278">
        <v>0.91</v>
      </c>
      <c r="K278">
        <v>9.4</v>
      </c>
      <c r="L278">
        <v>6</v>
      </c>
      <c r="M278" t="str">
        <f t="shared" si="32"/>
        <v>Medium</v>
      </c>
      <c r="N278">
        <f>(winequality_red[[#This Row],[Updated Quality &amp; Alcohol Analysis]]+winequality_red[[#This Row],[volatile acidity]]+winequality_red[[#This Row],[citric acid]])</f>
        <v>7.48</v>
      </c>
      <c r="O278">
        <f t="shared" si="33"/>
        <v>5.2276595744680854E-2</v>
      </c>
      <c r="S278" t="e">
        <f t="shared" si="34"/>
        <v>#N/A</v>
      </c>
      <c r="T278" t="e">
        <f t="shared" si="35"/>
        <v>#N/A</v>
      </c>
      <c r="U278">
        <f t="shared" si="36"/>
        <v>9.4</v>
      </c>
      <c r="V278">
        <f t="shared" si="37"/>
        <v>6</v>
      </c>
      <c r="W278" t="e">
        <f t="shared" si="38"/>
        <v>#N/A</v>
      </c>
      <c r="X278" t="e">
        <f t="shared" si="39"/>
        <v>#N/A</v>
      </c>
    </row>
    <row r="279" spans="1:24" x14ac:dyDescent="0.3">
      <c r="A279">
        <v>11.5</v>
      </c>
      <c r="B279">
        <v>0.18</v>
      </c>
      <c r="C279">
        <v>0.51</v>
      </c>
      <c r="D279">
        <v>4</v>
      </c>
      <c r="E279">
        <v>0.10400000000000001</v>
      </c>
      <c r="F279">
        <v>4</v>
      </c>
      <c r="G279">
        <v>23</v>
      </c>
      <c r="H279">
        <v>0.99960000000000004</v>
      </c>
      <c r="I279">
        <v>3.28</v>
      </c>
      <c r="J279">
        <v>0.97</v>
      </c>
      <c r="K279">
        <v>10.1</v>
      </c>
      <c r="L279">
        <v>6</v>
      </c>
      <c r="M279" t="str">
        <f t="shared" si="32"/>
        <v>Medium</v>
      </c>
      <c r="N279">
        <f>(winequality_red[[#This Row],[Updated Quality &amp; Alcohol Analysis]]+winequality_red[[#This Row],[volatile acidity]]+winequality_red[[#This Row],[citric acid]])</f>
        <v>12.19</v>
      </c>
      <c r="O279">
        <f t="shared" si="33"/>
        <v>1.7287128712871285E-2</v>
      </c>
      <c r="S279" t="e">
        <f t="shared" si="34"/>
        <v>#N/A</v>
      </c>
      <c r="T279" t="e">
        <f t="shared" si="35"/>
        <v>#N/A</v>
      </c>
      <c r="U279">
        <f t="shared" si="36"/>
        <v>10.1</v>
      </c>
      <c r="V279">
        <f t="shared" si="37"/>
        <v>6</v>
      </c>
      <c r="W279" t="e">
        <f t="shared" si="38"/>
        <v>#N/A</v>
      </c>
      <c r="X279" t="e">
        <f t="shared" si="39"/>
        <v>#N/A</v>
      </c>
    </row>
    <row r="280" spans="1:24" x14ac:dyDescent="0.3">
      <c r="A280">
        <v>10.3</v>
      </c>
      <c r="B280">
        <v>0.32</v>
      </c>
      <c r="C280">
        <v>0.45</v>
      </c>
      <c r="D280">
        <v>6.4</v>
      </c>
      <c r="E280">
        <v>7.2999999999999995E-2</v>
      </c>
      <c r="F280">
        <v>5</v>
      </c>
      <c r="G280">
        <v>13</v>
      </c>
      <c r="H280">
        <v>0.99760000000000004</v>
      </c>
      <c r="I280">
        <v>3.23</v>
      </c>
      <c r="J280">
        <v>0.82</v>
      </c>
      <c r="K280">
        <v>12.6</v>
      </c>
      <c r="L280">
        <v>8</v>
      </c>
      <c r="M280" t="str">
        <f t="shared" si="32"/>
        <v>High</v>
      </c>
      <c r="N280">
        <f>(winequality_red[[#This Row],[Updated Quality &amp; Alcohol Analysis]]+winequality_red[[#This Row],[volatile acidity]]+winequality_red[[#This Row],[citric acid]])</f>
        <v>11.07</v>
      </c>
      <c r="O280">
        <f t="shared" si="33"/>
        <v>2.0825396825396823E-2</v>
      </c>
      <c r="S280" t="e">
        <f t="shared" si="34"/>
        <v>#N/A</v>
      </c>
      <c r="T280" t="e">
        <f t="shared" si="35"/>
        <v>#N/A</v>
      </c>
      <c r="U280" t="e">
        <f t="shared" si="36"/>
        <v>#N/A</v>
      </c>
      <c r="V280" t="e">
        <f t="shared" si="37"/>
        <v>#N/A</v>
      </c>
      <c r="W280">
        <f t="shared" si="38"/>
        <v>12.6</v>
      </c>
      <c r="X280">
        <f t="shared" si="39"/>
        <v>8</v>
      </c>
    </row>
    <row r="281" spans="1:24" x14ac:dyDescent="0.3">
      <c r="A281">
        <v>8.9</v>
      </c>
      <c r="B281">
        <v>0.4</v>
      </c>
      <c r="C281">
        <v>0.32</v>
      </c>
      <c r="D281">
        <v>5.6</v>
      </c>
      <c r="E281">
        <v>8.6999999999999994E-2</v>
      </c>
      <c r="F281">
        <v>10</v>
      </c>
      <c r="G281">
        <v>47</v>
      </c>
      <c r="H281">
        <v>0.99909999999999999</v>
      </c>
      <c r="I281">
        <v>3.38</v>
      </c>
      <c r="J281">
        <v>0.77</v>
      </c>
      <c r="K281">
        <v>10.5</v>
      </c>
      <c r="L281">
        <v>7</v>
      </c>
      <c r="M281" t="str">
        <f t="shared" si="32"/>
        <v>High</v>
      </c>
      <c r="N281">
        <f>(winequality_red[[#This Row],[Updated Quality &amp; Alcohol Analysis]]+winequality_red[[#This Row],[volatile acidity]]+winequality_red[[#This Row],[citric acid]])</f>
        <v>9.620000000000001</v>
      </c>
      <c r="O281">
        <f t="shared" si="33"/>
        <v>2.933333333333334E-2</v>
      </c>
      <c r="S281" t="e">
        <f t="shared" si="34"/>
        <v>#N/A</v>
      </c>
      <c r="T281" t="e">
        <f t="shared" si="35"/>
        <v>#N/A</v>
      </c>
      <c r="U281" t="e">
        <f t="shared" si="36"/>
        <v>#N/A</v>
      </c>
      <c r="V281" t="e">
        <f t="shared" si="37"/>
        <v>#N/A</v>
      </c>
      <c r="W281">
        <f t="shared" si="38"/>
        <v>10.5</v>
      </c>
      <c r="X281">
        <f t="shared" si="39"/>
        <v>7</v>
      </c>
    </row>
    <row r="282" spans="1:24" x14ac:dyDescent="0.3">
      <c r="A282">
        <v>11.4</v>
      </c>
      <c r="B282">
        <v>0.26</v>
      </c>
      <c r="C282">
        <v>0.44</v>
      </c>
      <c r="D282">
        <v>3.6</v>
      </c>
      <c r="E282">
        <v>7.0999999999999994E-2</v>
      </c>
      <c r="F282">
        <v>6</v>
      </c>
      <c r="G282">
        <v>19</v>
      </c>
      <c r="H282">
        <v>0.99860000000000004</v>
      </c>
      <c r="I282">
        <v>3.12</v>
      </c>
      <c r="J282">
        <v>0.82</v>
      </c>
      <c r="K282">
        <v>9.3000000000000007</v>
      </c>
      <c r="L282">
        <v>6</v>
      </c>
      <c r="M282" t="str">
        <f t="shared" si="32"/>
        <v>Medium</v>
      </c>
      <c r="N282">
        <f>(winequality_red[[#This Row],[Updated Quality &amp; Alcohol Analysis]]+winequality_red[[#This Row],[volatile acidity]]+winequality_red[[#This Row],[citric acid]])</f>
        <v>12.1</v>
      </c>
      <c r="O282">
        <f t="shared" si="33"/>
        <v>2.2924731182795696E-2</v>
      </c>
      <c r="S282" t="e">
        <f t="shared" si="34"/>
        <v>#N/A</v>
      </c>
      <c r="T282" t="e">
        <f t="shared" si="35"/>
        <v>#N/A</v>
      </c>
      <c r="U282">
        <f t="shared" si="36"/>
        <v>9.3000000000000007</v>
      </c>
      <c r="V282">
        <f t="shared" si="37"/>
        <v>6</v>
      </c>
      <c r="W282" t="e">
        <f t="shared" si="38"/>
        <v>#N/A</v>
      </c>
      <c r="X282" t="e">
        <f t="shared" si="39"/>
        <v>#N/A</v>
      </c>
    </row>
    <row r="283" spans="1:24" x14ac:dyDescent="0.3">
      <c r="A283">
        <v>7.7</v>
      </c>
      <c r="B283">
        <v>0.27</v>
      </c>
      <c r="C283">
        <v>0.68</v>
      </c>
      <c r="D283">
        <v>3.5</v>
      </c>
      <c r="E283">
        <v>0.35799999999999998</v>
      </c>
      <c r="F283">
        <v>5</v>
      </c>
      <c r="G283">
        <v>10</v>
      </c>
      <c r="H283">
        <v>0.99719999999999998</v>
      </c>
      <c r="I283">
        <v>3.25</v>
      </c>
      <c r="J283">
        <v>1.08</v>
      </c>
      <c r="K283">
        <v>9.9</v>
      </c>
      <c r="L283">
        <v>7</v>
      </c>
      <c r="M283" t="str">
        <f t="shared" si="32"/>
        <v>High</v>
      </c>
      <c r="N283">
        <f>(winequality_red[[#This Row],[Updated Quality &amp; Alcohol Analysis]]+winequality_red[[#This Row],[volatile acidity]]+winequality_red[[#This Row],[citric acid]])</f>
        <v>8.65</v>
      </c>
      <c r="O283">
        <f t="shared" si="33"/>
        <v>2.9454545454545455E-2</v>
      </c>
      <c r="S283" t="e">
        <f t="shared" si="34"/>
        <v>#N/A</v>
      </c>
      <c r="T283" t="e">
        <f t="shared" si="35"/>
        <v>#N/A</v>
      </c>
      <c r="U283" t="e">
        <f t="shared" si="36"/>
        <v>#N/A</v>
      </c>
      <c r="V283" t="e">
        <f t="shared" si="37"/>
        <v>#N/A</v>
      </c>
      <c r="W283">
        <f t="shared" si="38"/>
        <v>9.9</v>
      </c>
      <c r="X283">
        <f t="shared" si="39"/>
        <v>7</v>
      </c>
    </row>
    <row r="284" spans="1:24" x14ac:dyDescent="0.3">
      <c r="A284">
        <v>7.6</v>
      </c>
      <c r="B284">
        <v>0.52</v>
      </c>
      <c r="C284">
        <v>0.12</v>
      </c>
      <c r="D284">
        <v>3</v>
      </c>
      <c r="E284">
        <v>6.7000000000000004E-2</v>
      </c>
      <c r="F284">
        <v>12</v>
      </c>
      <c r="G284">
        <v>53</v>
      </c>
      <c r="H284">
        <v>0.99709999999999999</v>
      </c>
      <c r="I284">
        <v>3.36</v>
      </c>
      <c r="J284">
        <v>0.56999999999999995</v>
      </c>
      <c r="K284">
        <v>9.1</v>
      </c>
      <c r="L284">
        <v>5</v>
      </c>
      <c r="M284" t="str">
        <f t="shared" si="32"/>
        <v>Medium</v>
      </c>
      <c r="N284">
        <f>(winequality_red[[#This Row],[Updated Quality &amp; Alcohol Analysis]]+winequality_red[[#This Row],[volatile acidity]]+winequality_red[[#This Row],[citric acid]])</f>
        <v>8.2399999999999984</v>
      </c>
      <c r="O284">
        <f t="shared" si="33"/>
        <v>3.2571428571428571E-2</v>
      </c>
      <c r="S284" t="e">
        <f t="shared" si="34"/>
        <v>#N/A</v>
      </c>
      <c r="T284" t="e">
        <f t="shared" si="35"/>
        <v>#N/A</v>
      </c>
      <c r="U284">
        <f t="shared" si="36"/>
        <v>9.1</v>
      </c>
      <c r="V284">
        <f t="shared" si="37"/>
        <v>5</v>
      </c>
      <c r="W284" t="e">
        <f t="shared" si="38"/>
        <v>#N/A</v>
      </c>
      <c r="X284" t="e">
        <f t="shared" si="39"/>
        <v>#N/A</v>
      </c>
    </row>
    <row r="285" spans="1:24" x14ac:dyDescent="0.3">
      <c r="A285">
        <v>8.9</v>
      </c>
      <c r="B285">
        <v>0.4</v>
      </c>
      <c r="C285">
        <v>0.32</v>
      </c>
      <c r="D285">
        <v>5.6</v>
      </c>
      <c r="E285">
        <v>8.6999999999999994E-2</v>
      </c>
      <c r="F285">
        <v>10</v>
      </c>
      <c r="G285">
        <v>47</v>
      </c>
      <c r="H285">
        <v>0.99909999999999999</v>
      </c>
      <c r="I285">
        <v>3.38</v>
      </c>
      <c r="J285">
        <v>0.77</v>
      </c>
      <c r="K285">
        <v>10.5</v>
      </c>
      <c r="L285">
        <v>7</v>
      </c>
      <c r="M285" t="str">
        <f t="shared" si="32"/>
        <v>High</v>
      </c>
      <c r="N285">
        <f>(winequality_red[[#This Row],[Updated Quality &amp; Alcohol Analysis]]+winequality_red[[#This Row],[volatile acidity]]+winequality_red[[#This Row],[citric acid]])</f>
        <v>9.620000000000001</v>
      </c>
      <c r="O285">
        <f t="shared" si="33"/>
        <v>2.933333333333334E-2</v>
      </c>
      <c r="S285" t="e">
        <f t="shared" si="34"/>
        <v>#N/A</v>
      </c>
      <c r="T285" t="e">
        <f t="shared" si="35"/>
        <v>#N/A</v>
      </c>
      <c r="U285" t="e">
        <f t="shared" si="36"/>
        <v>#N/A</v>
      </c>
      <c r="V285" t="e">
        <f t="shared" si="37"/>
        <v>#N/A</v>
      </c>
      <c r="W285">
        <f t="shared" si="38"/>
        <v>10.5</v>
      </c>
      <c r="X285">
        <f t="shared" si="39"/>
        <v>7</v>
      </c>
    </row>
    <row r="286" spans="1:24" x14ac:dyDescent="0.3">
      <c r="A286">
        <v>9.9</v>
      </c>
      <c r="B286">
        <v>0.59</v>
      </c>
      <c r="C286">
        <v>7.0000000000000007E-2</v>
      </c>
      <c r="D286">
        <v>3.4</v>
      </c>
      <c r="E286">
        <v>0.10199999999999999</v>
      </c>
      <c r="F286">
        <v>32</v>
      </c>
      <c r="G286">
        <v>71</v>
      </c>
      <c r="H286">
        <v>1.0001500000000001</v>
      </c>
      <c r="I286">
        <v>3.31</v>
      </c>
      <c r="J286">
        <v>0.71</v>
      </c>
      <c r="K286">
        <v>9.8000000000000007</v>
      </c>
      <c r="L286">
        <v>5</v>
      </c>
      <c r="M286" t="str">
        <f t="shared" si="32"/>
        <v>Medium</v>
      </c>
      <c r="N286">
        <f>(winequality_red[[#This Row],[Updated Quality &amp; Alcohol Analysis]]+winequality_red[[#This Row],[volatile acidity]]+winequality_red[[#This Row],[citric acid]])</f>
        <v>10.56</v>
      </c>
      <c r="O286">
        <f t="shared" si="33"/>
        <v>4.2744897959183667E-2</v>
      </c>
      <c r="S286" t="e">
        <f t="shared" si="34"/>
        <v>#N/A</v>
      </c>
      <c r="T286" t="e">
        <f t="shared" si="35"/>
        <v>#N/A</v>
      </c>
      <c r="U286">
        <f t="shared" si="36"/>
        <v>9.8000000000000007</v>
      </c>
      <c r="V286">
        <f t="shared" si="37"/>
        <v>5</v>
      </c>
      <c r="W286" t="e">
        <f t="shared" si="38"/>
        <v>#N/A</v>
      </c>
      <c r="X286" t="e">
        <f t="shared" si="39"/>
        <v>#N/A</v>
      </c>
    </row>
    <row r="287" spans="1:24" x14ac:dyDescent="0.3">
      <c r="A287">
        <v>9.9</v>
      </c>
      <c r="B287">
        <v>0.59</v>
      </c>
      <c r="C287">
        <v>7.0000000000000007E-2</v>
      </c>
      <c r="D287">
        <v>3.4</v>
      </c>
      <c r="E287">
        <v>0.10199999999999999</v>
      </c>
      <c r="F287">
        <v>32</v>
      </c>
      <c r="G287">
        <v>71</v>
      </c>
      <c r="H287">
        <v>1.0001500000000001</v>
      </c>
      <c r="I287">
        <v>3.31</v>
      </c>
      <c r="J287">
        <v>0.71</v>
      </c>
      <c r="K287">
        <v>9.8000000000000007</v>
      </c>
      <c r="L287">
        <v>5</v>
      </c>
      <c r="M287" t="str">
        <f t="shared" si="32"/>
        <v>Medium</v>
      </c>
      <c r="N287">
        <f>(winequality_red[[#This Row],[Updated Quality &amp; Alcohol Analysis]]+winequality_red[[#This Row],[volatile acidity]]+winequality_red[[#This Row],[citric acid]])</f>
        <v>10.56</v>
      </c>
      <c r="O287">
        <f t="shared" si="33"/>
        <v>4.2744897959183667E-2</v>
      </c>
      <c r="S287" t="e">
        <f t="shared" si="34"/>
        <v>#N/A</v>
      </c>
      <c r="T287" t="e">
        <f t="shared" si="35"/>
        <v>#N/A</v>
      </c>
      <c r="U287">
        <f t="shared" si="36"/>
        <v>9.8000000000000007</v>
      </c>
      <c r="V287">
        <f t="shared" si="37"/>
        <v>5</v>
      </c>
      <c r="W287" t="e">
        <f t="shared" si="38"/>
        <v>#N/A</v>
      </c>
      <c r="X287" t="e">
        <f t="shared" si="39"/>
        <v>#N/A</v>
      </c>
    </row>
    <row r="288" spans="1:24" x14ac:dyDescent="0.3">
      <c r="A288">
        <v>12</v>
      </c>
      <c r="B288">
        <v>0.45</v>
      </c>
      <c r="C288">
        <v>0.55000000000000004</v>
      </c>
      <c r="D288">
        <v>2</v>
      </c>
      <c r="E288">
        <v>7.2999999999999995E-2</v>
      </c>
      <c r="F288">
        <v>25</v>
      </c>
      <c r="G288">
        <v>49</v>
      </c>
      <c r="H288">
        <v>0.99970000000000003</v>
      </c>
      <c r="I288">
        <v>3.1</v>
      </c>
      <c r="J288">
        <v>0.76</v>
      </c>
      <c r="K288">
        <v>10.3</v>
      </c>
      <c r="L288">
        <v>6</v>
      </c>
      <c r="M288" t="str">
        <f t="shared" si="32"/>
        <v>Medium</v>
      </c>
      <c r="N288">
        <f>(winequality_red[[#This Row],[Updated Quality &amp; Alcohol Analysis]]+winequality_red[[#This Row],[volatile acidity]]+winequality_red[[#This Row],[citric acid]])</f>
        <v>13</v>
      </c>
      <c r="O288">
        <f t="shared" si="33"/>
        <v>3.3203883495145629E-2</v>
      </c>
      <c r="S288" t="e">
        <f t="shared" si="34"/>
        <v>#N/A</v>
      </c>
      <c r="T288" t="e">
        <f t="shared" si="35"/>
        <v>#N/A</v>
      </c>
      <c r="U288">
        <f t="shared" si="36"/>
        <v>10.3</v>
      </c>
      <c r="V288">
        <f t="shared" si="37"/>
        <v>6</v>
      </c>
      <c r="W288" t="e">
        <f t="shared" si="38"/>
        <v>#N/A</v>
      </c>
      <c r="X288" t="e">
        <f t="shared" si="39"/>
        <v>#N/A</v>
      </c>
    </row>
    <row r="289" spans="1:24" x14ac:dyDescent="0.3">
      <c r="A289">
        <v>7.5</v>
      </c>
      <c r="B289">
        <v>0.4</v>
      </c>
      <c r="C289">
        <v>0.12</v>
      </c>
      <c r="D289">
        <v>3</v>
      </c>
      <c r="E289">
        <v>9.1999999999999998E-2</v>
      </c>
      <c r="F289">
        <v>29</v>
      </c>
      <c r="G289">
        <v>53</v>
      </c>
      <c r="H289">
        <v>0.99670000000000003</v>
      </c>
      <c r="I289">
        <v>3.37</v>
      </c>
      <c r="J289">
        <v>0.7</v>
      </c>
      <c r="K289">
        <v>10.3</v>
      </c>
      <c r="L289">
        <v>6</v>
      </c>
      <c r="M289" t="str">
        <f t="shared" si="32"/>
        <v>Medium</v>
      </c>
      <c r="N289">
        <f>(winequality_red[[#This Row],[Updated Quality &amp; Alcohol Analysis]]+winequality_red[[#This Row],[volatile acidity]]+winequality_red[[#This Row],[citric acid]])</f>
        <v>8.02</v>
      </c>
      <c r="O289">
        <f t="shared" si="33"/>
        <v>2.7184466019417472E-2</v>
      </c>
      <c r="S289" t="e">
        <f t="shared" si="34"/>
        <v>#N/A</v>
      </c>
      <c r="T289" t="e">
        <f t="shared" si="35"/>
        <v>#N/A</v>
      </c>
      <c r="U289">
        <f t="shared" si="36"/>
        <v>10.3</v>
      </c>
      <c r="V289">
        <f t="shared" si="37"/>
        <v>6</v>
      </c>
      <c r="W289" t="e">
        <f t="shared" si="38"/>
        <v>#N/A</v>
      </c>
      <c r="X289" t="e">
        <f t="shared" si="39"/>
        <v>#N/A</v>
      </c>
    </row>
    <row r="290" spans="1:24" x14ac:dyDescent="0.3">
      <c r="A290">
        <v>8.6999999999999993</v>
      </c>
      <c r="B290">
        <v>0.52</v>
      </c>
      <c r="C290">
        <v>0.09</v>
      </c>
      <c r="D290">
        <v>2.5</v>
      </c>
      <c r="E290">
        <v>9.0999999999999998E-2</v>
      </c>
      <c r="F290">
        <v>20</v>
      </c>
      <c r="G290">
        <v>49</v>
      </c>
      <c r="H290">
        <v>0.99760000000000004</v>
      </c>
      <c r="I290">
        <v>3.34</v>
      </c>
      <c r="J290">
        <v>0.86</v>
      </c>
      <c r="K290">
        <v>10.6</v>
      </c>
      <c r="L290">
        <v>7</v>
      </c>
      <c r="M290" t="str">
        <f t="shared" si="32"/>
        <v>High</v>
      </c>
      <c r="N290">
        <f>(winequality_red[[#This Row],[Updated Quality &amp; Alcohol Analysis]]+winequality_red[[#This Row],[volatile acidity]]+winequality_red[[#This Row],[citric acid]])</f>
        <v>9.3099999999999987</v>
      </c>
      <c r="O290">
        <f t="shared" si="33"/>
        <v>4.2188679245283016E-2</v>
      </c>
      <c r="S290" t="e">
        <f t="shared" si="34"/>
        <v>#N/A</v>
      </c>
      <c r="T290" t="e">
        <f t="shared" si="35"/>
        <v>#N/A</v>
      </c>
      <c r="U290" t="e">
        <f t="shared" si="36"/>
        <v>#N/A</v>
      </c>
      <c r="V290" t="e">
        <f t="shared" si="37"/>
        <v>#N/A</v>
      </c>
      <c r="W290">
        <f t="shared" si="38"/>
        <v>10.6</v>
      </c>
      <c r="X290">
        <f t="shared" si="39"/>
        <v>7</v>
      </c>
    </row>
    <row r="291" spans="1:24" x14ac:dyDescent="0.3">
      <c r="A291">
        <v>11.6</v>
      </c>
      <c r="B291">
        <v>0.42</v>
      </c>
      <c r="C291">
        <v>0.53</v>
      </c>
      <c r="D291">
        <v>3.3</v>
      </c>
      <c r="E291">
        <v>0.105</v>
      </c>
      <c r="F291">
        <v>33</v>
      </c>
      <c r="G291">
        <v>98</v>
      </c>
      <c r="H291">
        <v>1.0009999999999999</v>
      </c>
      <c r="I291">
        <v>3.2</v>
      </c>
      <c r="J291">
        <v>0.95</v>
      </c>
      <c r="K291">
        <v>9.1999999999999993</v>
      </c>
      <c r="L291">
        <v>5</v>
      </c>
      <c r="M291" t="str">
        <f t="shared" si="32"/>
        <v>Medium</v>
      </c>
      <c r="N291">
        <f>(winequality_red[[#This Row],[Updated Quality &amp; Alcohol Analysis]]+winequality_red[[#This Row],[volatile acidity]]+winequality_red[[#This Row],[citric acid]])</f>
        <v>12.549999999999999</v>
      </c>
      <c r="O291">
        <f t="shared" si="33"/>
        <v>4.3369565217391305E-2</v>
      </c>
      <c r="S291" t="e">
        <f t="shared" si="34"/>
        <v>#N/A</v>
      </c>
      <c r="T291" t="e">
        <f t="shared" si="35"/>
        <v>#N/A</v>
      </c>
      <c r="U291">
        <f t="shared" si="36"/>
        <v>9.1999999999999993</v>
      </c>
      <c r="V291">
        <f t="shared" si="37"/>
        <v>5</v>
      </c>
      <c r="W291" t="e">
        <f t="shared" si="38"/>
        <v>#N/A</v>
      </c>
      <c r="X291" t="e">
        <f t="shared" si="39"/>
        <v>#N/A</v>
      </c>
    </row>
    <row r="292" spans="1:24" x14ac:dyDescent="0.3">
      <c r="A292">
        <v>8.6999999999999993</v>
      </c>
      <c r="B292">
        <v>0.52</v>
      </c>
      <c r="C292">
        <v>0.09</v>
      </c>
      <c r="D292">
        <v>2.5</v>
      </c>
      <c r="E292">
        <v>9.0999999999999998E-2</v>
      </c>
      <c r="F292">
        <v>20</v>
      </c>
      <c r="G292">
        <v>49</v>
      </c>
      <c r="H292">
        <v>0.99760000000000004</v>
      </c>
      <c r="I292">
        <v>3.34</v>
      </c>
      <c r="J292">
        <v>0.86</v>
      </c>
      <c r="K292">
        <v>10.6</v>
      </c>
      <c r="L292">
        <v>7</v>
      </c>
      <c r="M292" t="str">
        <f t="shared" si="32"/>
        <v>High</v>
      </c>
      <c r="N292">
        <f>(winequality_red[[#This Row],[Updated Quality &amp; Alcohol Analysis]]+winequality_red[[#This Row],[volatile acidity]]+winequality_red[[#This Row],[citric acid]])</f>
        <v>9.3099999999999987</v>
      </c>
      <c r="O292">
        <f t="shared" si="33"/>
        <v>4.2188679245283016E-2</v>
      </c>
      <c r="S292" t="e">
        <f t="shared" si="34"/>
        <v>#N/A</v>
      </c>
      <c r="T292" t="e">
        <f t="shared" si="35"/>
        <v>#N/A</v>
      </c>
      <c r="U292" t="e">
        <f t="shared" si="36"/>
        <v>#N/A</v>
      </c>
      <c r="V292" t="e">
        <f t="shared" si="37"/>
        <v>#N/A</v>
      </c>
      <c r="W292">
        <f t="shared" si="38"/>
        <v>10.6</v>
      </c>
      <c r="X292">
        <f t="shared" si="39"/>
        <v>7</v>
      </c>
    </row>
    <row r="293" spans="1:24" x14ac:dyDescent="0.3">
      <c r="A293">
        <v>11</v>
      </c>
      <c r="B293">
        <v>0.2</v>
      </c>
      <c r="C293">
        <v>0.48</v>
      </c>
      <c r="D293">
        <v>2</v>
      </c>
      <c r="E293">
        <v>0.34299999999999997</v>
      </c>
      <c r="F293">
        <v>6</v>
      </c>
      <c r="G293">
        <v>18</v>
      </c>
      <c r="H293">
        <v>0.99790000000000001</v>
      </c>
      <c r="I293">
        <v>3.3</v>
      </c>
      <c r="J293">
        <v>0.71</v>
      </c>
      <c r="K293">
        <v>10.5</v>
      </c>
      <c r="L293">
        <v>5</v>
      </c>
      <c r="M293" t="str">
        <f t="shared" si="32"/>
        <v>Medium</v>
      </c>
      <c r="N293">
        <f>(winequality_red[[#This Row],[Updated Quality &amp; Alcohol Analysis]]+winequality_red[[#This Row],[volatile acidity]]+winequality_red[[#This Row],[citric acid]])</f>
        <v>11.68</v>
      </c>
      <c r="O293">
        <f t="shared" si="33"/>
        <v>1.3523809523809523E-2</v>
      </c>
      <c r="S293" t="e">
        <f t="shared" si="34"/>
        <v>#N/A</v>
      </c>
      <c r="T293" t="e">
        <f t="shared" si="35"/>
        <v>#N/A</v>
      </c>
      <c r="U293">
        <f t="shared" si="36"/>
        <v>10.5</v>
      </c>
      <c r="V293">
        <f t="shared" si="37"/>
        <v>5</v>
      </c>
      <c r="W293" t="e">
        <f t="shared" si="38"/>
        <v>#N/A</v>
      </c>
      <c r="X293" t="e">
        <f t="shared" si="39"/>
        <v>#N/A</v>
      </c>
    </row>
    <row r="294" spans="1:24" x14ac:dyDescent="0.3">
      <c r="A294">
        <v>10.4</v>
      </c>
      <c r="B294">
        <v>0.55000000000000004</v>
      </c>
      <c r="C294">
        <v>0.23</v>
      </c>
      <c r="D294">
        <v>2.7</v>
      </c>
      <c r="E294">
        <v>9.0999999999999998E-2</v>
      </c>
      <c r="F294">
        <v>18</v>
      </c>
      <c r="G294">
        <v>48</v>
      </c>
      <c r="H294">
        <v>0.99939999999999996</v>
      </c>
      <c r="I294">
        <v>3.22</v>
      </c>
      <c r="J294">
        <v>0.64</v>
      </c>
      <c r="K294">
        <v>10.3</v>
      </c>
      <c r="L294">
        <v>6</v>
      </c>
      <c r="M294" t="str">
        <f t="shared" si="32"/>
        <v>Medium</v>
      </c>
      <c r="N294">
        <f>(winequality_red[[#This Row],[Updated Quality &amp; Alcohol Analysis]]+winequality_red[[#This Row],[volatile acidity]]+winequality_red[[#This Row],[citric acid]])</f>
        <v>11.180000000000001</v>
      </c>
      <c r="O294">
        <f t="shared" si="33"/>
        <v>3.4174757281553399E-2</v>
      </c>
      <c r="S294" t="e">
        <f t="shared" si="34"/>
        <v>#N/A</v>
      </c>
      <c r="T294" t="e">
        <f t="shared" si="35"/>
        <v>#N/A</v>
      </c>
      <c r="U294">
        <f t="shared" si="36"/>
        <v>10.3</v>
      </c>
      <c r="V294">
        <f t="shared" si="37"/>
        <v>6</v>
      </c>
      <c r="W294" t="e">
        <f t="shared" si="38"/>
        <v>#N/A</v>
      </c>
      <c r="X294" t="e">
        <f t="shared" si="39"/>
        <v>#N/A</v>
      </c>
    </row>
    <row r="295" spans="1:24" x14ac:dyDescent="0.3">
      <c r="A295">
        <v>6.9</v>
      </c>
      <c r="B295">
        <v>0.36</v>
      </c>
      <c r="C295">
        <v>0.25</v>
      </c>
      <c r="D295">
        <v>2.4</v>
      </c>
      <c r="E295">
        <v>9.8000000000000004E-2</v>
      </c>
      <c r="F295">
        <v>5</v>
      </c>
      <c r="G295">
        <v>16</v>
      </c>
      <c r="H295">
        <v>0.99639999999999995</v>
      </c>
      <c r="I295">
        <v>3.41</v>
      </c>
      <c r="J295">
        <v>0.6</v>
      </c>
      <c r="K295">
        <v>10.1</v>
      </c>
      <c r="L295">
        <v>6</v>
      </c>
      <c r="M295" t="str">
        <f t="shared" si="32"/>
        <v>Medium</v>
      </c>
      <c r="N295">
        <f>(winequality_red[[#This Row],[Updated Quality &amp; Alcohol Analysis]]+winequality_red[[#This Row],[volatile acidity]]+winequality_red[[#This Row],[citric acid]])</f>
        <v>7.5100000000000007</v>
      </c>
      <c r="O295">
        <f t="shared" si="33"/>
        <v>2.1386138613861388E-2</v>
      </c>
      <c r="S295" t="e">
        <f t="shared" si="34"/>
        <v>#N/A</v>
      </c>
      <c r="T295" t="e">
        <f t="shared" si="35"/>
        <v>#N/A</v>
      </c>
      <c r="U295">
        <f t="shared" si="36"/>
        <v>10.1</v>
      </c>
      <c r="V295">
        <f t="shared" si="37"/>
        <v>6</v>
      </c>
      <c r="W295" t="e">
        <f t="shared" si="38"/>
        <v>#N/A</v>
      </c>
      <c r="X295" t="e">
        <f t="shared" si="39"/>
        <v>#N/A</v>
      </c>
    </row>
    <row r="296" spans="1:24" x14ac:dyDescent="0.3">
      <c r="A296">
        <v>13.3</v>
      </c>
      <c r="B296">
        <v>0.34</v>
      </c>
      <c r="C296">
        <v>0.52</v>
      </c>
      <c r="D296">
        <v>3.2</v>
      </c>
      <c r="E296">
        <v>9.4E-2</v>
      </c>
      <c r="F296">
        <v>17</v>
      </c>
      <c r="G296">
        <v>53</v>
      </c>
      <c r="H296">
        <v>1.0014000000000001</v>
      </c>
      <c r="I296">
        <v>3.05</v>
      </c>
      <c r="J296">
        <v>0.81</v>
      </c>
      <c r="K296">
        <v>9.5</v>
      </c>
      <c r="L296">
        <v>6</v>
      </c>
      <c r="M296" t="str">
        <f t="shared" si="32"/>
        <v>Medium</v>
      </c>
      <c r="N296">
        <f>(winequality_red[[#This Row],[Updated Quality &amp; Alcohol Analysis]]+winequality_red[[#This Row],[volatile acidity]]+winequality_red[[#This Row],[citric acid]])</f>
        <v>14.16</v>
      </c>
      <c r="O296">
        <f t="shared" si="33"/>
        <v>2.898947368421053E-2</v>
      </c>
      <c r="S296" t="e">
        <f t="shared" si="34"/>
        <v>#N/A</v>
      </c>
      <c r="T296" t="e">
        <f t="shared" si="35"/>
        <v>#N/A</v>
      </c>
      <c r="U296">
        <f t="shared" si="36"/>
        <v>9.5</v>
      </c>
      <c r="V296">
        <f t="shared" si="37"/>
        <v>6</v>
      </c>
      <c r="W296" t="e">
        <f t="shared" si="38"/>
        <v>#N/A</v>
      </c>
      <c r="X296" t="e">
        <f t="shared" si="39"/>
        <v>#N/A</v>
      </c>
    </row>
    <row r="297" spans="1:24" x14ac:dyDescent="0.3">
      <c r="A297">
        <v>10.8</v>
      </c>
      <c r="B297">
        <v>0.5</v>
      </c>
      <c r="C297">
        <v>0.46</v>
      </c>
      <c r="D297">
        <v>2.5</v>
      </c>
      <c r="E297">
        <v>7.2999999999999995E-2</v>
      </c>
      <c r="F297">
        <v>5</v>
      </c>
      <c r="G297">
        <v>27</v>
      </c>
      <c r="H297">
        <v>1.0001</v>
      </c>
      <c r="I297">
        <v>3.05</v>
      </c>
      <c r="J297">
        <v>0.64</v>
      </c>
      <c r="K297">
        <v>9.5</v>
      </c>
      <c r="L297">
        <v>5</v>
      </c>
      <c r="M297" t="str">
        <f t="shared" si="32"/>
        <v>Medium</v>
      </c>
      <c r="N297">
        <f>(winequality_red[[#This Row],[Updated Quality &amp; Alcohol Analysis]]+winequality_red[[#This Row],[volatile acidity]]+winequality_red[[#This Row],[citric acid]])</f>
        <v>11.760000000000002</v>
      </c>
      <c r="O297">
        <f t="shared" si="33"/>
        <v>3.3684210526315789E-2</v>
      </c>
      <c r="S297" t="e">
        <f t="shared" si="34"/>
        <v>#N/A</v>
      </c>
      <c r="T297" t="e">
        <f t="shared" si="35"/>
        <v>#N/A</v>
      </c>
      <c r="U297">
        <f t="shared" si="36"/>
        <v>9.5</v>
      </c>
      <c r="V297">
        <f t="shared" si="37"/>
        <v>5</v>
      </c>
      <c r="W297" t="e">
        <f t="shared" si="38"/>
        <v>#N/A</v>
      </c>
      <c r="X297" t="e">
        <f t="shared" si="39"/>
        <v>#N/A</v>
      </c>
    </row>
    <row r="298" spans="1:24" x14ac:dyDescent="0.3">
      <c r="A298">
        <v>10.6</v>
      </c>
      <c r="B298">
        <v>0.83</v>
      </c>
      <c r="C298">
        <v>0.37</v>
      </c>
      <c r="D298">
        <v>2.6</v>
      </c>
      <c r="E298">
        <v>8.5999999999999993E-2</v>
      </c>
      <c r="F298">
        <v>26</v>
      </c>
      <c r="G298">
        <v>70</v>
      </c>
      <c r="H298">
        <v>0.99809999999999999</v>
      </c>
      <c r="I298">
        <v>3.16</v>
      </c>
      <c r="J298">
        <v>0.52</v>
      </c>
      <c r="K298">
        <v>9.9</v>
      </c>
      <c r="L298">
        <v>5</v>
      </c>
      <c r="M298" t="str">
        <f t="shared" si="32"/>
        <v>Medium</v>
      </c>
      <c r="N298">
        <f>(winequality_red[[#This Row],[Updated Quality &amp; Alcohol Analysis]]+winequality_red[[#This Row],[volatile acidity]]+winequality_red[[#This Row],[citric acid]])</f>
        <v>11.799999999999999</v>
      </c>
      <c r="O298">
        <f t="shared" si="33"/>
        <v>4.3595959595959591E-2</v>
      </c>
      <c r="S298" t="e">
        <f t="shared" si="34"/>
        <v>#N/A</v>
      </c>
      <c r="T298" t="e">
        <f t="shared" si="35"/>
        <v>#N/A</v>
      </c>
      <c r="U298">
        <f t="shared" si="36"/>
        <v>9.9</v>
      </c>
      <c r="V298">
        <f t="shared" si="37"/>
        <v>5</v>
      </c>
      <c r="W298" t="e">
        <f t="shared" si="38"/>
        <v>#N/A</v>
      </c>
      <c r="X298" t="e">
        <f t="shared" si="39"/>
        <v>#N/A</v>
      </c>
    </row>
    <row r="299" spans="1:24" x14ac:dyDescent="0.3">
      <c r="A299">
        <v>7.1</v>
      </c>
      <c r="B299">
        <v>0.63</v>
      </c>
      <c r="C299">
        <v>0.06</v>
      </c>
      <c r="D299">
        <v>2</v>
      </c>
      <c r="E299">
        <v>8.3000000000000004E-2</v>
      </c>
      <c r="F299">
        <v>8</v>
      </c>
      <c r="G299">
        <v>29</v>
      </c>
      <c r="H299">
        <v>0.99855000000000005</v>
      </c>
      <c r="I299">
        <v>3.67</v>
      </c>
      <c r="J299">
        <v>0.73</v>
      </c>
      <c r="K299">
        <v>9.6</v>
      </c>
      <c r="L299">
        <v>5</v>
      </c>
      <c r="M299" t="str">
        <f t="shared" si="32"/>
        <v>Medium</v>
      </c>
      <c r="N299">
        <f>(winequality_red[[#This Row],[Updated Quality &amp; Alcohol Analysis]]+winequality_red[[#This Row],[volatile acidity]]+winequality_red[[#This Row],[citric acid]])</f>
        <v>7.7899999999999991</v>
      </c>
      <c r="O299">
        <f t="shared" si="33"/>
        <v>4.7906249999999997E-2</v>
      </c>
      <c r="S299" t="e">
        <f t="shared" si="34"/>
        <v>#N/A</v>
      </c>
      <c r="T299" t="e">
        <f t="shared" si="35"/>
        <v>#N/A</v>
      </c>
      <c r="U299">
        <f t="shared" si="36"/>
        <v>9.6</v>
      </c>
      <c r="V299">
        <f t="shared" si="37"/>
        <v>5</v>
      </c>
      <c r="W299" t="e">
        <f t="shared" si="38"/>
        <v>#N/A</v>
      </c>
      <c r="X299" t="e">
        <f t="shared" si="39"/>
        <v>#N/A</v>
      </c>
    </row>
    <row r="300" spans="1:24" x14ac:dyDescent="0.3">
      <c r="A300">
        <v>7.2</v>
      </c>
      <c r="B300">
        <v>0.65</v>
      </c>
      <c r="C300">
        <v>0.02</v>
      </c>
      <c r="D300">
        <v>2.2999999999999998</v>
      </c>
      <c r="E300">
        <v>9.4E-2</v>
      </c>
      <c r="F300">
        <v>5</v>
      </c>
      <c r="G300">
        <v>31</v>
      </c>
      <c r="H300">
        <v>0.99929999999999997</v>
      </c>
      <c r="I300">
        <v>3.67</v>
      </c>
      <c r="J300">
        <v>0.8</v>
      </c>
      <c r="K300">
        <v>9.6999999999999993</v>
      </c>
      <c r="L300">
        <v>5</v>
      </c>
      <c r="M300" t="str">
        <f t="shared" si="32"/>
        <v>Medium</v>
      </c>
      <c r="N300">
        <f>(winequality_red[[#This Row],[Updated Quality &amp; Alcohol Analysis]]+winequality_red[[#This Row],[volatile acidity]]+winequality_red[[#This Row],[citric acid]])</f>
        <v>7.87</v>
      </c>
      <c r="O300">
        <f t="shared" si="33"/>
        <v>5.3608247422680416E-2</v>
      </c>
      <c r="S300" t="e">
        <f t="shared" si="34"/>
        <v>#N/A</v>
      </c>
      <c r="T300" t="e">
        <f t="shared" si="35"/>
        <v>#N/A</v>
      </c>
      <c r="U300">
        <f t="shared" si="36"/>
        <v>9.6999999999999993</v>
      </c>
      <c r="V300">
        <f t="shared" si="37"/>
        <v>5</v>
      </c>
      <c r="W300" t="e">
        <f t="shared" si="38"/>
        <v>#N/A</v>
      </c>
      <c r="X300" t="e">
        <f t="shared" si="39"/>
        <v>#N/A</v>
      </c>
    </row>
    <row r="301" spans="1:24" x14ac:dyDescent="0.3">
      <c r="A301">
        <v>6.9</v>
      </c>
      <c r="B301">
        <v>0.67</v>
      </c>
      <c r="C301">
        <v>0.06</v>
      </c>
      <c r="D301">
        <v>2.1</v>
      </c>
      <c r="E301">
        <v>0.08</v>
      </c>
      <c r="F301">
        <v>8</v>
      </c>
      <c r="G301">
        <v>33</v>
      </c>
      <c r="H301">
        <v>0.99844999999999995</v>
      </c>
      <c r="I301">
        <v>3.68</v>
      </c>
      <c r="J301">
        <v>0.71</v>
      </c>
      <c r="K301">
        <v>9.6</v>
      </c>
      <c r="L301">
        <v>5</v>
      </c>
      <c r="M301" t="str">
        <f t="shared" si="32"/>
        <v>Medium</v>
      </c>
      <c r="N301">
        <f>(winequality_red[[#This Row],[Updated Quality &amp; Alcohol Analysis]]+winequality_red[[#This Row],[volatile acidity]]+winequality_red[[#This Row],[citric acid]])</f>
        <v>7.63</v>
      </c>
      <c r="O301">
        <f t="shared" si="33"/>
        <v>4.9552083333333337E-2</v>
      </c>
      <c r="S301" t="e">
        <f t="shared" si="34"/>
        <v>#N/A</v>
      </c>
      <c r="T301" t="e">
        <f t="shared" si="35"/>
        <v>#N/A</v>
      </c>
      <c r="U301">
        <f t="shared" si="36"/>
        <v>9.6</v>
      </c>
      <c r="V301">
        <f t="shared" si="37"/>
        <v>5</v>
      </c>
      <c r="W301" t="e">
        <f t="shared" si="38"/>
        <v>#N/A</v>
      </c>
      <c r="X301" t="e">
        <f t="shared" si="39"/>
        <v>#N/A</v>
      </c>
    </row>
    <row r="302" spans="1:24" x14ac:dyDescent="0.3">
      <c r="A302">
        <v>7.5</v>
      </c>
      <c r="B302">
        <v>0.53</v>
      </c>
      <c r="C302">
        <v>0.06</v>
      </c>
      <c r="D302">
        <v>2.6</v>
      </c>
      <c r="E302">
        <v>8.5999999999999993E-2</v>
      </c>
      <c r="F302">
        <v>20</v>
      </c>
      <c r="G302">
        <v>44</v>
      </c>
      <c r="H302">
        <v>0.99650000000000005</v>
      </c>
      <c r="I302">
        <v>3.38</v>
      </c>
      <c r="J302">
        <v>0.59</v>
      </c>
      <c r="K302">
        <v>10.7</v>
      </c>
      <c r="L302">
        <v>6</v>
      </c>
      <c r="M302" t="str">
        <f t="shared" si="32"/>
        <v>Medium</v>
      </c>
      <c r="N302">
        <f>(winequality_red[[#This Row],[Updated Quality &amp; Alcohol Analysis]]+winequality_red[[#This Row],[volatile acidity]]+winequality_red[[#This Row],[citric acid]])</f>
        <v>8.09</v>
      </c>
      <c r="O302">
        <f t="shared" si="33"/>
        <v>2.922429906542056E-2</v>
      </c>
      <c r="S302" t="e">
        <f t="shared" si="34"/>
        <v>#N/A</v>
      </c>
      <c r="T302" t="e">
        <f t="shared" si="35"/>
        <v>#N/A</v>
      </c>
      <c r="U302">
        <f t="shared" si="36"/>
        <v>10.7</v>
      </c>
      <c r="V302">
        <f t="shared" si="37"/>
        <v>6</v>
      </c>
      <c r="W302" t="e">
        <f t="shared" si="38"/>
        <v>#N/A</v>
      </c>
      <c r="X302" t="e">
        <f t="shared" si="39"/>
        <v>#N/A</v>
      </c>
    </row>
    <row r="303" spans="1:24" x14ac:dyDescent="0.3">
      <c r="A303">
        <v>11.1</v>
      </c>
      <c r="B303">
        <v>0.18</v>
      </c>
      <c r="C303">
        <v>0.48</v>
      </c>
      <c r="D303">
        <v>1.5</v>
      </c>
      <c r="E303">
        <v>6.8000000000000005E-2</v>
      </c>
      <c r="F303">
        <v>7</v>
      </c>
      <c r="G303">
        <v>15</v>
      </c>
      <c r="H303">
        <v>0.99729999999999996</v>
      </c>
      <c r="I303">
        <v>3.22</v>
      </c>
      <c r="J303">
        <v>0.64</v>
      </c>
      <c r="K303">
        <v>10.1</v>
      </c>
      <c r="L303">
        <v>6</v>
      </c>
      <c r="M303" t="str">
        <f t="shared" si="32"/>
        <v>Medium</v>
      </c>
      <c r="N303">
        <f>(winequality_red[[#This Row],[Updated Quality &amp; Alcohol Analysis]]+winequality_red[[#This Row],[volatile acidity]]+winequality_red[[#This Row],[citric acid]])</f>
        <v>11.76</v>
      </c>
      <c r="O303">
        <f t="shared" si="33"/>
        <v>1.1405940594059406E-2</v>
      </c>
      <c r="S303" t="e">
        <f t="shared" si="34"/>
        <v>#N/A</v>
      </c>
      <c r="T303" t="e">
        <f t="shared" si="35"/>
        <v>#N/A</v>
      </c>
      <c r="U303">
        <f t="shared" si="36"/>
        <v>10.1</v>
      </c>
      <c r="V303">
        <f t="shared" si="37"/>
        <v>6</v>
      </c>
      <c r="W303" t="e">
        <f t="shared" si="38"/>
        <v>#N/A</v>
      </c>
      <c r="X303" t="e">
        <f t="shared" si="39"/>
        <v>#N/A</v>
      </c>
    </row>
    <row r="304" spans="1:24" x14ac:dyDescent="0.3">
      <c r="A304">
        <v>8.3000000000000007</v>
      </c>
      <c r="B304">
        <v>0.70499999999999996</v>
      </c>
      <c r="C304">
        <v>0.12</v>
      </c>
      <c r="D304">
        <v>2.6</v>
      </c>
      <c r="E304">
        <v>9.1999999999999998E-2</v>
      </c>
      <c r="F304">
        <v>12</v>
      </c>
      <c r="G304">
        <v>28</v>
      </c>
      <c r="H304">
        <v>0.99939999999999996</v>
      </c>
      <c r="I304">
        <v>3.51</v>
      </c>
      <c r="J304">
        <v>0.72</v>
      </c>
      <c r="K304">
        <v>10</v>
      </c>
      <c r="L304">
        <v>5</v>
      </c>
      <c r="M304" t="str">
        <f t="shared" si="32"/>
        <v>Medium</v>
      </c>
      <c r="N304">
        <f>(winequality_red[[#This Row],[Updated Quality &amp; Alcohol Analysis]]+winequality_red[[#This Row],[volatile acidity]]+winequality_red[[#This Row],[citric acid]])</f>
        <v>9.125</v>
      </c>
      <c r="O304">
        <f t="shared" si="33"/>
        <v>5.0759999999999993E-2</v>
      </c>
      <c r="S304" t="e">
        <f t="shared" si="34"/>
        <v>#N/A</v>
      </c>
      <c r="T304" t="e">
        <f t="shared" si="35"/>
        <v>#N/A</v>
      </c>
      <c r="U304">
        <f t="shared" si="36"/>
        <v>10</v>
      </c>
      <c r="V304">
        <f t="shared" si="37"/>
        <v>5</v>
      </c>
      <c r="W304" t="e">
        <f t="shared" si="38"/>
        <v>#N/A</v>
      </c>
      <c r="X304" t="e">
        <f t="shared" si="39"/>
        <v>#N/A</v>
      </c>
    </row>
    <row r="305" spans="1:24" x14ac:dyDescent="0.3">
      <c r="A305">
        <v>7.4</v>
      </c>
      <c r="B305">
        <v>0.67</v>
      </c>
      <c r="C305">
        <v>0.12</v>
      </c>
      <c r="D305">
        <v>1.6</v>
      </c>
      <c r="E305">
        <v>0.18600000000000003</v>
      </c>
      <c r="F305">
        <v>5</v>
      </c>
      <c r="G305">
        <v>21</v>
      </c>
      <c r="H305">
        <v>0.996</v>
      </c>
      <c r="I305">
        <v>3.39</v>
      </c>
      <c r="J305">
        <v>0.54</v>
      </c>
      <c r="K305">
        <v>9.5</v>
      </c>
      <c r="L305">
        <v>5</v>
      </c>
      <c r="M305" t="str">
        <f t="shared" si="32"/>
        <v>Medium</v>
      </c>
      <c r="N305">
        <f>(winequality_red[[#This Row],[Updated Quality &amp; Alcohol Analysis]]+winequality_red[[#This Row],[volatile acidity]]+winequality_red[[#This Row],[citric acid]])</f>
        <v>8.19</v>
      </c>
      <c r="O305">
        <f t="shared" si="33"/>
        <v>3.8084210526315797E-2</v>
      </c>
      <c r="S305" t="e">
        <f t="shared" si="34"/>
        <v>#N/A</v>
      </c>
      <c r="T305" t="e">
        <f t="shared" si="35"/>
        <v>#N/A</v>
      </c>
      <c r="U305">
        <f t="shared" si="36"/>
        <v>9.5</v>
      </c>
      <c r="V305">
        <f t="shared" si="37"/>
        <v>5</v>
      </c>
      <c r="W305" t="e">
        <f t="shared" si="38"/>
        <v>#N/A</v>
      </c>
      <c r="X305" t="e">
        <f t="shared" si="39"/>
        <v>#N/A</v>
      </c>
    </row>
    <row r="306" spans="1:24" x14ac:dyDescent="0.3">
      <c r="A306">
        <v>8.4</v>
      </c>
      <c r="B306">
        <v>0.65</v>
      </c>
      <c r="C306">
        <v>0.6</v>
      </c>
      <c r="D306">
        <v>2.1</v>
      </c>
      <c r="E306">
        <v>0.11199999999999999</v>
      </c>
      <c r="F306">
        <v>12</v>
      </c>
      <c r="G306">
        <v>90</v>
      </c>
      <c r="H306">
        <v>0.99729999999999996</v>
      </c>
      <c r="I306">
        <v>3.2</v>
      </c>
      <c r="J306">
        <v>0.52</v>
      </c>
      <c r="K306">
        <v>9.1999999999999993</v>
      </c>
      <c r="L306">
        <v>5</v>
      </c>
      <c r="M306" t="str">
        <f t="shared" si="32"/>
        <v>Medium</v>
      </c>
      <c r="N306">
        <f>(winequality_red[[#This Row],[Updated Quality &amp; Alcohol Analysis]]+winequality_red[[#This Row],[volatile acidity]]+winequality_red[[#This Row],[citric acid]])</f>
        <v>9.65</v>
      </c>
      <c r="O306">
        <f t="shared" si="33"/>
        <v>3.6739130434782614E-2</v>
      </c>
      <c r="S306" t="e">
        <f t="shared" si="34"/>
        <v>#N/A</v>
      </c>
      <c r="T306" t="e">
        <f t="shared" si="35"/>
        <v>#N/A</v>
      </c>
      <c r="U306">
        <f t="shared" si="36"/>
        <v>9.1999999999999993</v>
      </c>
      <c r="V306">
        <f t="shared" si="37"/>
        <v>5</v>
      </c>
      <c r="W306" t="e">
        <f t="shared" si="38"/>
        <v>#N/A</v>
      </c>
      <c r="X306" t="e">
        <f t="shared" si="39"/>
        <v>#N/A</v>
      </c>
    </row>
    <row r="307" spans="1:24" x14ac:dyDescent="0.3">
      <c r="A307">
        <v>10.3</v>
      </c>
      <c r="B307">
        <v>0.53</v>
      </c>
      <c r="C307">
        <v>0.48</v>
      </c>
      <c r="D307">
        <v>2.5</v>
      </c>
      <c r="E307">
        <v>6.3E-2</v>
      </c>
      <c r="F307">
        <v>6</v>
      </c>
      <c r="G307">
        <v>25</v>
      </c>
      <c r="H307">
        <v>0.99980000000000002</v>
      </c>
      <c r="I307">
        <v>3.12</v>
      </c>
      <c r="J307">
        <v>0.59</v>
      </c>
      <c r="K307">
        <v>9.3000000000000007</v>
      </c>
      <c r="L307">
        <v>6</v>
      </c>
      <c r="M307" t="str">
        <f t="shared" si="32"/>
        <v>Medium</v>
      </c>
      <c r="N307">
        <f>(winequality_red[[#This Row],[Updated Quality &amp; Alcohol Analysis]]+winequality_red[[#This Row],[volatile acidity]]+winequality_red[[#This Row],[citric acid]])</f>
        <v>11.31</v>
      </c>
      <c r="O307">
        <f t="shared" si="33"/>
        <v>3.3623655913978492E-2</v>
      </c>
      <c r="S307" t="e">
        <f t="shared" si="34"/>
        <v>#N/A</v>
      </c>
      <c r="T307" t="e">
        <f t="shared" si="35"/>
        <v>#N/A</v>
      </c>
      <c r="U307">
        <f t="shared" si="36"/>
        <v>9.3000000000000007</v>
      </c>
      <c r="V307">
        <f t="shared" si="37"/>
        <v>6</v>
      </c>
      <c r="W307" t="e">
        <f t="shared" si="38"/>
        <v>#N/A</v>
      </c>
      <c r="X307" t="e">
        <f t="shared" si="39"/>
        <v>#N/A</v>
      </c>
    </row>
    <row r="308" spans="1:24" x14ac:dyDescent="0.3">
      <c r="A308">
        <v>7.6</v>
      </c>
      <c r="B308">
        <v>0.62</v>
      </c>
      <c r="C308">
        <v>0.32</v>
      </c>
      <c r="D308">
        <v>2.2000000000000002</v>
      </c>
      <c r="E308">
        <v>8.199999999999999E-2</v>
      </c>
      <c r="F308">
        <v>7</v>
      </c>
      <c r="G308">
        <v>54</v>
      </c>
      <c r="H308">
        <v>0.99660000000000004</v>
      </c>
      <c r="I308">
        <v>3.36</v>
      </c>
      <c r="J308">
        <v>0.52</v>
      </c>
      <c r="K308">
        <v>9.4</v>
      </c>
      <c r="L308">
        <v>5</v>
      </c>
      <c r="M308" t="str">
        <f t="shared" si="32"/>
        <v>Medium</v>
      </c>
      <c r="N308">
        <f>(winequality_red[[#This Row],[Updated Quality &amp; Alcohol Analysis]]+winequality_red[[#This Row],[volatile acidity]]+winequality_red[[#This Row],[citric acid]])</f>
        <v>8.5399999999999991</v>
      </c>
      <c r="O308">
        <f t="shared" si="33"/>
        <v>3.4297872340425535E-2</v>
      </c>
      <c r="S308" t="e">
        <f t="shared" si="34"/>
        <v>#N/A</v>
      </c>
      <c r="T308" t="e">
        <f t="shared" si="35"/>
        <v>#N/A</v>
      </c>
      <c r="U308">
        <f t="shared" si="36"/>
        <v>9.4</v>
      </c>
      <c r="V308">
        <f t="shared" si="37"/>
        <v>5</v>
      </c>
      <c r="W308" t="e">
        <f t="shared" si="38"/>
        <v>#N/A</v>
      </c>
      <c r="X308" t="e">
        <f t="shared" si="39"/>
        <v>#N/A</v>
      </c>
    </row>
    <row r="309" spans="1:24" x14ac:dyDescent="0.3">
      <c r="A309">
        <v>10.3</v>
      </c>
      <c r="B309">
        <v>0.41</v>
      </c>
      <c r="C309">
        <v>0.42</v>
      </c>
      <c r="D309">
        <v>2.4</v>
      </c>
      <c r="E309">
        <v>0.21299999999999999</v>
      </c>
      <c r="F309">
        <v>6</v>
      </c>
      <c r="G309">
        <v>14</v>
      </c>
      <c r="H309">
        <v>0.99939999999999996</v>
      </c>
      <c r="I309">
        <v>3.19</v>
      </c>
      <c r="J309">
        <v>0.62</v>
      </c>
      <c r="K309">
        <v>9.5</v>
      </c>
      <c r="L309">
        <v>6</v>
      </c>
      <c r="M309" t="str">
        <f t="shared" si="32"/>
        <v>Medium</v>
      </c>
      <c r="N309">
        <f>(winequality_red[[#This Row],[Updated Quality &amp; Alcohol Analysis]]+winequality_red[[#This Row],[volatile acidity]]+winequality_red[[#This Row],[citric acid]])</f>
        <v>11.13</v>
      </c>
      <c r="O309">
        <f t="shared" si="33"/>
        <v>2.6757894736842102E-2</v>
      </c>
      <c r="S309" t="e">
        <f t="shared" si="34"/>
        <v>#N/A</v>
      </c>
      <c r="T309" t="e">
        <f t="shared" si="35"/>
        <v>#N/A</v>
      </c>
      <c r="U309">
        <f t="shared" si="36"/>
        <v>9.5</v>
      </c>
      <c r="V309">
        <f t="shared" si="37"/>
        <v>6</v>
      </c>
      <c r="W309" t="e">
        <f t="shared" si="38"/>
        <v>#N/A</v>
      </c>
      <c r="X309" t="e">
        <f t="shared" si="39"/>
        <v>#N/A</v>
      </c>
    </row>
    <row r="310" spans="1:24" x14ac:dyDescent="0.3">
      <c r="A310">
        <v>10.3</v>
      </c>
      <c r="B310">
        <v>0.43</v>
      </c>
      <c r="C310">
        <v>0.44</v>
      </c>
      <c r="D310">
        <v>2.4</v>
      </c>
      <c r="E310">
        <v>0.214</v>
      </c>
      <c r="F310">
        <v>5</v>
      </c>
      <c r="G310">
        <v>12</v>
      </c>
      <c r="H310">
        <v>0.99939999999999996</v>
      </c>
      <c r="I310">
        <v>3.19</v>
      </c>
      <c r="J310">
        <v>0.63</v>
      </c>
      <c r="K310">
        <v>9.5</v>
      </c>
      <c r="L310">
        <v>6</v>
      </c>
      <c r="M310" t="str">
        <f t="shared" si="32"/>
        <v>Medium</v>
      </c>
      <c r="N310">
        <f>(winequality_red[[#This Row],[Updated Quality &amp; Alcohol Analysis]]+winequality_red[[#This Row],[volatile acidity]]+winequality_red[[#This Row],[citric acid]])</f>
        <v>11.17</v>
      </c>
      <c r="O310">
        <f t="shared" si="33"/>
        <v>2.8515789473684206E-2</v>
      </c>
      <c r="S310" t="e">
        <f t="shared" si="34"/>
        <v>#N/A</v>
      </c>
      <c r="T310" t="e">
        <f t="shared" si="35"/>
        <v>#N/A</v>
      </c>
      <c r="U310">
        <f t="shared" si="36"/>
        <v>9.5</v>
      </c>
      <c r="V310">
        <f t="shared" si="37"/>
        <v>6</v>
      </c>
      <c r="W310" t="e">
        <f t="shared" si="38"/>
        <v>#N/A</v>
      </c>
      <c r="X310" t="e">
        <f t="shared" si="39"/>
        <v>#N/A</v>
      </c>
    </row>
    <row r="311" spans="1:24" x14ac:dyDescent="0.3">
      <c r="A311">
        <v>7.4</v>
      </c>
      <c r="B311">
        <v>0.28999999999999998</v>
      </c>
      <c r="C311">
        <v>0.38</v>
      </c>
      <c r="D311">
        <v>1.7</v>
      </c>
      <c r="E311">
        <v>6.2E-2</v>
      </c>
      <c r="F311">
        <v>9</v>
      </c>
      <c r="G311">
        <v>30</v>
      </c>
      <c r="H311">
        <v>0.99680000000000002</v>
      </c>
      <c r="I311">
        <v>3.41</v>
      </c>
      <c r="J311">
        <v>0.53</v>
      </c>
      <c r="K311">
        <v>9.5</v>
      </c>
      <c r="L311">
        <v>6</v>
      </c>
      <c r="M311" t="str">
        <f t="shared" si="32"/>
        <v>Medium</v>
      </c>
      <c r="N311">
        <f>(winequality_red[[#This Row],[Updated Quality &amp; Alcohol Analysis]]+winequality_red[[#This Row],[volatile acidity]]+winequality_red[[#This Row],[citric acid]])</f>
        <v>8.07</v>
      </c>
      <c r="O311">
        <f t="shared" si="33"/>
        <v>1.6178947368421053E-2</v>
      </c>
      <c r="S311" t="e">
        <f t="shared" si="34"/>
        <v>#N/A</v>
      </c>
      <c r="T311" t="e">
        <f t="shared" si="35"/>
        <v>#N/A</v>
      </c>
      <c r="U311">
        <f t="shared" si="36"/>
        <v>9.5</v>
      </c>
      <c r="V311">
        <f t="shared" si="37"/>
        <v>6</v>
      </c>
      <c r="W311" t="e">
        <f t="shared" si="38"/>
        <v>#N/A</v>
      </c>
      <c r="X311" t="e">
        <f t="shared" si="39"/>
        <v>#N/A</v>
      </c>
    </row>
    <row r="312" spans="1:24" x14ac:dyDescent="0.3">
      <c r="A312">
        <v>10.3</v>
      </c>
      <c r="B312">
        <v>0.53</v>
      </c>
      <c r="C312">
        <v>0.48</v>
      </c>
      <c r="D312">
        <v>2.5</v>
      </c>
      <c r="E312">
        <v>6.3E-2</v>
      </c>
      <c r="F312">
        <v>6</v>
      </c>
      <c r="G312">
        <v>25</v>
      </c>
      <c r="H312">
        <v>0.99980000000000002</v>
      </c>
      <c r="I312">
        <v>3.12</v>
      </c>
      <c r="J312">
        <v>0.59</v>
      </c>
      <c r="K312">
        <v>9.3000000000000007</v>
      </c>
      <c r="L312">
        <v>6</v>
      </c>
      <c r="M312" t="str">
        <f t="shared" si="32"/>
        <v>Medium</v>
      </c>
      <c r="N312">
        <f>(winequality_red[[#This Row],[Updated Quality &amp; Alcohol Analysis]]+winequality_red[[#This Row],[volatile acidity]]+winequality_red[[#This Row],[citric acid]])</f>
        <v>11.31</v>
      </c>
      <c r="O312">
        <f t="shared" si="33"/>
        <v>3.3623655913978492E-2</v>
      </c>
      <c r="S312" t="e">
        <f t="shared" si="34"/>
        <v>#N/A</v>
      </c>
      <c r="T312" t="e">
        <f t="shared" si="35"/>
        <v>#N/A</v>
      </c>
      <c r="U312">
        <f t="shared" si="36"/>
        <v>9.3000000000000007</v>
      </c>
      <c r="V312">
        <f t="shared" si="37"/>
        <v>6</v>
      </c>
      <c r="W312" t="e">
        <f t="shared" si="38"/>
        <v>#N/A</v>
      </c>
      <c r="X312" t="e">
        <f t="shared" si="39"/>
        <v>#N/A</v>
      </c>
    </row>
    <row r="313" spans="1:24" x14ac:dyDescent="0.3">
      <c r="A313">
        <v>7.9</v>
      </c>
      <c r="B313">
        <v>0.53</v>
      </c>
      <c r="C313">
        <v>0.24</v>
      </c>
      <c r="D313">
        <v>2</v>
      </c>
      <c r="E313">
        <v>7.2000000000000008E-2</v>
      </c>
      <c r="F313">
        <v>15</v>
      </c>
      <c r="G313">
        <v>105</v>
      </c>
      <c r="H313">
        <v>0.996</v>
      </c>
      <c r="I313">
        <v>3.27</v>
      </c>
      <c r="J313">
        <v>0.54</v>
      </c>
      <c r="K313">
        <v>9.4</v>
      </c>
      <c r="L313">
        <v>6</v>
      </c>
      <c r="M313" t="str">
        <f t="shared" si="32"/>
        <v>Medium</v>
      </c>
      <c r="N313">
        <f>(winequality_red[[#This Row],[Updated Quality &amp; Alcohol Analysis]]+winequality_red[[#This Row],[volatile acidity]]+winequality_red[[#This Row],[citric acid]])</f>
        <v>8.67</v>
      </c>
      <c r="O313">
        <f t="shared" si="33"/>
        <v>3.0446808510638298E-2</v>
      </c>
      <c r="S313" t="e">
        <f t="shared" si="34"/>
        <v>#N/A</v>
      </c>
      <c r="T313" t="e">
        <f t="shared" si="35"/>
        <v>#N/A</v>
      </c>
      <c r="U313">
        <f t="shared" si="36"/>
        <v>9.4</v>
      </c>
      <c r="V313">
        <f t="shared" si="37"/>
        <v>6</v>
      </c>
      <c r="W313" t="e">
        <f t="shared" si="38"/>
        <v>#N/A</v>
      </c>
      <c r="X313" t="e">
        <f t="shared" si="39"/>
        <v>#N/A</v>
      </c>
    </row>
    <row r="314" spans="1:24" x14ac:dyDescent="0.3">
      <c r="A314">
        <v>9</v>
      </c>
      <c r="B314">
        <v>0.46</v>
      </c>
      <c r="C314">
        <v>0.31</v>
      </c>
      <c r="D314">
        <v>2.8</v>
      </c>
      <c r="E314">
        <v>9.3000000000000013E-2</v>
      </c>
      <c r="F314">
        <v>19</v>
      </c>
      <c r="G314">
        <v>98</v>
      </c>
      <c r="H314">
        <v>0.99814999999999998</v>
      </c>
      <c r="I314">
        <v>3.32</v>
      </c>
      <c r="J314">
        <v>0.63</v>
      </c>
      <c r="K314">
        <v>9.5</v>
      </c>
      <c r="L314">
        <v>6</v>
      </c>
      <c r="M314" t="str">
        <f t="shared" si="32"/>
        <v>Medium</v>
      </c>
      <c r="N314">
        <f>(winequality_red[[#This Row],[Updated Quality &amp; Alcohol Analysis]]+winequality_red[[#This Row],[volatile acidity]]+winequality_red[[#This Row],[citric acid]])</f>
        <v>9.7700000000000014</v>
      </c>
      <c r="O314">
        <f t="shared" si="33"/>
        <v>3.0505263157894737E-2</v>
      </c>
      <c r="S314" t="e">
        <f t="shared" si="34"/>
        <v>#N/A</v>
      </c>
      <c r="T314" t="e">
        <f t="shared" si="35"/>
        <v>#N/A</v>
      </c>
      <c r="U314">
        <f t="shared" si="36"/>
        <v>9.5</v>
      </c>
      <c r="V314">
        <f t="shared" si="37"/>
        <v>6</v>
      </c>
      <c r="W314" t="e">
        <f t="shared" si="38"/>
        <v>#N/A</v>
      </c>
      <c r="X314" t="e">
        <f t="shared" si="39"/>
        <v>#N/A</v>
      </c>
    </row>
    <row r="315" spans="1:24" x14ac:dyDescent="0.3">
      <c r="A315">
        <v>8.6</v>
      </c>
      <c r="B315">
        <v>0.47</v>
      </c>
      <c r="C315">
        <v>0.3</v>
      </c>
      <c r="D315">
        <v>3</v>
      </c>
      <c r="E315">
        <v>7.5999999999999998E-2</v>
      </c>
      <c r="F315">
        <v>30</v>
      </c>
      <c r="G315">
        <v>135</v>
      </c>
      <c r="H315">
        <v>0.99760000000000004</v>
      </c>
      <c r="I315">
        <v>3.3</v>
      </c>
      <c r="J315">
        <v>0.53</v>
      </c>
      <c r="K315">
        <v>9.4</v>
      </c>
      <c r="L315">
        <v>5</v>
      </c>
      <c r="M315" t="str">
        <f t="shared" si="32"/>
        <v>Medium</v>
      </c>
      <c r="N315">
        <f>(winequality_red[[#This Row],[Updated Quality &amp; Alcohol Analysis]]+winequality_red[[#This Row],[volatile acidity]]+winequality_red[[#This Row],[citric acid]])</f>
        <v>9.370000000000001</v>
      </c>
      <c r="O315">
        <f t="shared" si="33"/>
        <v>2.6499999999999999E-2</v>
      </c>
      <c r="S315" t="e">
        <f t="shared" si="34"/>
        <v>#N/A</v>
      </c>
      <c r="T315" t="e">
        <f t="shared" si="35"/>
        <v>#N/A</v>
      </c>
      <c r="U315">
        <f t="shared" si="36"/>
        <v>9.4</v>
      </c>
      <c r="V315">
        <f t="shared" si="37"/>
        <v>5</v>
      </c>
      <c r="W315" t="e">
        <f t="shared" si="38"/>
        <v>#N/A</v>
      </c>
      <c r="X315" t="e">
        <f t="shared" si="39"/>
        <v>#N/A</v>
      </c>
    </row>
    <row r="316" spans="1:24" x14ac:dyDescent="0.3">
      <c r="A316">
        <v>7.4</v>
      </c>
      <c r="B316">
        <v>0.36</v>
      </c>
      <c r="C316">
        <v>0.28999999999999998</v>
      </c>
      <c r="D316">
        <v>2.6</v>
      </c>
      <c r="E316">
        <v>8.6999999999999994E-2</v>
      </c>
      <c r="F316">
        <v>26</v>
      </c>
      <c r="G316">
        <v>72</v>
      </c>
      <c r="H316">
        <v>0.99644999999999995</v>
      </c>
      <c r="I316">
        <v>3.39</v>
      </c>
      <c r="J316">
        <v>0.68</v>
      </c>
      <c r="K316">
        <v>11</v>
      </c>
      <c r="L316">
        <v>5</v>
      </c>
      <c r="M316" t="str">
        <f t="shared" si="32"/>
        <v>Medium</v>
      </c>
      <c r="N316">
        <f>(winequality_red[[#This Row],[Updated Quality &amp; Alcohol Analysis]]+winequality_red[[#This Row],[volatile acidity]]+winequality_red[[#This Row],[citric acid]])</f>
        <v>8.0500000000000007</v>
      </c>
      <c r="O316">
        <f t="shared" si="33"/>
        <v>2.2254545454545457E-2</v>
      </c>
      <c r="S316" t="e">
        <f t="shared" si="34"/>
        <v>#N/A</v>
      </c>
      <c r="T316" t="e">
        <f t="shared" si="35"/>
        <v>#N/A</v>
      </c>
      <c r="U316">
        <f t="shared" si="36"/>
        <v>11</v>
      </c>
      <c r="V316">
        <f t="shared" si="37"/>
        <v>5</v>
      </c>
      <c r="W316" t="e">
        <f t="shared" si="38"/>
        <v>#N/A</v>
      </c>
      <c r="X316" t="e">
        <f t="shared" si="39"/>
        <v>#N/A</v>
      </c>
    </row>
    <row r="317" spans="1:24" x14ac:dyDescent="0.3">
      <c r="A317">
        <v>7.1</v>
      </c>
      <c r="B317">
        <v>0.35</v>
      </c>
      <c r="C317">
        <v>0.28999999999999998</v>
      </c>
      <c r="D317">
        <v>2.5</v>
      </c>
      <c r="E317">
        <v>9.6000000000000002E-2</v>
      </c>
      <c r="F317">
        <v>20</v>
      </c>
      <c r="G317">
        <v>53</v>
      </c>
      <c r="H317">
        <v>0.99619999999999997</v>
      </c>
      <c r="I317">
        <v>3.42</v>
      </c>
      <c r="J317">
        <v>0.65</v>
      </c>
      <c r="K317">
        <v>11</v>
      </c>
      <c r="L317">
        <v>6</v>
      </c>
      <c r="M317" t="str">
        <f t="shared" si="32"/>
        <v>Medium</v>
      </c>
      <c r="N317">
        <f>(winequality_red[[#This Row],[Updated Quality &amp; Alcohol Analysis]]+winequality_red[[#This Row],[volatile acidity]]+winequality_red[[#This Row],[citric acid]])</f>
        <v>7.7399999999999993</v>
      </c>
      <c r="O317">
        <f t="shared" si="33"/>
        <v>2.068181818181818E-2</v>
      </c>
      <c r="S317" t="e">
        <f t="shared" si="34"/>
        <v>#N/A</v>
      </c>
      <c r="T317" t="e">
        <f t="shared" si="35"/>
        <v>#N/A</v>
      </c>
      <c r="U317">
        <f t="shared" si="36"/>
        <v>11</v>
      </c>
      <c r="V317">
        <f t="shared" si="37"/>
        <v>6</v>
      </c>
      <c r="W317" t="e">
        <f t="shared" si="38"/>
        <v>#N/A</v>
      </c>
      <c r="X317" t="e">
        <f t="shared" si="39"/>
        <v>#N/A</v>
      </c>
    </row>
    <row r="318" spans="1:24" x14ac:dyDescent="0.3">
      <c r="A318">
        <v>9.6</v>
      </c>
      <c r="B318">
        <v>0.56000000000000005</v>
      </c>
      <c r="C318">
        <v>0.23</v>
      </c>
      <c r="D318">
        <v>3.4</v>
      </c>
      <c r="E318">
        <v>0.10199999999999999</v>
      </c>
      <c r="F318">
        <v>37</v>
      </c>
      <c r="G318">
        <v>92</v>
      </c>
      <c r="H318">
        <v>0.99960000000000004</v>
      </c>
      <c r="I318">
        <v>3.3</v>
      </c>
      <c r="J318">
        <v>0.65</v>
      </c>
      <c r="K318">
        <v>10.1</v>
      </c>
      <c r="L318">
        <v>5</v>
      </c>
      <c r="M318" t="str">
        <f t="shared" si="32"/>
        <v>Medium</v>
      </c>
      <c r="N318">
        <f>(winequality_red[[#This Row],[Updated Quality &amp; Alcohol Analysis]]+winequality_red[[#This Row],[volatile acidity]]+winequality_red[[#This Row],[citric acid]])</f>
        <v>10.39</v>
      </c>
      <c r="O318">
        <f t="shared" si="33"/>
        <v>3.6039603960396044E-2</v>
      </c>
      <c r="S318" t="e">
        <f t="shared" si="34"/>
        <v>#N/A</v>
      </c>
      <c r="T318" t="e">
        <f t="shared" si="35"/>
        <v>#N/A</v>
      </c>
      <c r="U318">
        <f t="shared" si="36"/>
        <v>10.1</v>
      </c>
      <c r="V318">
        <f t="shared" si="37"/>
        <v>5</v>
      </c>
      <c r="W318" t="e">
        <f t="shared" si="38"/>
        <v>#N/A</v>
      </c>
      <c r="X318" t="e">
        <f t="shared" si="39"/>
        <v>#N/A</v>
      </c>
    </row>
    <row r="319" spans="1:24" x14ac:dyDescent="0.3">
      <c r="A319">
        <v>9.6</v>
      </c>
      <c r="B319">
        <v>0.77</v>
      </c>
      <c r="C319">
        <v>0.12</v>
      </c>
      <c r="D319">
        <v>2.9</v>
      </c>
      <c r="E319">
        <v>8.199999999999999E-2</v>
      </c>
      <c r="F319">
        <v>30</v>
      </c>
      <c r="G319">
        <v>74</v>
      </c>
      <c r="H319">
        <v>0.99865000000000004</v>
      </c>
      <c r="I319">
        <v>3.3</v>
      </c>
      <c r="J319">
        <v>0.64</v>
      </c>
      <c r="K319">
        <v>10.4</v>
      </c>
      <c r="L319">
        <v>6</v>
      </c>
      <c r="M319" t="str">
        <f t="shared" si="32"/>
        <v>Medium</v>
      </c>
      <c r="N319">
        <f>(winequality_red[[#This Row],[Updated Quality &amp; Alcohol Analysis]]+winequality_red[[#This Row],[volatile acidity]]+winequality_red[[#This Row],[citric acid]])</f>
        <v>10.489999999999998</v>
      </c>
      <c r="O319">
        <f t="shared" si="33"/>
        <v>4.7384615384615386E-2</v>
      </c>
      <c r="S319" t="e">
        <f t="shared" si="34"/>
        <v>#N/A</v>
      </c>
      <c r="T319" t="e">
        <f t="shared" si="35"/>
        <v>#N/A</v>
      </c>
      <c r="U319">
        <f t="shared" si="36"/>
        <v>10.4</v>
      </c>
      <c r="V319">
        <f t="shared" si="37"/>
        <v>6</v>
      </c>
      <c r="W319" t="e">
        <f t="shared" si="38"/>
        <v>#N/A</v>
      </c>
      <c r="X319" t="e">
        <f t="shared" si="39"/>
        <v>#N/A</v>
      </c>
    </row>
    <row r="320" spans="1:24" x14ac:dyDescent="0.3">
      <c r="A320">
        <v>9.8000000000000007</v>
      </c>
      <c r="B320">
        <v>0.66</v>
      </c>
      <c r="C320">
        <v>0.39</v>
      </c>
      <c r="D320">
        <v>3.2</v>
      </c>
      <c r="E320">
        <v>8.3000000000000004E-2</v>
      </c>
      <c r="F320">
        <v>21</v>
      </c>
      <c r="G320">
        <v>59</v>
      </c>
      <c r="H320">
        <v>0.99890000000000001</v>
      </c>
      <c r="I320">
        <v>3.37</v>
      </c>
      <c r="J320">
        <v>0.71</v>
      </c>
      <c r="K320">
        <v>11.5</v>
      </c>
      <c r="L320">
        <v>7</v>
      </c>
      <c r="M320" t="str">
        <f t="shared" si="32"/>
        <v>High</v>
      </c>
      <c r="N320">
        <f>(winequality_red[[#This Row],[Updated Quality &amp; Alcohol Analysis]]+winequality_red[[#This Row],[volatile acidity]]+winequality_red[[#This Row],[citric acid]])</f>
        <v>10.850000000000001</v>
      </c>
      <c r="O320">
        <f t="shared" si="33"/>
        <v>4.0747826086956526E-2</v>
      </c>
      <c r="S320" t="e">
        <f t="shared" si="34"/>
        <v>#N/A</v>
      </c>
      <c r="T320" t="e">
        <f t="shared" si="35"/>
        <v>#N/A</v>
      </c>
      <c r="U320" t="e">
        <f t="shared" si="36"/>
        <v>#N/A</v>
      </c>
      <c r="V320" t="e">
        <f t="shared" si="37"/>
        <v>#N/A</v>
      </c>
      <c r="W320">
        <f t="shared" si="38"/>
        <v>11.5</v>
      </c>
      <c r="X320">
        <f t="shared" si="39"/>
        <v>7</v>
      </c>
    </row>
    <row r="321" spans="1:24" x14ac:dyDescent="0.3">
      <c r="A321">
        <v>9.6</v>
      </c>
      <c r="B321">
        <v>0.77</v>
      </c>
      <c r="C321">
        <v>0.12</v>
      </c>
      <c r="D321">
        <v>2.9</v>
      </c>
      <c r="E321">
        <v>8.199999999999999E-2</v>
      </c>
      <c r="F321">
        <v>30</v>
      </c>
      <c r="G321">
        <v>74</v>
      </c>
      <c r="H321">
        <v>0.99865000000000004</v>
      </c>
      <c r="I321">
        <v>3.3</v>
      </c>
      <c r="J321">
        <v>0.64</v>
      </c>
      <c r="K321">
        <v>10.4</v>
      </c>
      <c r="L321">
        <v>6</v>
      </c>
      <c r="M321" t="str">
        <f t="shared" si="32"/>
        <v>Medium</v>
      </c>
      <c r="N321">
        <f>(winequality_red[[#This Row],[Updated Quality &amp; Alcohol Analysis]]+winequality_red[[#This Row],[volatile acidity]]+winequality_red[[#This Row],[citric acid]])</f>
        <v>10.489999999999998</v>
      </c>
      <c r="O321">
        <f t="shared" si="33"/>
        <v>4.7384615384615386E-2</v>
      </c>
      <c r="S321" t="e">
        <f t="shared" si="34"/>
        <v>#N/A</v>
      </c>
      <c r="T321" t="e">
        <f t="shared" si="35"/>
        <v>#N/A</v>
      </c>
      <c r="U321">
        <f t="shared" si="36"/>
        <v>10.4</v>
      </c>
      <c r="V321">
        <f t="shared" si="37"/>
        <v>6</v>
      </c>
      <c r="W321" t="e">
        <f t="shared" si="38"/>
        <v>#N/A</v>
      </c>
      <c r="X321" t="e">
        <f t="shared" si="39"/>
        <v>#N/A</v>
      </c>
    </row>
    <row r="322" spans="1:24" x14ac:dyDescent="0.3">
      <c r="A322">
        <v>9.8000000000000007</v>
      </c>
      <c r="B322">
        <v>0.66</v>
      </c>
      <c r="C322">
        <v>0.39</v>
      </c>
      <c r="D322">
        <v>3.2</v>
      </c>
      <c r="E322">
        <v>8.3000000000000004E-2</v>
      </c>
      <c r="F322">
        <v>21</v>
      </c>
      <c r="G322">
        <v>59</v>
      </c>
      <c r="H322">
        <v>0.99890000000000001</v>
      </c>
      <c r="I322">
        <v>3.37</v>
      </c>
      <c r="J322">
        <v>0.71</v>
      </c>
      <c r="K322">
        <v>11.5</v>
      </c>
      <c r="L322">
        <v>7</v>
      </c>
      <c r="M322" t="str">
        <f t="shared" ref="M322:M385" si="40">IF($L322&gt;=7,"High",IF($L322&gt;=5,"Medium","Low"))</f>
        <v>High</v>
      </c>
      <c r="N322">
        <f>(winequality_red[[#This Row],[Updated Quality &amp; Alcohol Analysis]]+winequality_red[[#This Row],[volatile acidity]]+winequality_red[[#This Row],[citric acid]])</f>
        <v>10.850000000000001</v>
      </c>
      <c r="O322">
        <f t="shared" ref="O322:O385" si="41">($B322*$J322)/$K322</f>
        <v>4.0747826086956526E-2</v>
      </c>
      <c r="S322" t="e">
        <f t="shared" si="34"/>
        <v>#N/A</v>
      </c>
      <c r="T322" t="e">
        <f t="shared" si="35"/>
        <v>#N/A</v>
      </c>
      <c r="U322" t="e">
        <f t="shared" si="36"/>
        <v>#N/A</v>
      </c>
      <c r="V322" t="e">
        <f t="shared" si="37"/>
        <v>#N/A</v>
      </c>
      <c r="W322">
        <f t="shared" si="38"/>
        <v>11.5</v>
      </c>
      <c r="X322">
        <f t="shared" si="39"/>
        <v>7</v>
      </c>
    </row>
    <row r="323" spans="1:24" x14ac:dyDescent="0.3">
      <c r="A323">
        <v>9.3000000000000007</v>
      </c>
      <c r="B323">
        <v>0.61</v>
      </c>
      <c r="C323">
        <v>0.26</v>
      </c>
      <c r="D323">
        <v>3.4</v>
      </c>
      <c r="E323">
        <v>0.09</v>
      </c>
      <c r="F323">
        <v>25</v>
      </c>
      <c r="G323">
        <v>87</v>
      </c>
      <c r="H323">
        <v>0.99975000000000003</v>
      </c>
      <c r="I323">
        <v>3.24</v>
      </c>
      <c r="J323">
        <v>0.62</v>
      </c>
      <c r="K323">
        <v>9.6999999999999993</v>
      </c>
      <c r="L323">
        <v>5</v>
      </c>
      <c r="M323" t="str">
        <f t="shared" si="40"/>
        <v>Medium</v>
      </c>
      <c r="N323">
        <f>(winequality_red[[#This Row],[Updated Quality &amp; Alcohol Analysis]]+winequality_red[[#This Row],[volatile acidity]]+winequality_red[[#This Row],[citric acid]])</f>
        <v>10.17</v>
      </c>
      <c r="O323">
        <f t="shared" si="41"/>
        <v>3.8989690721649484E-2</v>
      </c>
      <c r="S323" t="e">
        <f t="shared" ref="S323:S386" si="42">IF($M323="Low",$K323,NA())</f>
        <v>#N/A</v>
      </c>
      <c r="T323" t="e">
        <f t="shared" ref="T323:T386" si="43">IF($M323="Low",$L323,NA())</f>
        <v>#N/A</v>
      </c>
      <c r="U323">
        <f t="shared" ref="U323:U386" si="44">IF($M323="Medium",$K323,NA())</f>
        <v>9.6999999999999993</v>
      </c>
      <c r="V323">
        <f t="shared" ref="V323:V386" si="45">IF($M323="Medium",$L323,NA())</f>
        <v>5</v>
      </c>
      <c r="W323" t="e">
        <f t="shared" ref="W323:W386" si="46">IF($M323="High",$K323,NA())</f>
        <v>#N/A</v>
      </c>
      <c r="X323" t="e">
        <f t="shared" ref="X323:X386" si="47">IF($M323="High",$L323,NA())</f>
        <v>#N/A</v>
      </c>
    </row>
    <row r="324" spans="1:24" x14ac:dyDescent="0.3">
      <c r="A324">
        <v>7.8</v>
      </c>
      <c r="B324">
        <v>0.62</v>
      </c>
      <c r="C324">
        <v>0.05</v>
      </c>
      <c r="D324">
        <v>2.2999999999999998</v>
      </c>
      <c r="E324">
        <v>7.9000000000000001E-2</v>
      </c>
      <c r="F324">
        <v>6</v>
      </c>
      <c r="G324">
        <v>18</v>
      </c>
      <c r="H324">
        <v>0.99734999999999996</v>
      </c>
      <c r="I324">
        <v>3.29</v>
      </c>
      <c r="J324">
        <v>0.63</v>
      </c>
      <c r="K324">
        <v>9.3000000000000007</v>
      </c>
      <c r="L324">
        <v>5</v>
      </c>
      <c r="M324" t="str">
        <f t="shared" si="40"/>
        <v>Medium</v>
      </c>
      <c r="N324">
        <f>(winequality_red[[#This Row],[Updated Quality &amp; Alcohol Analysis]]+winequality_red[[#This Row],[volatile acidity]]+winequality_red[[#This Row],[citric acid]])</f>
        <v>8.4700000000000006</v>
      </c>
      <c r="O324">
        <f t="shared" si="41"/>
        <v>4.1999999999999996E-2</v>
      </c>
      <c r="S324" t="e">
        <f t="shared" si="42"/>
        <v>#N/A</v>
      </c>
      <c r="T324" t="e">
        <f t="shared" si="43"/>
        <v>#N/A</v>
      </c>
      <c r="U324">
        <f t="shared" si="44"/>
        <v>9.3000000000000007</v>
      </c>
      <c r="V324">
        <f t="shared" si="45"/>
        <v>5</v>
      </c>
      <c r="W324" t="e">
        <f t="shared" si="46"/>
        <v>#N/A</v>
      </c>
      <c r="X324" t="e">
        <f t="shared" si="47"/>
        <v>#N/A</v>
      </c>
    </row>
    <row r="325" spans="1:24" x14ac:dyDescent="0.3">
      <c r="A325">
        <v>10.3</v>
      </c>
      <c r="B325">
        <v>0.59</v>
      </c>
      <c r="C325">
        <v>0.42</v>
      </c>
      <c r="D325">
        <v>2.8</v>
      </c>
      <c r="E325">
        <v>0.09</v>
      </c>
      <c r="F325">
        <v>35</v>
      </c>
      <c r="G325">
        <v>73</v>
      </c>
      <c r="H325">
        <v>0.99900000000000011</v>
      </c>
      <c r="I325">
        <v>3.28</v>
      </c>
      <c r="J325">
        <v>0.7</v>
      </c>
      <c r="K325">
        <v>9.5</v>
      </c>
      <c r="L325">
        <v>6</v>
      </c>
      <c r="M325" t="str">
        <f t="shared" si="40"/>
        <v>Medium</v>
      </c>
      <c r="N325">
        <f>(winequality_red[[#This Row],[Updated Quality &amp; Alcohol Analysis]]+winequality_red[[#This Row],[volatile acidity]]+winequality_red[[#This Row],[citric acid]])</f>
        <v>11.31</v>
      </c>
      <c r="O325">
        <f t="shared" si="41"/>
        <v>4.347368421052631E-2</v>
      </c>
      <c r="S325" t="e">
        <f t="shared" si="42"/>
        <v>#N/A</v>
      </c>
      <c r="T325" t="e">
        <f t="shared" si="43"/>
        <v>#N/A</v>
      </c>
      <c r="U325">
        <f t="shared" si="44"/>
        <v>9.5</v>
      </c>
      <c r="V325">
        <f t="shared" si="45"/>
        <v>6</v>
      </c>
      <c r="W325" t="e">
        <f t="shared" si="46"/>
        <v>#N/A</v>
      </c>
      <c r="X325" t="e">
        <f t="shared" si="47"/>
        <v>#N/A</v>
      </c>
    </row>
    <row r="326" spans="1:24" x14ac:dyDescent="0.3">
      <c r="A326">
        <v>10</v>
      </c>
      <c r="B326">
        <v>0.49</v>
      </c>
      <c r="C326">
        <v>0.2</v>
      </c>
      <c r="D326">
        <v>11</v>
      </c>
      <c r="E326">
        <v>7.0999999999999994E-2</v>
      </c>
      <c r="F326">
        <v>13</v>
      </c>
      <c r="G326">
        <v>50</v>
      </c>
      <c r="H326">
        <v>1.0015000000000001</v>
      </c>
      <c r="I326">
        <v>3.16</v>
      </c>
      <c r="J326">
        <v>0.69</v>
      </c>
      <c r="K326">
        <v>9.1999999999999993</v>
      </c>
      <c r="L326">
        <v>6</v>
      </c>
      <c r="M326" t="str">
        <f t="shared" si="40"/>
        <v>Medium</v>
      </c>
      <c r="N326">
        <f>(winequality_red[[#This Row],[Updated Quality &amp; Alcohol Analysis]]+winequality_red[[#This Row],[volatile acidity]]+winequality_red[[#This Row],[citric acid]])</f>
        <v>10.69</v>
      </c>
      <c r="O326">
        <f t="shared" si="41"/>
        <v>3.6749999999999998E-2</v>
      </c>
      <c r="S326" t="e">
        <f t="shared" si="42"/>
        <v>#N/A</v>
      </c>
      <c r="T326" t="e">
        <f t="shared" si="43"/>
        <v>#N/A</v>
      </c>
      <c r="U326">
        <f t="shared" si="44"/>
        <v>9.1999999999999993</v>
      </c>
      <c r="V326">
        <f t="shared" si="45"/>
        <v>6</v>
      </c>
      <c r="W326" t="e">
        <f t="shared" si="46"/>
        <v>#N/A</v>
      </c>
      <c r="X326" t="e">
        <f t="shared" si="47"/>
        <v>#N/A</v>
      </c>
    </row>
    <row r="327" spans="1:24" x14ac:dyDescent="0.3">
      <c r="A327">
        <v>10</v>
      </c>
      <c r="B327">
        <v>0.49</v>
      </c>
      <c r="C327">
        <v>0.2</v>
      </c>
      <c r="D327">
        <v>11</v>
      </c>
      <c r="E327">
        <v>7.0999999999999994E-2</v>
      </c>
      <c r="F327">
        <v>13</v>
      </c>
      <c r="G327">
        <v>50</v>
      </c>
      <c r="H327">
        <v>1.0015000000000001</v>
      </c>
      <c r="I327">
        <v>3.16</v>
      </c>
      <c r="J327">
        <v>0.69</v>
      </c>
      <c r="K327">
        <v>9.1999999999999993</v>
      </c>
      <c r="L327">
        <v>6</v>
      </c>
      <c r="M327" t="str">
        <f t="shared" si="40"/>
        <v>Medium</v>
      </c>
      <c r="N327">
        <f>(winequality_red[[#This Row],[Updated Quality &amp; Alcohol Analysis]]+winequality_red[[#This Row],[volatile acidity]]+winequality_red[[#This Row],[citric acid]])</f>
        <v>10.69</v>
      </c>
      <c r="O327">
        <f t="shared" si="41"/>
        <v>3.6749999999999998E-2</v>
      </c>
      <c r="S327" t="e">
        <f t="shared" si="42"/>
        <v>#N/A</v>
      </c>
      <c r="T327" t="e">
        <f t="shared" si="43"/>
        <v>#N/A</v>
      </c>
      <c r="U327">
        <f t="shared" si="44"/>
        <v>9.1999999999999993</v>
      </c>
      <c r="V327">
        <f t="shared" si="45"/>
        <v>6</v>
      </c>
      <c r="W327" t="e">
        <f t="shared" si="46"/>
        <v>#N/A</v>
      </c>
      <c r="X327" t="e">
        <f t="shared" si="47"/>
        <v>#N/A</v>
      </c>
    </row>
    <row r="328" spans="1:24" x14ac:dyDescent="0.3">
      <c r="A328">
        <v>11.6</v>
      </c>
      <c r="B328">
        <v>0.53</v>
      </c>
      <c r="C328">
        <v>0.66</v>
      </c>
      <c r="D328">
        <v>3.65</v>
      </c>
      <c r="E328">
        <v>0.121</v>
      </c>
      <c r="F328">
        <v>6</v>
      </c>
      <c r="G328">
        <v>14</v>
      </c>
      <c r="H328">
        <v>0.99780000000000002</v>
      </c>
      <c r="I328">
        <v>3.05</v>
      </c>
      <c r="J328">
        <v>0.74</v>
      </c>
      <c r="K328">
        <v>11.5</v>
      </c>
      <c r="L328">
        <v>7</v>
      </c>
      <c r="M328" t="str">
        <f t="shared" si="40"/>
        <v>High</v>
      </c>
      <c r="N328">
        <f>(winequality_red[[#This Row],[Updated Quality &amp; Alcohol Analysis]]+winequality_red[[#This Row],[volatile acidity]]+winequality_red[[#This Row],[citric acid]])</f>
        <v>12.79</v>
      </c>
      <c r="O328">
        <f t="shared" si="41"/>
        <v>3.4104347826086956E-2</v>
      </c>
      <c r="S328" t="e">
        <f t="shared" si="42"/>
        <v>#N/A</v>
      </c>
      <c r="T328" t="e">
        <f t="shared" si="43"/>
        <v>#N/A</v>
      </c>
      <c r="U328" t="e">
        <f t="shared" si="44"/>
        <v>#N/A</v>
      </c>
      <c r="V328" t="e">
        <f t="shared" si="45"/>
        <v>#N/A</v>
      </c>
      <c r="W328">
        <f t="shared" si="46"/>
        <v>11.5</v>
      </c>
      <c r="X328">
        <f t="shared" si="47"/>
        <v>7</v>
      </c>
    </row>
    <row r="329" spans="1:24" x14ac:dyDescent="0.3">
      <c r="A329">
        <v>10.3</v>
      </c>
      <c r="B329">
        <v>0.44</v>
      </c>
      <c r="C329">
        <v>0.5</v>
      </c>
      <c r="D329">
        <v>4.5</v>
      </c>
      <c r="E329">
        <v>0.107</v>
      </c>
      <c r="F329">
        <v>5</v>
      </c>
      <c r="G329">
        <v>13</v>
      </c>
      <c r="H329">
        <v>0.998</v>
      </c>
      <c r="I329">
        <v>3.28</v>
      </c>
      <c r="J329">
        <v>0.83</v>
      </c>
      <c r="K329">
        <v>11.5</v>
      </c>
      <c r="L329">
        <v>5</v>
      </c>
      <c r="M329" t="str">
        <f t="shared" si="40"/>
        <v>Medium</v>
      </c>
      <c r="N329">
        <f>(winequality_red[[#This Row],[Updated Quality &amp; Alcohol Analysis]]+winequality_red[[#This Row],[volatile acidity]]+winequality_red[[#This Row],[citric acid]])</f>
        <v>11.24</v>
      </c>
      <c r="O329">
        <f t="shared" si="41"/>
        <v>3.1756521739130433E-2</v>
      </c>
      <c r="S329" t="e">
        <f t="shared" si="42"/>
        <v>#N/A</v>
      </c>
      <c r="T329" t="e">
        <f t="shared" si="43"/>
        <v>#N/A</v>
      </c>
      <c r="U329">
        <f t="shared" si="44"/>
        <v>11.5</v>
      </c>
      <c r="V329">
        <f t="shared" si="45"/>
        <v>5</v>
      </c>
      <c r="W329" t="e">
        <f t="shared" si="46"/>
        <v>#N/A</v>
      </c>
      <c r="X329" t="e">
        <f t="shared" si="47"/>
        <v>#N/A</v>
      </c>
    </row>
    <row r="330" spans="1:24" x14ac:dyDescent="0.3">
      <c r="A330">
        <v>13.4</v>
      </c>
      <c r="B330">
        <v>0.27</v>
      </c>
      <c r="C330">
        <v>0.62</v>
      </c>
      <c r="D330">
        <v>2.6</v>
      </c>
      <c r="E330">
        <v>8.199999999999999E-2</v>
      </c>
      <c r="F330">
        <v>6</v>
      </c>
      <c r="G330">
        <v>21</v>
      </c>
      <c r="H330">
        <v>1.0002</v>
      </c>
      <c r="I330">
        <v>3.16</v>
      </c>
      <c r="J330">
        <v>0.67</v>
      </c>
      <c r="K330">
        <v>9.6999999999999993</v>
      </c>
      <c r="L330">
        <v>6</v>
      </c>
      <c r="M330" t="str">
        <f t="shared" si="40"/>
        <v>Medium</v>
      </c>
      <c r="N330">
        <f>(winequality_red[[#This Row],[Updated Quality &amp; Alcohol Analysis]]+winequality_red[[#This Row],[volatile acidity]]+winequality_red[[#This Row],[citric acid]])</f>
        <v>14.29</v>
      </c>
      <c r="O330">
        <f t="shared" si="41"/>
        <v>1.8649484536082478E-2</v>
      </c>
      <c r="S330" t="e">
        <f t="shared" si="42"/>
        <v>#N/A</v>
      </c>
      <c r="T330" t="e">
        <f t="shared" si="43"/>
        <v>#N/A</v>
      </c>
      <c r="U330">
        <f t="shared" si="44"/>
        <v>9.6999999999999993</v>
      </c>
      <c r="V330">
        <f t="shared" si="45"/>
        <v>6</v>
      </c>
      <c r="W330" t="e">
        <f t="shared" si="46"/>
        <v>#N/A</v>
      </c>
      <c r="X330" t="e">
        <f t="shared" si="47"/>
        <v>#N/A</v>
      </c>
    </row>
    <row r="331" spans="1:24" x14ac:dyDescent="0.3">
      <c r="A331">
        <v>10.7</v>
      </c>
      <c r="B331">
        <v>0.46</v>
      </c>
      <c r="C331">
        <v>0.39</v>
      </c>
      <c r="D331">
        <v>2</v>
      </c>
      <c r="E331">
        <v>6.0999999999999999E-2</v>
      </c>
      <c r="F331">
        <v>7</v>
      </c>
      <c r="G331">
        <v>15</v>
      </c>
      <c r="H331">
        <v>0.99809999999999999</v>
      </c>
      <c r="I331">
        <v>3.18</v>
      </c>
      <c r="J331">
        <v>0.62</v>
      </c>
      <c r="K331">
        <v>9.5</v>
      </c>
      <c r="L331">
        <v>5</v>
      </c>
      <c r="M331" t="str">
        <f t="shared" si="40"/>
        <v>Medium</v>
      </c>
      <c r="N331">
        <f>(winequality_red[[#This Row],[Updated Quality &amp; Alcohol Analysis]]+winequality_red[[#This Row],[volatile acidity]]+winequality_red[[#This Row],[citric acid]])</f>
        <v>11.55</v>
      </c>
      <c r="O331">
        <f t="shared" si="41"/>
        <v>3.0021052631578948E-2</v>
      </c>
      <c r="S331" t="e">
        <f t="shared" si="42"/>
        <v>#N/A</v>
      </c>
      <c r="T331" t="e">
        <f t="shared" si="43"/>
        <v>#N/A</v>
      </c>
      <c r="U331">
        <f t="shared" si="44"/>
        <v>9.5</v>
      </c>
      <c r="V331">
        <f t="shared" si="45"/>
        <v>5</v>
      </c>
      <c r="W331" t="e">
        <f t="shared" si="46"/>
        <v>#N/A</v>
      </c>
      <c r="X331" t="e">
        <f t="shared" si="47"/>
        <v>#N/A</v>
      </c>
    </row>
    <row r="332" spans="1:24" x14ac:dyDescent="0.3">
      <c r="A332">
        <v>10.199999999999999</v>
      </c>
      <c r="B332">
        <v>0.36</v>
      </c>
      <c r="C332">
        <v>0.64</v>
      </c>
      <c r="D332">
        <v>2.9</v>
      </c>
      <c r="E332">
        <v>0.122</v>
      </c>
      <c r="F332">
        <v>10</v>
      </c>
      <c r="G332">
        <v>41</v>
      </c>
      <c r="H332">
        <v>0.998</v>
      </c>
      <c r="I332">
        <v>3.23</v>
      </c>
      <c r="J332">
        <v>0.66</v>
      </c>
      <c r="K332">
        <v>12.5</v>
      </c>
      <c r="L332">
        <v>6</v>
      </c>
      <c r="M332" t="str">
        <f t="shared" si="40"/>
        <v>Medium</v>
      </c>
      <c r="N332">
        <f>(winequality_red[[#This Row],[Updated Quality &amp; Alcohol Analysis]]+winequality_red[[#This Row],[volatile acidity]]+winequality_red[[#This Row],[citric acid]])</f>
        <v>11.2</v>
      </c>
      <c r="O332">
        <f t="shared" si="41"/>
        <v>1.9008000000000001E-2</v>
      </c>
      <c r="S332" t="e">
        <f t="shared" si="42"/>
        <v>#N/A</v>
      </c>
      <c r="T332" t="e">
        <f t="shared" si="43"/>
        <v>#N/A</v>
      </c>
      <c r="U332">
        <f t="shared" si="44"/>
        <v>12.5</v>
      </c>
      <c r="V332">
        <f t="shared" si="45"/>
        <v>6</v>
      </c>
      <c r="W332" t="e">
        <f t="shared" si="46"/>
        <v>#N/A</v>
      </c>
      <c r="X332" t="e">
        <f t="shared" si="47"/>
        <v>#N/A</v>
      </c>
    </row>
    <row r="333" spans="1:24" x14ac:dyDescent="0.3">
      <c r="A333">
        <v>10.199999999999999</v>
      </c>
      <c r="B333">
        <v>0.36</v>
      </c>
      <c r="C333">
        <v>0.64</v>
      </c>
      <c r="D333">
        <v>2.9</v>
      </c>
      <c r="E333">
        <v>0.122</v>
      </c>
      <c r="F333">
        <v>10</v>
      </c>
      <c r="G333">
        <v>41</v>
      </c>
      <c r="H333">
        <v>0.998</v>
      </c>
      <c r="I333">
        <v>3.23</v>
      </c>
      <c r="J333">
        <v>0.66</v>
      </c>
      <c r="K333">
        <v>12.5</v>
      </c>
      <c r="L333">
        <v>6</v>
      </c>
      <c r="M333" t="str">
        <f t="shared" si="40"/>
        <v>Medium</v>
      </c>
      <c r="N333">
        <f>(winequality_red[[#This Row],[Updated Quality &amp; Alcohol Analysis]]+winequality_red[[#This Row],[volatile acidity]]+winequality_red[[#This Row],[citric acid]])</f>
        <v>11.2</v>
      </c>
      <c r="O333">
        <f t="shared" si="41"/>
        <v>1.9008000000000001E-2</v>
      </c>
      <c r="S333" t="e">
        <f t="shared" si="42"/>
        <v>#N/A</v>
      </c>
      <c r="T333" t="e">
        <f t="shared" si="43"/>
        <v>#N/A</v>
      </c>
      <c r="U333">
        <f t="shared" si="44"/>
        <v>12.5</v>
      </c>
      <c r="V333">
        <f t="shared" si="45"/>
        <v>6</v>
      </c>
      <c r="W333" t="e">
        <f t="shared" si="46"/>
        <v>#N/A</v>
      </c>
      <c r="X333" t="e">
        <f t="shared" si="47"/>
        <v>#N/A</v>
      </c>
    </row>
    <row r="334" spans="1:24" x14ac:dyDescent="0.3">
      <c r="A334">
        <v>8</v>
      </c>
      <c r="B334">
        <v>0.57999999999999996</v>
      </c>
      <c r="C334">
        <v>0.28000000000000003</v>
      </c>
      <c r="D334">
        <v>3.2</v>
      </c>
      <c r="E334">
        <v>6.6000000000000003E-2</v>
      </c>
      <c r="F334">
        <v>21</v>
      </c>
      <c r="G334">
        <v>114</v>
      </c>
      <c r="H334">
        <v>0.99729999999999996</v>
      </c>
      <c r="I334">
        <v>3.22</v>
      </c>
      <c r="J334">
        <v>0.54</v>
      </c>
      <c r="K334">
        <v>9.4</v>
      </c>
      <c r="L334">
        <v>6</v>
      </c>
      <c r="M334" t="str">
        <f t="shared" si="40"/>
        <v>Medium</v>
      </c>
      <c r="N334">
        <f>(winequality_red[[#This Row],[Updated Quality &amp; Alcohol Analysis]]+winequality_red[[#This Row],[volatile acidity]]+winequality_red[[#This Row],[citric acid]])</f>
        <v>8.86</v>
      </c>
      <c r="O334">
        <f t="shared" si="41"/>
        <v>3.3319148936170211E-2</v>
      </c>
      <c r="S334" t="e">
        <f t="shared" si="42"/>
        <v>#N/A</v>
      </c>
      <c r="T334" t="e">
        <f t="shared" si="43"/>
        <v>#N/A</v>
      </c>
      <c r="U334">
        <f t="shared" si="44"/>
        <v>9.4</v>
      </c>
      <c r="V334">
        <f t="shared" si="45"/>
        <v>6</v>
      </c>
      <c r="W334" t="e">
        <f t="shared" si="46"/>
        <v>#N/A</v>
      </c>
      <c r="X334" t="e">
        <f t="shared" si="47"/>
        <v>#N/A</v>
      </c>
    </row>
    <row r="335" spans="1:24" x14ac:dyDescent="0.3">
      <c r="A335">
        <v>8.4</v>
      </c>
      <c r="B335">
        <v>0.56000000000000005</v>
      </c>
      <c r="C335">
        <v>0.08</v>
      </c>
      <c r="D335">
        <v>2.1</v>
      </c>
      <c r="E335">
        <v>0.105</v>
      </c>
      <c r="F335">
        <v>16</v>
      </c>
      <c r="G335">
        <v>44</v>
      </c>
      <c r="H335">
        <v>0.99580000000000002</v>
      </c>
      <c r="I335">
        <v>3.13</v>
      </c>
      <c r="J335">
        <v>0.52</v>
      </c>
      <c r="K335">
        <v>11</v>
      </c>
      <c r="L335">
        <v>5</v>
      </c>
      <c r="M335" t="str">
        <f t="shared" si="40"/>
        <v>Medium</v>
      </c>
      <c r="N335">
        <f>(winequality_red[[#This Row],[Updated Quality &amp; Alcohol Analysis]]+winequality_red[[#This Row],[volatile acidity]]+winequality_red[[#This Row],[citric acid]])</f>
        <v>9.0400000000000009</v>
      </c>
      <c r="O335">
        <f t="shared" si="41"/>
        <v>2.6472727272727273E-2</v>
      </c>
      <c r="S335" t="e">
        <f t="shared" si="42"/>
        <v>#N/A</v>
      </c>
      <c r="T335" t="e">
        <f t="shared" si="43"/>
        <v>#N/A</v>
      </c>
      <c r="U335">
        <f t="shared" si="44"/>
        <v>11</v>
      </c>
      <c r="V335">
        <f t="shared" si="45"/>
        <v>5</v>
      </c>
      <c r="W335" t="e">
        <f t="shared" si="46"/>
        <v>#N/A</v>
      </c>
      <c r="X335" t="e">
        <f t="shared" si="47"/>
        <v>#N/A</v>
      </c>
    </row>
    <row r="336" spans="1:24" x14ac:dyDescent="0.3">
      <c r="A336">
        <v>7.9</v>
      </c>
      <c r="B336">
        <v>0.65</v>
      </c>
      <c r="C336">
        <v>0.01</v>
      </c>
      <c r="D336">
        <v>2.5</v>
      </c>
      <c r="E336">
        <v>7.8E-2</v>
      </c>
      <c r="F336">
        <v>17</v>
      </c>
      <c r="G336">
        <v>38</v>
      </c>
      <c r="H336">
        <v>0.99629999999999996</v>
      </c>
      <c r="I336">
        <v>3.34</v>
      </c>
      <c r="J336">
        <v>0.74</v>
      </c>
      <c r="K336">
        <v>11.7</v>
      </c>
      <c r="L336">
        <v>7</v>
      </c>
      <c r="M336" t="str">
        <f t="shared" si="40"/>
        <v>High</v>
      </c>
      <c r="N336">
        <f>(winequality_red[[#This Row],[Updated Quality &amp; Alcohol Analysis]]+winequality_red[[#This Row],[volatile acidity]]+winequality_red[[#This Row],[citric acid]])</f>
        <v>8.56</v>
      </c>
      <c r="O336">
        <f t="shared" si="41"/>
        <v>4.1111111111111112E-2</v>
      </c>
      <c r="S336" t="e">
        <f t="shared" si="42"/>
        <v>#N/A</v>
      </c>
      <c r="T336" t="e">
        <f t="shared" si="43"/>
        <v>#N/A</v>
      </c>
      <c r="U336" t="e">
        <f t="shared" si="44"/>
        <v>#N/A</v>
      </c>
      <c r="V336" t="e">
        <f t="shared" si="45"/>
        <v>#N/A</v>
      </c>
      <c r="W336">
        <f t="shared" si="46"/>
        <v>11.7</v>
      </c>
      <c r="X336">
        <f t="shared" si="47"/>
        <v>7</v>
      </c>
    </row>
    <row r="337" spans="1:24" x14ac:dyDescent="0.3">
      <c r="A337">
        <v>11.9</v>
      </c>
      <c r="B337">
        <v>0.69499999999999995</v>
      </c>
      <c r="C337">
        <v>0.53</v>
      </c>
      <c r="D337">
        <v>3.4</v>
      </c>
      <c r="E337">
        <v>0.128</v>
      </c>
      <c r="F337">
        <v>7</v>
      </c>
      <c r="G337">
        <v>21</v>
      </c>
      <c r="H337">
        <v>0.99919999999999998</v>
      </c>
      <c r="I337">
        <v>3.17</v>
      </c>
      <c r="J337">
        <v>0.84</v>
      </c>
      <c r="K337">
        <v>12.2</v>
      </c>
      <c r="L337">
        <v>7</v>
      </c>
      <c r="M337" t="str">
        <f t="shared" si="40"/>
        <v>High</v>
      </c>
      <c r="N337">
        <f>(winequality_red[[#This Row],[Updated Quality &amp; Alcohol Analysis]]+winequality_red[[#This Row],[volatile acidity]]+winequality_red[[#This Row],[citric acid]])</f>
        <v>13.125</v>
      </c>
      <c r="O337">
        <f t="shared" si="41"/>
        <v>4.7852459016393442E-2</v>
      </c>
      <c r="S337" t="e">
        <f t="shared" si="42"/>
        <v>#N/A</v>
      </c>
      <c r="T337" t="e">
        <f t="shared" si="43"/>
        <v>#N/A</v>
      </c>
      <c r="U337" t="e">
        <f t="shared" si="44"/>
        <v>#N/A</v>
      </c>
      <c r="V337" t="e">
        <f t="shared" si="45"/>
        <v>#N/A</v>
      </c>
      <c r="W337">
        <f t="shared" si="46"/>
        <v>12.2</v>
      </c>
      <c r="X337">
        <f t="shared" si="47"/>
        <v>7</v>
      </c>
    </row>
    <row r="338" spans="1:24" x14ac:dyDescent="0.3">
      <c r="A338">
        <v>8.9</v>
      </c>
      <c r="B338">
        <v>0.43</v>
      </c>
      <c r="C338">
        <v>0.45</v>
      </c>
      <c r="D338">
        <v>1.9</v>
      </c>
      <c r="E338">
        <v>5.2000000000000005E-2</v>
      </c>
      <c r="F338">
        <v>6</v>
      </c>
      <c r="G338">
        <v>16</v>
      </c>
      <c r="H338">
        <v>0.99480000000000002</v>
      </c>
      <c r="I338">
        <v>3.35</v>
      </c>
      <c r="J338">
        <v>0.7</v>
      </c>
      <c r="K338">
        <v>12.5</v>
      </c>
      <c r="L338">
        <v>6</v>
      </c>
      <c r="M338" t="str">
        <f t="shared" si="40"/>
        <v>Medium</v>
      </c>
      <c r="N338">
        <f>(winequality_red[[#This Row],[Updated Quality &amp; Alcohol Analysis]]+winequality_red[[#This Row],[volatile acidity]]+winequality_red[[#This Row],[citric acid]])</f>
        <v>9.7799999999999994</v>
      </c>
      <c r="O338">
        <f t="shared" si="41"/>
        <v>2.4080000000000001E-2</v>
      </c>
      <c r="S338" t="e">
        <f t="shared" si="42"/>
        <v>#N/A</v>
      </c>
      <c r="T338" t="e">
        <f t="shared" si="43"/>
        <v>#N/A</v>
      </c>
      <c r="U338">
        <f t="shared" si="44"/>
        <v>12.5</v>
      </c>
      <c r="V338">
        <f t="shared" si="45"/>
        <v>6</v>
      </c>
      <c r="W338" t="e">
        <f t="shared" si="46"/>
        <v>#N/A</v>
      </c>
      <c r="X338" t="e">
        <f t="shared" si="47"/>
        <v>#N/A</v>
      </c>
    </row>
    <row r="339" spans="1:24" x14ac:dyDescent="0.3">
      <c r="A339">
        <v>7.8</v>
      </c>
      <c r="B339">
        <v>0.43</v>
      </c>
      <c r="C339">
        <v>0.32</v>
      </c>
      <c r="D339">
        <v>2.8</v>
      </c>
      <c r="E339">
        <v>0.08</v>
      </c>
      <c r="F339">
        <v>29</v>
      </c>
      <c r="G339">
        <v>58</v>
      </c>
      <c r="H339">
        <v>0.99739999999999995</v>
      </c>
      <c r="I339">
        <v>3.31</v>
      </c>
      <c r="J339">
        <v>0.64</v>
      </c>
      <c r="K339">
        <v>10.3</v>
      </c>
      <c r="L339">
        <v>5</v>
      </c>
      <c r="M339" t="str">
        <f t="shared" si="40"/>
        <v>Medium</v>
      </c>
      <c r="N339">
        <f>(winequality_red[[#This Row],[Updated Quality &amp; Alcohol Analysis]]+winequality_red[[#This Row],[volatile acidity]]+winequality_red[[#This Row],[citric acid]])</f>
        <v>8.5500000000000007</v>
      </c>
      <c r="O339">
        <f t="shared" si="41"/>
        <v>2.6718446601941746E-2</v>
      </c>
      <c r="S339" t="e">
        <f t="shared" si="42"/>
        <v>#N/A</v>
      </c>
      <c r="T339" t="e">
        <f t="shared" si="43"/>
        <v>#N/A</v>
      </c>
      <c r="U339">
        <f t="shared" si="44"/>
        <v>10.3</v>
      </c>
      <c r="V339">
        <f t="shared" si="45"/>
        <v>5</v>
      </c>
      <c r="W339" t="e">
        <f t="shared" si="46"/>
        <v>#N/A</v>
      </c>
      <c r="X339" t="e">
        <f t="shared" si="47"/>
        <v>#N/A</v>
      </c>
    </row>
    <row r="340" spans="1:24" x14ac:dyDescent="0.3">
      <c r="A340">
        <v>12.4</v>
      </c>
      <c r="B340">
        <v>0.49</v>
      </c>
      <c r="C340">
        <v>0.57999999999999996</v>
      </c>
      <c r="D340">
        <v>3</v>
      </c>
      <c r="E340">
        <v>0.10300000000000001</v>
      </c>
      <c r="F340">
        <v>28</v>
      </c>
      <c r="G340">
        <v>99</v>
      </c>
      <c r="H340">
        <v>1.0007999999999999</v>
      </c>
      <c r="I340">
        <v>3.16</v>
      </c>
      <c r="J340">
        <v>1</v>
      </c>
      <c r="K340">
        <v>11.5</v>
      </c>
      <c r="L340">
        <v>6</v>
      </c>
      <c r="M340" t="str">
        <f t="shared" si="40"/>
        <v>Medium</v>
      </c>
      <c r="N340">
        <f>(winequality_red[[#This Row],[Updated Quality &amp; Alcohol Analysis]]+winequality_red[[#This Row],[volatile acidity]]+winequality_red[[#This Row],[citric acid]])</f>
        <v>13.47</v>
      </c>
      <c r="O340">
        <f t="shared" si="41"/>
        <v>4.2608695652173914E-2</v>
      </c>
      <c r="S340" t="e">
        <f t="shared" si="42"/>
        <v>#N/A</v>
      </c>
      <c r="T340" t="e">
        <f t="shared" si="43"/>
        <v>#N/A</v>
      </c>
      <c r="U340">
        <f t="shared" si="44"/>
        <v>11.5</v>
      </c>
      <c r="V340">
        <f t="shared" si="45"/>
        <v>6</v>
      </c>
      <c r="W340" t="e">
        <f t="shared" si="46"/>
        <v>#N/A</v>
      </c>
      <c r="X340" t="e">
        <f t="shared" si="47"/>
        <v>#N/A</v>
      </c>
    </row>
    <row r="341" spans="1:24" x14ac:dyDescent="0.3">
      <c r="A341">
        <v>12.5</v>
      </c>
      <c r="B341">
        <v>0.28000000000000003</v>
      </c>
      <c r="C341">
        <v>0.54</v>
      </c>
      <c r="D341">
        <v>2.2999999999999998</v>
      </c>
      <c r="E341">
        <v>8.199999999999999E-2</v>
      </c>
      <c r="F341">
        <v>12</v>
      </c>
      <c r="G341">
        <v>29</v>
      </c>
      <c r="H341">
        <v>0.99970000000000003</v>
      </c>
      <c r="I341">
        <v>3.11</v>
      </c>
      <c r="J341">
        <v>1.36</v>
      </c>
      <c r="K341">
        <v>9.8000000000000007</v>
      </c>
      <c r="L341">
        <v>7</v>
      </c>
      <c r="M341" t="str">
        <f t="shared" si="40"/>
        <v>High</v>
      </c>
      <c r="N341">
        <f>(winequality_red[[#This Row],[Updated Quality &amp; Alcohol Analysis]]+winequality_red[[#This Row],[volatile acidity]]+winequality_red[[#This Row],[citric acid]])</f>
        <v>13.32</v>
      </c>
      <c r="O341">
        <f t="shared" si="41"/>
        <v>3.8857142857142861E-2</v>
      </c>
      <c r="S341" t="e">
        <f t="shared" si="42"/>
        <v>#N/A</v>
      </c>
      <c r="T341" t="e">
        <f t="shared" si="43"/>
        <v>#N/A</v>
      </c>
      <c r="U341" t="e">
        <f t="shared" si="44"/>
        <v>#N/A</v>
      </c>
      <c r="V341" t="e">
        <f t="shared" si="45"/>
        <v>#N/A</v>
      </c>
      <c r="W341">
        <f t="shared" si="46"/>
        <v>9.8000000000000007</v>
      </c>
      <c r="X341">
        <f t="shared" si="47"/>
        <v>7</v>
      </c>
    </row>
    <row r="342" spans="1:24" x14ac:dyDescent="0.3">
      <c r="A342">
        <v>12.2</v>
      </c>
      <c r="B342">
        <v>0.34</v>
      </c>
      <c r="C342">
        <v>0.5</v>
      </c>
      <c r="D342">
        <v>2.4</v>
      </c>
      <c r="E342">
        <v>6.6000000000000003E-2</v>
      </c>
      <c r="F342">
        <v>10</v>
      </c>
      <c r="G342">
        <v>21</v>
      </c>
      <c r="H342">
        <v>1</v>
      </c>
      <c r="I342">
        <v>3.12</v>
      </c>
      <c r="J342">
        <v>1.18</v>
      </c>
      <c r="K342">
        <v>9.1999999999999993</v>
      </c>
      <c r="L342">
        <v>6</v>
      </c>
      <c r="M342" t="str">
        <f t="shared" si="40"/>
        <v>Medium</v>
      </c>
      <c r="N342">
        <f>(winequality_red[[#This Row],[Updated Quality &amp; Alcohol Analysis]]+winequality_red[[#This Row],[volatile acidity]]+winequality_red[[#This Row],[citric acid]])</f>
        <v>13.04</v>
      </c>
      <c r="O342">
        <f t="shared" si="41"/>
        <v>4.3608695652173915E-2</v>
      </c>
      <c r="S342" t="e">
        <f t="shared" si="42"/>
        <v>#N/A</v>
      </c>
      <c r="T342" t="e">
        <f t="shared" si="43"/>
        <v>#N/A</v>
      </c>
      <c r="U342">
        <f t="shared" si="44"/>
        <v>9.1999999999999993</v>
      </c>
      <c r="V342">
        <f t="shared" si="45"/>
        <v>6</v>
      </c>
      <c r="W342" t="e">
        <f t="shared" si="46"/>
        <v>#N/A</v>
      </c>
      <c r="X342" t="e">
        <f t="shared" si="47"/>
        <v>#N/A</v>
      </c>
    </row>
    <row r="343" spans="1:24" x14ac:dyDescent="0.3">
      <c r="A343">
        <v>10.6</v>
      </c>
      <c r="B343">
        <v>0.42</v>
      </c>
      <c r="C343">
        <v>0.48</v>
      </c>
      <c r="D343">
        <v>2.7</v>
      </c>
      <c r="E343">
        <v>6.5000000000000002E-2</v>
      </c>
      <c r="F343">
        <v>5</v>
      </c>
      <c r="G343">
        <v>18</v>
      </c>
      <c r="H343">
        <v>0.99719999999999998</v>
      </c>
      <c r="I343">
        <v>3.21</v>
      </c>
      <c r="J343">
        <v>0.87</v>
      </c>
      <c r="K343">
        <v>11.3</v>
      </c>
      <c r="L343">
        <v>6</v>
      </c>
      <c r="M343" t="str">
        <f t="shared" si="40"/>
        <v>Medium</v>
      </c>
      <c r="N343">
        <f>(winequality_red[[#This Row],[Updated Quality &amp; Alcohol Analysis]]+winequality_red[[#This Row],[volatile acidity]]+winequality_red[[#This Row],[citric acid]])</f>
        <v>11.5</v>
      </c>
      <c r="O343">
        <f t="shared" si="41"/>
        <v>3.2336283185840704E-2</v>
      </c>
      <c r="S343" t="e">
        <f t="shared" si="42"/>
        <v>#N/A</v>
      </c>
      <c r="T343" t="e">
        <f t="shared" si="43"/>
        <v>#N/A</v>
      </c>
      <c r="U343">
        <f t="shared" si="44"/>
        <v>11.3</v>
      </c>
      <c r="V343">
        <f t="shared" si="45"/>
        <v>6</v>
      </c>
      <c r="W343" t="e">
        <f t="shared" si="46"/>
        <v>#N/A</v>
      </c>
      <c r="X343" t="e">
        <f t="shared" si="47"/>
        <v>#N/A</v>
      </c>
    </row>
    <row r="344" spans="1:24" x14ac:dyDescent="0.3">
      <c r="A344">
        <v>10.9</v>
      </c>
      <c r="B344">
        <v>0.39</v>
      </c>
      <c r="C344">
        <v>0.47</v>
      </c>
      <c r="D344">
        <v>1.8</v>
      </c>
      <c r="E344">
        <v>0.11800000000000001</v>
      </c>
      <c r="F344">
        <v>6</v>
      </c>
      <c r="G344">
        <v>14</v>
      </c>
      <c r="H344">
        <v>0.99819999999999998</v>
      </c>
      <c r="I344">
        <v>3.3</v>
      </c>
      <c r="J344">
        <v>0.75</v>
      </c>
      <c r="K344">
        <v>9.8000000000000007</v>
      </c>
      <c r="L344">
        <v>6</v>
      </c>
      <c r="M344" t="str">
        <f t="shared" si="40"/>
        <v>Medium</v>
      </c>
      <c r="N344">
        <f>(winequality_red[[#This Row],[Updated Quality &amp; Alcohol Analysis]]+winequality_red[[#This Row],[volatile acidity]]+winequality_red[[#This Row],[citric acid]])</f>
        <v>11.760000000000002</v>
      </c>
      <c r="O344">
        <f t="shared" si="41"/>
        <v>2.9846938775510201E-2</v>
      </c>
      <c r="S344" t="e">
        <f t="shared" si="42"/>
        <v>#N/A</v>
      </c>
      <c r="T344" t="e">
        <f t="shared" si="43"/>
        <v>#N/A</v>
      </c>
      <c r="U344">
        <f t="shared" si="44"/>
        <v>9.8000000000000007</v>
      </c>
      <c r="V344">
        <f t="shared" si="45"/>
        <v>6</v>
      </c>
      <c r="W344" t="e">
        <f t="shared" si="46"/>
        <v>#N/A</v>
      </c>
      <c r="X344" t="e">
        <f t="shared" si="47"/>
        <v>#N/A</v>
      </c>
    </row>
    <row r="345" spans="1:24" x14ac:dyDescent="0.3">
      <c r="A345">
        <v>10.9</v>
      </c>
      <c r="B345">
        <v>0.39</v>
      </c>
      <c r="C345">
        <v>0.47</v>
      </c>
      <c r="D345">
        <v>1.8</v>
      </c>
      <c r="E345">
        <v>0.11800000000000001</v>
      </c>
      <c r="F345">
        <v>6</v>
      </c>
      <c r="G345">
        <v>14</v>
      </c>
      <c r="H345">
        <v>0.99819999999999998</v>
      </c>
      <c r="I345">
        <v>3.3</v>
      </c>
      <c r="J345">
        <v>0.75</v>
      </c>
      <c r="K345">
        <v>9.8000000000000007</v>
      </c>
      <c r="L345">
        <v>6</v>
      </c>
      <c r="M345" t="str">
        <f t="shared" si="40"/>
        <v>Medium</v>
      </c>
      <c r="N345">
        <f>(winequality_red[[#This Row],[Updated Quality &amp; Alcohol Analysis]]+winequality_red[[#This Row],[volatile acidity]]+winequality_red[[#This Row],[citric acid]])</f>
        <v>11.760000000000002</v>
      </c>
      <c r="O345">
        <f t="shared" si="41"/>
        <v>2.9846938775510201E-2</v>
      </c>
      <c r="S345" t="e">
        <f t="shared" si="42"/>
        <v>#N/A</v>
      </c>
      <c r="T345" t="e">
        <f t="shared" si="43"/>
        <v>#N/A</v>
      </c>
      <c r="U345">
        <f t="shared" si="44"/>
        <v>9.8000000000000007</v>
      </c>
      <c r="V345">
        <f t="shared" si="45"/>
        <v>6</v>
      </c>
      <c r="W345" t="e">
        <f t="shared" si="46"/>
        <v>#N/A</v>
      </c>
      <c r="X345" t="e">
        <f t="shared" si="47"/>
        <v>#N/A</v>
      </c>
    </row>
    <row r="346" spans="1:24" x14ac:dyDescent="0.3">
      <c r="A346">
        <v>11.9</v>
      </c>
      <c r="B346">
        <v>0.56999999999999995</v>
      </c>
      <c r="C346">
        <v>0.5</v>
      </c>
      <c r="D346">
        <v>2.6</v>
      </c>
      <c r="E346">
        <v>8.199999999999999E-2</v>
      </c>
      <c r="F346">
        <v>6</v>
      </c>
      <c r="G346">
        <v>32</v>
      </c>
      <c r="H346">
        <v>1.0005999999999999</v>
      </c>
      <c r="I346">
        <v>3.12</v>
      </c>
      <c r="J346">
        <v>0.78</v>
      </c>
      <c r="K346">
        <v>10.7</v>
      </c>
      <c r="L346">
        <v>6</v>
      </c>
      <c r="M346" t="str">
        <f t="shared" si="40"/>
        <v>Medium</v>
      </c>
      <c r="N346">
        <f>(winequality_red[[#This Row],[Updated Quality &amp; Alcohol Analysis]]+winequality_red[[#This Row],[volatile acidity]]+winequality_red[[#This Row],[citric acid]])</f>
        <v>12.97</v>
      </c>
      <c r="O346">
        <f t="shared" si="41"/>
        <v>4.1551401869158879E-2</v>
      </c>
      <c r="S346" t="e">
        <f t="shared" si="42"/>
        <v>#N/A</v>
      </c>
      <c r="T346" t="e">
        <f t="shared" si="43"/>
        <v>#N/A</v>
      </c>
      <c r="U346">
        <f t="shared" si="44"/>
        <v>10.7</v>
      </c>
      <c r="V346">
        <f t="shared" si="45"/>
        <v>6</v>
      </c>
      <c r="W346" t="e">
        <f t="shared" si="46"/>
        <v>#N/A</v>
      </c>
      <c r="X346" t="e">
        <f t="shared" si="47"/>
        <v>#N/A</v>
      </c>
    </row>
    <row r="347" spans="1:24" x14ac:dyDescent="0.3">
      <c r="A347">
        <v>7</v>
      </c>
      <c r="B347">
        <v>0.68500000000000005</v>
      </c>
      <c r="C347">
        <v>0</v>
      </c>
      <c r="D347">
        <v>1.9</v>
      </c>
      <c r="E347">
        <v>6.7000000000000004E-2</v>
      </c>
      <c r="F347">
        <v>40</v>
      </c>
      <c r="G347">
        <v>63</v>
      </c>
      <c r="H347">
        <v>0.99790000000000001</v>
      </c>
      <c r="I347">
        <v>3.6</v>
      </c>
      <c r="J347">
        <v>0.81</v>
      </c>
      <c r="K347">
        <v>9.9</v>
      </c>
      <c r="L347">
        <v>5</v>
      </c>
      <c r="M347" t="str">
        <f t="shared" si="40"/>
        <v>Medium</v>
      </c>
      <c r="N347">
        <f>(winequality_red[[#This Row],[Updated Quality &amp; Alcohol Analysis]]+winequality_red[[#This Row],[volatile acidity]]+winequality_red[[#This Row],[citric acid]])</f>
        <v>7.6850000000000005</v>
      </c>
      <c r="O347">
        <f t="shared" si="41"/>
        <v>5.6045454545454551E-2</v>
      </c>
      <c r="S347" t="e">
        <f t="shared" si="42"/>
        <v>#N/A</v>
      </c>
      <c r="T347" t="e">
        <f t="shared" si="43"/>
        <v>#N/A</v>
      </c>
      <c r="U347">
        <f t="shared" si="44"/>
        <v>9.9</v>
      </c>
      <c r="V347">
        <f t="shared" si="45"/>
        <v>5</v>
      </c>
      <c r="W347" t="e">
        <f t="shared" si="46"/>
        <v>#N/A</v>
      </c>
      <c r="X347" t="e">
        <f t="shared" si="47"/>
        <v>#N/A</v>
      </c>
    </row>
    <row r="348" spans="1:24" x14ac:dyDescent="0.3">
      <c r="A348">
        <v>6.6</v>
      </c>
      <c r="B348">
        <v>0.81499999999999995</v>
      </c>
      <c r="C348">
        <v>0.02</v>
      </c>
      <c r="D348">
        <v>2.7</v>
      </c>
      <c r="E348">
        <v>7.2000000000000008E-2</v>
      </c>
      <c r="F348">
        <v>17</v>
      </c>
      <c r="G348">
        <v>34</v>
      </c>
      <c r="H348">
        <v>0.99550000000000005</v>
      </c>
      <c r="I348">
        <v>3.58</v>
      </c>
      <c r="J348">
        <v>0.89</v>
      </c>
      <c r="K348">
        <v>12.3</v>
      </c>
      <c r="L348">
        <v>7</v>
      </c>
      <c r="M348" t="str">
        <f t="shared" si="40"/>
        <v>High</v>
      </c>
      <c r="N348">
        <f>(winequality_red[[#This Row],[Updated Quality &amp; Alcohol Analysis]]+winequality_red[[#This Row],[volatile acidity]]+winequality_red[[#This Row],[citric acid]])</f>
        <v>7.4349999999999987</v>
      </c>
      <c r="O348">
        <f t="shared" si="41"/>
        <v>5.8971544715447147E-2</v>
      </c>
      <c r="S348" t="e">
        <f t="shared" si="42"/>
        <v>#N/A</v>
      </c>
      <c r="T348" t="e">
        <f t="shared" si="43"/>
        <v>#N/A</v>
      </c>
      <c r="U348" t="e">
        <f t="shared" si="44"/>
        <v>#N/A</v>
      </c>
      <c r="V348" t="e">
        <f t="shared" si="45"/>
        <v>#N/A</v>
      </c>
      <c r="W348">
        <f t="shared" si="46"/>
        <v>12.3</v>
      </c>
      <c r="X348">
        <f t="shared" si="47"/>
        <v>7</v>
      </c>
    </row>
    <row r="349" spans="1:24" x14ac:dyDescent="0.3">
      <c r="A349">
        <v>13.8</v>
      </c>
      <c r="B349">
        <v>0.49</v>
      </c>
      <c r="C349">
        <v>0.67</v>
      </c>
      <c r="D349">
        <v>3</v>
      </c>
      <c r="E349">
        <v>9.3000000000000013E-2</v>
      </c>
      <c r="F349">
        <v>6</v>
      </c>
      <c r="G349">
        <v>15</v>
      </c>
      <c r="H349">
        <v>0.99860000000000004</v>
      </c>
      <c r="I349">
        <v>3.02</v>
      </c>
      <c r="J349">
        <v>0.93</v>
      </c>
      <c r="K349">
        <v>12</v>
      </c>
      <c r="L349">
        <v>6</v>
      </c>
      <c r="M349" t="str">
        <f t="shared" si="40"/>
        <v>Medium</v>
      </c>
      <c r="N349">
        <f>(winequality_red[[#This Row],[Updated Quality &amp; Alcohol Analysis]]+winequality_red[[#This Row],[volatile acidity]]+winequality_red[[#This Row],[citric acid]])</f>
        <v>14.96</v>
      </c>
      <c r="O349">
        <f t="shared" si="41"/>
        <v>3.7975000000000002E-2</v>
      </c>
      <c r="S349" t="e">
        <f t="shared" si="42"/>
        <v>#N/A</v>
      </c>
      <c r="T349" t="e">
        <f t="shared" si="43"/>
        <v>#N/A</v>
      </c>
      <c r="U349">
        <f t="shared" si="44"/>
        <v>12</v>
      </c>
      <c r="V349">
        <f t="shared" si="45"/>
        <v>6</v>
      </c>
      <c r="W349" t="e">
        <f t="shared" si="46"/>
        <v>#N/A</v>
      </c>
      <c r="X349" t="e">
        <f t="shared" si="47"/>
        <v>#N/A</v>
      </c>
    </row>
    <row r="350" spans="1:24" x14ac:dyDescent="0.3">
      <c r="A350">
        <v>9.6</v>
      </c>
      <c r="B350">
        <v>0.56000000000000005</v>
      </c>
      <c r="C350">
        <v>0.31</v>
      </c>
      <c r="D350">
        <v>2.8</v>
      </c>
      <c r="E350">
        <v>8.900000000000001E-2</v>
      </c>
      <c r="F350">
        <v>15</v>
      </c>
      <c r="G350">
        <v>46</v>
      </c>
      <c r="H350">
        <v>0.99790000000000001</v>
      </c>
      <c r="I350">
        <v>3.11</v>
      </c>
      <c r="J350">
        <v>0.92</v>
      </c>
      <c r="K350">
        <v>10</v>
      </c>
      <c r="L350">
        <v>6</v>
      </c>
      <c r="M350" t="str">
        <f t="shared" si="40"/>
        <v>Medium</v>
      </c>
      <c r="N350">
        <f>(winequality_red[[#This Row],[Updated Quality &amp; Alcohol Analysis]]+winequality_red[[#This Row],[volatile acidity]]+winequality_red[[#This Row],[citric acid]])</f>
        <v>10.47</v>
      </c>
      <c r="O350">
        <f t="shared" si="41"/>
        <v>5.152000000000001E-2</v>
      </c>
      <c r="S350" t="e">
        <f t="shared" si="42"/>
        <v>#N/A</v>
      </c>
      <c r="T350" t="e">
        <f t="shared" si="43"/>
        <v>#N/A</v>
      </c>
      <c r="U350">
        <f t="shared" si="44"/>
        <v>10</v>
      </c>
      <c r="V350">
        <f t="shared" si="45"/>
        <v>6</v>
      </c>
      <c r="W350" t="e">
        <f t="shared" si="46"/>
        <v>#N/A</v>
      </c>
      <c r="X350" t="e">
        <f t="shared" si="47"/>
        <v>#N/A</v>
      </c>
    </row>
    <row r="351" spans="1:24" x14ac:dyDescent="0.3">
      <c r="A351">
        <v>9.1</v>
      </c>
      <c r="B351">
        <v>0.78500000000000003</v>
      </c>
      <c r="C351">
        <v>0</v>
      </c>
      <c r="D351">
        <v>2.6</v>
      </c>
      <c r="E351">
        <v>9.3000000000000013E-2</v>
      </c>
      <c r="F351">
        <v>11</v>
      </c>
      <c r="G351">
        <v>28</v>
      </c>
      <c r="H351">
        <v>0.99939999999999996</v>
      </c>
      <c r="I351">
        <v>3.36</v>
      </c>
      <c r="J351">
        <v>0.86</v>
      </c>
      <c r="K351">
        <v>9.4</v>
      </c>
      <c r="L351">
        <v>6</v>
      </c>
      <c r="M351" t="str">
        <f t="shared" si="40"/>
        <v>Medium</v>
      </c>
      <c r="N351">
        <f>(winequality_red[[#This Row],[Updated Quality &amp; Alcohol Analysis]]+winequality_red[[#This Row],[volatile acidity]]+winequality_red[[#This Row],[citric acid]])</f>
        <v>9.8849999999999998</v>
      </c>
      <c r="O351">
        <f t="shared" si="41"/>
        <v>7.181914893617021E-2</v>
      </c>
      <c r="S351" t="e">
        <f t="shared" si="42"/>
        <v>#N/A</v>
      </c>
      <c r="T351" t="e">
        <f t="shared" si="43"/>
        <v>#N/A</v>
      </c>
      <c r="U351">
        <f t="shared" si="44"/>
        <v>9.4</v>
      </c>
      <c r="V351">
        <f t="shared" si="45"/>
        <v>6</v>
      </c>
      <c r="W351" t="e">
        <f t="shared" si="46"/>
        <v>#N/A</v>
      </c>
      <c r="X351" t="e">
        <f t="shared" si="47"/>
        <v>#N/A</v>
      </c>
    </row>
    <row r="352" spans="1:24" x14ac:dyDescent="0.3">
      <c r="A352">
        <v>10.7</v>
      </c>
      <c r="B352">
        <v>0.67</v>
      </c>
      <c r="C352">
        <v>0.22</v>
      </c>
      <c r="D352">
        <v>2.7</v>
      </c>
      <c r="E352">
        <v>0.107</v>
      </c>
      <c r="F352">
        <v>17</v>
      </c>
      <c r="G352">
        <v>34</v>
      </c>
      <c r="H352">
        <v>1.0004</v>
      </c>
      <c r="I352">
        <v>3.28</v>
      </c>
      <c r="J352">
        <v>0.98</v>
      </c>
      <c r="K352">
        <v>9.9</v>
      </c>
      <c r="L352">
        <v>6</v>
      </c>
      <c r="M352" t="str">
        <f t="shared" si="40"/>
        <v>Medium</v>
      </c>
      <c r="N352">
        <f>(winequality_red[[#This Row],[Updated Quality &amp; Alcohol Analysis]]+winequality_red[[#This Row],[volatile acidity]]+winequality_red[[#This Row],[citric acid]])</f>
        <v>11.59</v>
      </c>
      <c r="O352">
        <f t="shared" si="41"/>
        <v>6.6323232323232326E-2</v>
      </c>
      <c r="S352" t="e">
        <f t="shared" si="42"/>
        <v>#N/A</v>
      </c>
      <c r="T352" t="e">
        <f t="shared" si="43"/>
        <v>#N/A</v>
      </c>
      <c r="U352">
        <f t="shared" si="44"/>
        <v>9.9</v>
      </c>
      <c r="V352">
        <f t="shared" si="45"/>
        <v>6</v>
      </c>
      <c r="W352" t="e">
        <f t="shared" si="46"/>
        <v>#N/A</v>
      </c>
      <c r="X352" t="e">
        <f t="shared" si="47"/>
        <v>#N/A</v>
      </c>
    </row>
    <row r="353" spans="1:24" x14ac:dyDescent="0.3">
      <c r="A353">
        <v>9.1</v>
      </c>
      <c r="B353">
        <v>0.79500000000000004</v>
      </c>
      <c r="C353">
        <v>0</v>
      </c>
      <c r="D353">
        <v>2.6</v>
      </c>
      <c r="E353">
        <v>9.6000000000000002E-2</v>
      </c>
      <c r="F353">
        <v>11</v>
      </c>
      <c r="G353">
        <v>26</v>
      </c>
      <c r="H353">
        <v>0.99939999999999996</v>
      </c>
      <c r="I353">
        <v>3.35</v>
      </c>
      <c r="J353">
        <v>0.83</v>
      </c>
      <c r="K353">
        <v>9.4</v>
      </c>
      <c r="L353">
        <v>6</v>
      </c>
      <c r="M353" t="str">
        <f t="shared" si="40"/>
        <v>Medium</v>
      </c>
      <c r="N353">
        <f>(winequality_red[[#This Row],[Updated Quality &amp; Alcohol Analysis]]+winequality_red[[#This Row],[volatile acidity]]+winequality_red[[#This Row],[citric acid]])</f>
        <v>9.8949999999999996</v>
      </c>
      <c r="O353">
        <f t="shared" si="41"/>
        <v>7.0196808510638295E-2</v>
      </c>
      <c r="S353" t="e">
        <f t="shared" si="42"/>
        <v>#N/A</v>
      </c>
      <c r="T353" t="e">
        <f t="shared" si="43"/>
        <v>#N/A</v>
      </c>
      <c r="U353">
        <f t="shared" si="44"/>
        <v>9.4</v>
      </c>
      <c r="V353">
        <f t="shared" si="45"/>
        <v>6</v>
      </c>
      <c r="W353" t="e">
        <f t="shared" si="46"/>
        <v>#N/A</v>
      </c>
      <c r="X353" t="e">
        <f t="shared" si="47"/>
        <v>#N/A</v>
      </c>
    </row>
    <row r="354" spans="1:24" x14ac:dyDescent="0.3">
      <c r="A354">
        <v>7.7</v>
      </c>
      <c r="B354">
        <v>0.66500000000000004</v>
      </c>
      <c r="C354">
        <v>0</v>
      </c>
      <c r="D354">
        <v>2.4</v>
      </c>
      <c r="E354">
        <v>0.09</v>
      </c>
      <c r="F354">
        <v>8</v>
      </c>
      <c r="G354">
        <v>19</v>
      </c>
      <c r="H354">
        <v>0.99739999999999995</v>
      </c>
      <c r="I354">
        <v>3.27</v>
      </c>
      <c r="J354">
        <v>0.73</v>
      </c>
      <c r="K354">
        <v>9.3000000000000007</v>
      </c>
      <c r="L354">
        <v>5</v>
      </c>
      <c r="M354" t="str">
        <f t="shared" si="40"/>
        <v>Medium</v>
      </c>
      <c r="N354">
        <f>(winequality_red[[#This Row],[Updated Quality &amp; Alcohol Analysis]]+winequality_red[[#This Row],[volatile acidity]]+winequality_red[[#This Row],[citric acid]])</f>
        <v>8.3650000000000002</v>
      </c>
      <c r="O354">
        <f t="shared" si="41"/>
        <v>5.2198924731182789E-2</v>
      </c>
      <c r="S354" t="e">
        <f t="shared" si="42"/>
        <v>#N/A</v>
      </c>
      <c r="T354" t="e">
        <f t="shared" si="43"/>
        <v>#N/A</v>
      </c>
      <c r="U354">
        <f t="shared" si="44"/>
        <v>9.3000000000000007</v>
      </c>
      <c r="V354">
        <f t="shared" si="45"/>
        <v>5</v>
      </c>
      <c r="W354" t="e">
        <f t="shared" si="46"/>
        <v>#N/A</v>
      </c>
      <c r="X354" t="e">
        <f t="shared" si="47"/>
        <v>#N/A</v>
      </c>
    </row>
    <row r="355" spans="1:24" x14ac:dyDescent="0.3">
      <c r="A355">
        <v>13.5</v>
      </c>
      <c r="B355">
        <v>0.53</v>
      </c>
      <c r="C355">
        <v>0.79</v>
      </c>
      <c r="D355">
        <v>4.8</v>
      </c>
      <c r="E355">
        <v>0.12</v>
      </c>
      <c r="F355">
        <v>23</v>
      </c>
      <c r="G355">
        <v>77</v>
      </c>
      <c r="H355">
        <v>1.0018</v>
      </c>
      <c r="I355">
        <v>3.18</v>
      </c>
      <c r="J355">
        <v>0.77</v>
      </c>
      <c r="K355">
        <v>13</v>
      </c>
      <c r="L355">
        <v>5</v>
      </c>
      <c r="M355" t="str">
        <f t="shared" si="40"/>
        <v>Medium</v>
      </c>
      <c r="N355">
        <f>(winequality_red[[#This Row],[Updated Quality &amp; Alcohol Analysis]]+winequality_red[[#This Row],[volatile acidity]]+winequality_red[[#This Row],[citric acid]])</f>
        <v>14.82</v>
      </c>
      <c r="O355">
        <f t="shared" si="41"/>
        <v>3.1392307692307692E-2</v>
      </c>
      <c r="S355" t="e">
        <f t="shared" si="42"/>
        <v>#N/A</v>
      </c>
      <c r="T355" t="e">
        <f t="shared" si="43"/>
        <v>#N/A</v>
      </c>
      <c r="U355">
        <f t="shared" si="44"/>
        <v>13</v>
      </c>
      <c r="V355">
        <f t="shared" si="45"/>
        <v>5</v>
      </c>
      <c r="W355" t="e">
        <f t="shared" si="46"/>
        <v>#N/A</v>
      </c>
      <c r="X355" t="e">
        <f t="shared" si="47"/>
        <v>#N/A</v>
      </c>
    </row>
    <row r="356" spans="1:24" x14ac:dyDescent="0.3">
      <c r="A356">
        <v>6.1</v>
      </c>
      <c r="B356">
        <v>0.21</v>
      </c>
      <c r="C356">
        <v>0.4</v>
      </c>
      <c r="D356">
        <v>1.4</v>
      </c>
      <c r="E356">
        <v>6.6000000000000003E-2</v>
      </c>
      <c r="F356">
        <v>40</v>
      </c>
      <c r="G356">
        <v>165</v>
      </c>
      <c r="H356">
        <v>0.99119999999999997</v>
      </c>
      <c r="I356">
        <v>3.25</v>
      </c>
      <c r="J356">
        <v>0.59</v>
      </c>
      <c r="K356">
        <v>11.9</v>
      </c>
      <c r="L356">
        <v>6</v>
      </c>
      <c r="M356" t="str">
        <f t="shared" si="40"/>
        <v>Medium</v>
      </c>
      <c r="N356">
        <f>(winequality_red[[#This Row],[Updated Quality &amp; Alcohol Analysis]]+winequality_red[[#This Row],[volatile acidity]]+winequality_red[[#This Row],[citric acid]])</f>
        <v>6.71</v>
      </c>
      <c r="O356">
        <f t="shared" si="41"/>
        <v>1.0411764705882351E-2</v>
      </c>
      <c r="S356" t="e">
        <f t="shared" si="42"/>
        <v>#N/A</v>
      </c>
      <c r="T356" t="e">
        <f t="shared" si="43"/>
        <v>#N/A</v>
      </c>
      <c r="U356">
        <f t="shared" si="44"/>
        <v>11.9</v>
      </c>
      <c r="V356">
        <f t="shared" si="45"/>
        <v>6</v>
      </c>
      <c r="W356" t="e">
        <f t="shared" si="46"/>
        <v>#N/A</v>
      </c>
      <c r="X356" t="e">
        <f t="shared" si="47"/>
        <v>#N/A</v>
      </c>
    </row>
    <row r="357" spans="1:24" x14ac:dyDescent="0.3">
      <c r="A357">
        <v>6.7</v>
      </c>
      <c r="B357">
        <v>0.75</v>
      </c>
      <c r="C357">
        <v>0.01</v>
      </c>
      <c r="D357">
        <v>2.4</v>
      </c>
      <c r="E357">
        <v>7.8E-2</v>
      </c>
      <c r="F357">
        <v>17</v>
      </c>
      <c r="G357">
        <v>32</v>
      </c>
      <c r="H357">
        <v>0.99550000000000005</v>
      </c>
      <c r="I357">
        <v>3.55</v>
      </c>
      <c r="J357">
        <v>0.61</v>
      </c>
      <c r="K357">
        <v>12.8</v>
      </c>
      <c r="L357">
        <v>6</v>
      </c>
      <c r="M357" t="str">
        <f t="shared" si="40"/>
        <v>Medium</v>
      </c>
      <c r="N357">
        <f>(winequality_red[[#This Row],[Updated Quality &amp; Alcohol Analysis]]+winequality_red[[#This Row],[volatile acidity]]+winequality_red[[#This Row],[citric acid]])</f>
        <v>7.46</v>
      </c>
      <c r="O357">
        <f t="shared" si="41"/>
        <v>3.5742187500000001E-2</v>
      </c>
      <c r="S357" t="e">
        <f t="shared" si="42"/>
        <v>#N/A</v>
      </c>
      <c r="T357" t="e">
        <f t="shared" si="43"/>
        <v>#N/A</v>
      </c>
      <c r="U357">
        <f t="shared" si="44"/>
        <v>12.8</v>
      </c>
      <c r="V357">
        <f t="shared" si="45"/>
        <v>6</v>
      </c>
      <c r="W357" t="e">
        <f t="shared" si="46"/>
        <v>#N/A</v>
      </c>
      <c r="X357" t="e">
        <f t="shared" si="47"/>
        <v>#N/A</v>
      </c>
    </row>
    <row r="358" spans="1:24" x14ac:dyDescent="0.3">
      <c r="A358">
        <v>11.5</v>
      </c>
      <c r="B358">
        <v>0.41</v>
      </c>
      <c r="C358">
        <v>0.52</v>
      </c>
      <c r="D358">
        <v>3</v>
      </c>
      <c r="E358">
        <v>0.08</v>
      </c>
      <c r="F358">
        <v>29</v>
      </c>
      <c r="G358">
        <v>55</v>
      </c>
      <c r="H358">
        <v>1.0001</v>
      </c>
      <c r="I358">
        <v>3.26</v>
      </c>
      <c r="J358">
        <v>0.88</v>
      </c>
      <c r="K358">
        <v>11</v>
      </c>
      <c r="L358">
        <v>5</v>
      </c>
      <c r="M358" t="str">
        <f t="shared" si="40"/>
        <v>Medium</v>
      </c>
      <c r="N358">
        <f>(winequality_red[[#This Row],[Updated Quality &amp; Alcohol Analysis]]+winequality_red[[#This Row],[volatile acidity]]+winequality_red[[#This Row],[citric acid]])</f>
        <v>12.43</v>
      </c>
      <c r="O358">
        <f t="shared" si="41"/>
        <v>3.2799999999999996E-2</v>
      </c>
      <c r="S358" t="e">
        <f t="shared" si="42"/>
        <v>#N/A</v>
      </c>
      <c r="T358" t="e">
        <f t="shared" si="43"/>
        <v>#N/A</v>
      </c>
      <c r="U358">
        <f t="shared" si="44"/>
        <v>11</v>
      </c>
      <c r="V358">
        <f t="shared" si="45"/>
        <v>5</v>
      </c>
      <c r="W358" t="e">
        <f t="shared" si="46"/>
        <v>#N/A</v>
      </c>
      <c r="X358" t="e">
        <f t="shared" si="47"/>
        <v>#N/A</v>
      </c>
    </row>
    <row r="359" spans="1:24" x14ac:dyDescent="0.3">
      <c r="A359">
        <v>10.5</v>
      </c>
      <c r="B359">
        <v>0.42</v>
      </c>
      <c r="C359">
        <v>0.66</v>
      </c>
      <c r="D359">
        <v>2.95</v>
      </c>
      <c r="E359">
        <v>0.11599999999999999</v>
      </c>
      <c r="F359">
        <v>12</v>
      </c>
      <c r="G359">
        <v>29</v>
      </c>
      <c r="H359">
        <v>0.997</v>
      </c>
      <c r="I359">
        <v>3.24</v>
      </c>
      <c r="J359">
        <v>0.75</v>
      </c>
      <c r="K359">
        <v>11.7</v>
      </c>
      <c r="L359">
        <v>7</v>
      </c>
      <c r="M359" t="str">
        <f t="shared" si="40"/>
        <v>High</v>
      </c>
      <c r="N359">
        <f>(winequality_red[[#This Row],[Updated Quality &amp; Alcohol Analysis]]+winequality_red[[#This Row],[volatile acidity]]+winequality_red[[#This Row],[citric acid]])</f>
        <v>11.58</v>
      </c>
      <c r="O359">
        <f t="shared" si="41"/>
        <v>2.6923076923076925E-2</v>
      </c>
      <c r="S359" t="e">
        <f t="shared" si="42"/>
        <v>#N/A</v>
      </c>
      <c r="T359" t="e">
        <f t="shared" si="43"/>
        <v>#N/A</v>
      </c>
      <c r="U359" t="e">
        <f t="shared" si="44"/>
        <v>#N/A</v>
      </c>
      <c r="V359" t="e">
        <f t="shared" si="45"/>
        <v>#N/A</v>
      </c>
      <c r="W359">
        <f t="shared" si="46"/>
        <v>11.7</v>
      </c>
      <c r="X359">
        <f t="shared" si="47"/>
        <v>7</v>
      </c>
    </row>
    <row r="360" spans="1:24" x14ac:dyDescent="0.3">
      <c r="A360">
        <v>11.9</v>
      </c>
      <c r="B360">
        <v>0.43</v>
      </c>
      <c r="C360">
        <v>0.66</v>
      </c>
      <c r="D360">
        <v>3.1</v>
      </c>
      <c r="E360">
        <v>0.109</v>
      </c>
      <c r="F360">
        <v>10</v>
      </c>
      <c r="G360">
        <v>23</v>
      </c>
      <c r="H360">
        <v>1</v>
      </c>
      <c r="I360">
        <v>3.15</v>
      </c>
      <c r="J360">
        <v>0.85</v>
      </c>
      <c r="K360">
        <v>10.4</v>
      </c>
      <c r="L360">
        <v>7</v>
      </c>
      <c r="M360" t="str">
        <f t="shared" si="40"/>
        <v>High</v>
      </c>
      <c r="N360">
        <f>(winequality_red[[#This Row],[Updated Quality &amp; Alcohol Analysis]]+winequality_red[[#This Row],[volatile acidity]]+winequality_red[[#This Row],[citric acid]])</f>
        <v>12.99</v>
      </c>
      <c r="O360">
        <f t="shared" si="41"/>
        <v>3.5144230769230768E-2</v>
      </c>
      <c r="S360" t="e">
        <f t="shared" si="42"/>
        <v>#N/A</v>
      </c>
      <c r="T360" t="e">
        <f t="shared" si="43"/>
        <v>#N/A</v>
      </c>
      <c r="U360" t="e">
        <f t="shared" si="44"/>
        <v>#N/A</v>
      </c>
      <c r="V360" t="e">
        <f t="shared" si="45"/>
        <v>#N/A</v>
      </c>
      <c r="W360">
        <f t="shared" si="46"/>
        <v>10.4</v>
      </c>
      <c r="X360">
        <f t="shared" si="47"/>
        <v>7</v>
      </c>
    </row>
    <row r="361" spans="1:24" x14ac:dyDescent="0.3">
      <c r="A361">
        <v>12.6</v>
      </c>
      <c r="B361">
        <v>0.38</v>
      </c>
      <c r="C361">
        <v>0.66</v>
      </c>
      <c r="D361">
        <v>2.6</v>
      </c>
      <c r="E361">
        <v>8.8000000000000009E-2</v>
      </c>
      <c r="F361">
        <v>10</v>
      </c>
      <c r="G361">
        <v>41</v>
      </c>
      <c r="H361">
        <v>1.0009999999999999</v>
      </c>
      <c r="I361">
        <v>3.17</v>
      </c>
      <c r="J361">
        <v>0.68</v>
      </c>
      <c r="K361">
        <v>9.8000000000000007</v>
      </c>
      <c r="L361">
        <v>6</v>
      </c>
      <c r="M361" t="str">
        <f t="shared" si="40"/>
        <v>Medium</v>
      </c>
      <c r="N361">
        <f>(winequality_red[[#This Row],[Updated Quality &amp; Alcohol Analysis]]+winequality_red[[#This Row],[volatile acidity]]+winequality_red[[#This Row],[citric acid]])</f>
        <v>13.64</v>
      </c>
      <c r="O361">
        <f t="shared" si="41"/>
        <v>2.6367346938775509E-2</v>
      </c>
      <c r="S361" t="e">
        <f t="shared" si="42"/>
        <v>#N/A</v>
      </c>
      <c r="T361" t="e">
        <f t="shared" si="43"/>
        <v>#N/A</v>
      </c>
      <c r="U361">
        <f t="shared" si="44"/>
        <v>9.8000000000000007</v>
      </c>
      <c r="V361">
        <f t="shared" si="45"/>
        <v>6</v>
      </c>
      <c r="W361" t="e">
        <f t="shared" si="46"/>
        <v>#N/A</v>
      </c>
      <c r="X361" t="e">
        <f t="shared" si="47"/>
        <v>#N/A</v>
      </c>
    </row>
    <row r="362" spans="1:24" x14ac:dyDescent="0.3">
      <c r="A362">
        <v>8.1999999999999993</v>
      </c>
      <c r="B362">
        <v>0.7</v>
      </c>
      <c r="C362">
        <v>0.23</v>
      </c>
      <c r="D362">
        <v>2</v>
      </c>
      <c r="E362">
        <v>9.9000000000000005E-2</v>
      </c>
      <c r="F362">
        <v>14</v>
      </c>
      <c r="G362">
        <v>81</v>
      </c>
      <c r="H362">
        <v>0.99729999999999996</v>
      </c>
      <c r="I362">
        <v>3.19</v>
      </c>
      <c r="J362">
        <v>0.7</v>
      </c>
      <c r="K362">
        <v>9.4</v>
      </c>
      <c r="L362">
        <v>5</v>
      </c>
      <c r="M362" t="str">
        <f t="shared" si="40"/>
        <v>Medium</v>
      </c>
      <c r="N362">
        <f>(winequality_red[[#This Row],[Updated Quality &amp; Alcohol Analysis]]+winequality_red[[#This Row],[volatile acidity]]+winequality_red[[#This Row],[citric acid]])</f>
        <v>9.129999999999999</v>
      </c>
      <c r="O362">
        <f t="shared" si="41"/>
        <v>5.2127659574468077E-2</v>
      </c>
      <c r="S362" t="e">
        <f t="shared" si="42"/>
        <v>#N/A</v>
      </c>
      <c r="T362" t="e">
        <f t="shared" si="43"/>
        <v>#N/A</v>
      </c>
      <c r="U362">
        <f t="shared" si="44"/>
        <v>9.4</v>
      </c>
      <c r="V362">
        <f t="shared" si="45"/>
        <v>5</v>
      </c>
      <c r="W362" t="e">
        <f t="shared" si="46"/>
        <v>#N/A</v>
      </c>
      <c r="X362" t="e">
        <f t="shared" si="47"/>
        <v>#N/A</v>
      </c>
    </row>
    <row r="363" spans="1:24" x14ac:dyDescent="0.3">
      <c r="A363">
        <v>8.6</v>
      </c>
      <c r="B363">
        <v>0.45</v>
      </c>
      <c r="C363">
        <v>0.31</v>
      </c>
      <c r="D363">
        <v>2.6</v>
      </c>
      <c r="E363">
        <v>8.5999999999999993E-2</v>
      </c>
      <c r="F363">
        <v>21</v>
      </c>
      <c r="G363">
        <v>50</v>
      </c>
      <c r="H363">
        <v>0.99819999999999998</v>
      </c>
      <c r="I363">
        <v>3.37</v>
      </c>
      <c r="J363">
        <v>0.91</v>
      </c>
      <c r="K363">
        <v>9.9</v>
      </c>
      <c r="L363">
        <v>6</v>
      </c>
      <c r="M363" t="str">
        <f t="shared" si="40"/>
        <v>Medium</v>
      </c>
      <c r="N363">
        <f>(winequality_red[[#This Row],[Updated Quality &amp; Alcohol Analysis]]+winequality_red[[#This Row],[volatile acidity]]+winequality_red[[#This Row],[citric acid]])</f>
        <v>9.36</v>
      </c>
      <c r="O363">
        <f t="shared" si="41"/>
        <v>4.1363636363636366E-2</v>
      </c>
      <c r="S363" t="e">
        <f t="shared" si="42"/>
        <v>#N/A</v>
      </c>
      <c r="T363" t="e">
        <f t="shared" si="43"/>
        <v>#N/A</v>
      </c>
      <c r="U363">
        <f t="shared" si="44"/>
        <v>9.9</v>
      </c>
      <c r="V363">
        <f t="shared" si="45"/>
        <v>6</v>
      </c>
      <c r="W363" t="e">
        <f t="shared" si="46"/>
        <v>#N/A</v>
      </c>
      <c r="X363" t="e">
        <f t="shared" si="47"/>
        <v>#N/A</v>
      </c>
    </row>
    <row r="364" spans="1:24" x14ac:dyDescent="0.3">
      <c r="A364">
        <v>11.9</v>
      </c>
      <c r="B364">
        <v>0.57999999999999996</v>
      </c>
      <c r="C364">
        <v>0.66</v>
      </c>
      <c r="D364">
        <v>2.5</v>
      </c>
      <c r="E364">
        <v>7.2000000000000008E-2</v>
      </c>
      <c r="F364">
        <v>6</v>
      </c>
      <c r="G364">
        <v>37</v>
      </c>
      <c r="H364">
        <v>0.99919999999999998</v>
      </c>
      <c r="I364">
        <v>3.05</v>
      </c>
      <c r="J364">
        <v>0.56000000000000005</v>
      </c>
      <c r="K364">
        <v>10</v>
      </c>
      <c r="L364">
        <v>5</v>
      </c>
      <c r="M364" t="str">
        <f t="shared" si="40"/>
        <v>Medium</v>
      </c>
      <c r="N364">
        <f>(winequality_red[[#This Row],[Updated Quality &amp; Alcohol Analysis]]+winequality_red[[#This Row],[volatile acidity]]+winequality_red[[#This Row],[citric acid]])</f>
        <v>13.14</v>
      </c>
      <c r="O364">
        <f t="shared" si="41"/>
        <v>3.2480000000000002E-2</v>
      </c>
      <c r="S364" t="e">
        <f t="shared" si="42"/>
        <v>#N/A</v>
      </c>
      <c r="T364" t="e">
        <f t="shared" si="43"/>
        <v>#N/A</v>
      </c>
      <c r="U364">
        <f t="shared" si="44"/>
        <v>10</v>
      </c>
      <c r="V364">
        <f t="shared" si="45"/>
        <v>5</v>
      </c>
      <c r="W364" t="e">
        <f t="shared" si="46"/>
        <v>#N/A</v>
      </c>
      <c r="X364" t="e">
        <f t="shared" si="47"/>
        <v>#N/A</v>
      </c>
    </row>
    <row r="365" spans="1:24" x14ac:dyDescent="0.3">
      <c r="A365">
        <v>12.5</v>
      </c>
      <c r="B365">
        <v>0.46</v>
      </c>
      <c r="C365">
        <v>0.63</v>
      </c>
      <c r="D365">
        <v>2</v>
      </c>
      <c r="E365">
        <v>7.0999999999999994E-2</v>
      </c>
      <c r="F365">
        <v>6</v>
      </c>
      <c r="G365">
        <v>15</v>
      </c>
      <c r="H365">
        <v>0.99880000000000002</v>
      </c>
      <c r="I365">
        <v>2.99</v>
      </c>
      <c r="J365">
        <v>0.87</v>
      </c>
      <c r="K365">
        <v>10.199999999999999</v>
      </c>
      <c r="L365">
        <v>5</v>
      </c>
      <c r="M365" t="str">
        <f t="shared" si="40"/>
        <v>Medium</v>
      </c>
      <c r="N365">
        <f>(winequality_red[[#This Row],[Updated Quality &amp; Alcohol Analysis]]+winequality_red[[#This Row],[volatile acidity]]+winequality_red[[#This Row],[citric acid]])</f>
        <v>13.590000000000002</v>
      </c>
      <c r="O365">
        <f t="shared" si="41"/>
        <v>3.9235294117647063E-2</v>
      </c>
      <c r="S365" t="e">
        <f t="shared" si="42"/>
        <v>#N/A</v>
      </c>
      <c r="T365" t="e">
        <f t="shared" si="43"/>
        <v>#N/A</v>
      </c>
      <c r="U365">
        <f t="shared" si="44"/>
        <v>10.199999999999999</v>
      </c>
      <c r="V365">
        <f t="shared" si="45"/>
        <v>5</v>
      </c>
      <c r="W365" t="e">
        <f t="shared" si="46"/>
        <v>#N/A</v>
      </c>
      <c r="X365" t="e">
        <f t="shared" si="47"/>
        <v>#N/A</v>
      </c>
    </row>
    <row r="366" spans="1:24" x14ac:dyDescent="0.3">
      <c r="A366">
        <v>12.8</v>
      </c>
      <c r="B366">
        <v>0.61499999999999999</v>
      </c>
      <c r="C366">
        <v>0.66</v>
      </c>
      <c r="D366">
        <v>5.8</v>
      </c>
      <c r="E366">
        <v>8.3000000000000004E-2</v>
      </c>
      <c r="F366">
        <v>7</v>
      </c>
      <c r="G366">
        <v>42</v>
      </c>
      <c r="H366">
        <v>1.0022</v>
      </c>
      <c r="I366">
        <v>3.07</v>
      </c>
      <c r="J366">
        <v>0.73</v>
      </c>
      <c r="K366">
        <v>10</v>
      </c>
      <c r="L366">
        <v>7</v>
      </c>
      <c r="M366" t="str">
        <f t="shared" si="40"/>
        <v>High</v>
      </c>
      <c r="N366">
        <f>(winequality_red[[#This Row],[Updated Quality &amp; Alcohol Analysis]]+winequality_red[[#This Row],[volatile acidity]]+winequality_red[[#This Row],[citric acid]])</f>
        <v>14.075000000000001</v>
      </c>
      <c r="O366">
        <f t="shared" si="41"/>
        <v>4.4894999999999997E-2</v>
      </c>
      <c r="S366" t="e">
        <f t="shared" si="42"/>
        <v>#N/A</v>
      </c>
      <c r="T366" t="e">
        <f t="shared" si="43"/>
        <v>#N/A</v>
      </c>
      <c r="U366" t="e">
        <f t="shared" si="44"/>
        <v>#N/A</v>
      </c>
      <c r="V366" t="e">
        <f t="shared" si="45"/>
        <v>#N/A</v>
      </c>
      <c r="W366">
        <f t="shared" si="46"/>
        <v>10</v>
      </c>
      <c r="X366">
        <f t="shared" si="47"/>
        <v>7</v>
      </c>
    </row>
    <row r="367" spans="1:24" x14ac:dyDescent="0.3">
      <c r="A367">
        <v>10</v>
      </c>
      <c r="B367">
        <v>0.42</v>
      </c>
      <c r="C367">
        <v>0.5</v>
      </c>
      <c r="D367">
        <v>3.4</v>
      </c>
      <c r="E367">
        <v>0.107</v>
      </c>
      <c r="F367">
        <v>7</v>
      </c>
      <c r="G367">
        <v>21</v>
      </c>
      <c r="H367">
        <v>0.99790000000000001</v>
      </c>
      <c r="I367">
        <v>3.26</v>
      </c>
      <c r="J367">
        <v>0.93</v>
      </c>
      <c r="K367">
        <v>11.8</v>
      </c>
      <c r="L367">
        <v>6</v>
      </c>
      <c r="M367" t="str">
        <f t="shared" si="40"/>
        <v>Medium</v>
      </c>
      <c r="N367">
        <f>(winequality_red[[#This Row],[Updated Quality &amp; Alcohol Analysis]]+winequality_red[[#This Row],[volatile acidity]]+winequality_red[[#This Row],[citric acid]])</f>
        <v>10.92</v>
      </c>
      <c r="O367">
        <f t="shared" si="41"/>
        <v>3.3101694915254234E-2</v>
      </c>
      <c r="S367" t="e">
        <f t="shared" si="42"/>
        <v>#N/A</v>
      </c>
      <c r="T367" t="e">
        <f t="shared" si="43"/>
        <v>#N/A</v>
      </c>
      <c r="U367">
        <f t="shared" si="44"/>
        <v>11.8</v>
      </c>
      <c r="V367">
        <f t="shared" si="45"/>
        <v>6</v>
      </c>
      <c r="W367" t="e">
        <f t="shared" si="46"/>
        <v>#N/A</v>
      </c>
      <c r="X367" t="e">
        <f t="shared" si="47"/>
        <v>#N/A</v>
      </c>
    </row>
    <row r="368" spans="1:24" x14ac:dyDescent="0.3">
      <c r="A368">
        <v>12.8</v>
      </c>
      <c r="B368">
        <v>0.61499999999999999</v>
      </c>
      <c r="C368">
        <v>0.66</v>
      </c>
      <c r="D368">
        <v>5.8</v>
      </c>
      <c r="E368">
        <v>8.3000000000000004E-2</v>
      </c>
      <c r="F368">
        <v>7</v>
      </c>
      <c r="G368">
        <v>42</v>
      </c>
      <c r="H368">
        <v>1.0022</v>
      </c>
      <c r="I368">
        <v>3.07</v>
      </c>
      <c r="J368">
        <v>0.73</v>
      </c>
      <c r="K368">
        <v>10</v>
      </c>
      <c r="L368">
        <v>7</v>
      </c>
      <c r="M368" t="str">
        <f t="shared" si="40"/>
        <v>High</v>
      </c>
      <c r="N368">
        <f>(winequality_red[[#This Row],[Updated Quality &amp; Alcohol Analysis]]+winequality_red[[#This Row],[volatile acidity]]+winequality_red[[#This Row],[citric acid]])</f>
        <v>14.075000000000001</v>
      </c>
      <c r="O368">
        <f t="shared" si="41"/>
        <v>4.4894999999999997E-2</v>
      </c>
      <c r="S368" t="e">
        <f t="shared" si="42"/>
        <v>#N/A</v>
      </c>
      <c r="T368" t="e">
        <f t="shared" si="43"/>
        <v>#N/A</v>
      </c>
      <c r="U368" t="e">
        <f t="shared" si="44"/>
        <v>#N/A</v>
      </c>
      <c r="V368" t="e">
        <f t="shared" si="45"/>
        <v>#N/A</v>
      </c>
      <c r="W368">
        <f t="shared" si="46"/>
        <v>10</v>
      </c>
      <c r="X368">
        <f t="shared" si="47"/>
        <v>7</v>
      </c>
    </row>
    <row r="369" spans="1:24" x14ac:dyDescent="0.3">
      <c r="A369">
        <v>10.4</v>
      </c>
      <c r="B369">
        <v>0.57499999999999996</v>
      </c>
      <c r="C369">
        <v>0.61</v>
      </c>
      <c r="D369">
        <v>2.6</v>
      </c>
      <c r="E369">
        <v>7.5999999999999998E-2</v>
      </c>
      <c r="F369">
        <v>11</v>
      </c>
      <c r="G369">
        <v>24</v>
      </c>
      <c r="H369">
        <v>1</v>
      </c>
      <c r="I369">
        <v>3.16</v>
      </c>
      <c r="J369">
        <v>0.69</v>
      </c>
      <c r="K369">
        <v>9</v>
      </c>
      <c r="L369">
        <v>5</v>
      </c>
      <c r="M369" t="str">
        <f t="shared" si="40"/>
        <v>Medium</v>
      </c>
      <c r="N369">
        <f>(winequality_red[[#This Row],[Updated Quality &amp; Alcohol Analysis]]+winequality_red[[#This Row],[volatile acidity]]+winequality_red[[#This Row],[citric acid]])</f>
        <v>11.584999999999999</v>
      </c>
      <c r="O369">
        <f t="shared" si="41"/>
        <v>4.4083333333333329E-2</v>
      </c>
      <c r="S369" t="e">
        <f t="shared" si="42"/>
        <v>#N/A</v>
      </c>
      <c r="T369" t="e">
        <f t="shared" si="43"/>
        <v>#N/A</v>
      </c>
      <c r="U369">
        <f t="shared" si="44"/>
        <v>9</v>
      </c>
      <c r="V369">
        <f t="shared" si="45"/>
        <v>5</v>
      </c>
      <c r="W369" t="e">
        <f t="shared" si="46"/>
        <v>#N/A</v>
      </c>
      <c r="X369" t="e">
        <f t="shared" si="47"/>
        <v>#N/A</v>
      </c>
    </row>
    <row r="370" spans="1:24" x14ac:dyDescent="0.3">
      <c r="A370">
        <v>10.3</v>
      </c>
      <c r="B370">
        <v>0.34</v>
      </c>
      <c r="C370">
        <v>0.52</v>
      </c>
      <c r="D370">
        <v>2.8</v>
      </c>
      <c r="E370">
        <v>0.159</v>
      </c>
      <c r="F370">
        <v>15</v>
      </c>
      <c r="G370">
        <v>75</v>
      </c>
      <c r="H370">
        <v>0.99980000000000002</v>
      </c>
      <c r="I370">
        <v>3.18</v>
      </c>
      <c r="J370">
        <v>0.64</v>
      </c>
      <c r="K370">
        <v>9.4</v>
      </c>
      <c r="L370">
        <v>5</v>
      </c>
      <c r="M370" t="str">
        <f t="shared" si="40"/>
        <v>Medium</v>
      </c>
      <c r="N370">
        <f>(winequality_red[[#This Row],[Updated Quality &amp; Alcohol Analysis]]+winequality_red[[#This Row],[volatile acidity]]+winequality_red[[#This Row],[citric acid]])</f>
        <v>11.16</v>
      </c>
      <c r="O370">
        <f t="shared" si="41"/>
        <v>2.3148936170212766E-2</v>
      </c>
      <c r="S370" t="e">
        <f t="shared" si="42"/>
        <v>#N/A</v>
      </c>
      <c r="T370" t="e">
        <f t="shared" si="43"/>
        <v>#N/A</v>
      </c>
      <c r="U370">
        <f t="shared" si="44"/>
        <v>9.4</v>
      </c>
      <c r="V370">
        <f t="shared" si="45"/>
        <v>5</v>
      </c>
      <c r="W370" t="e">
        <f t="shared" si="46"/>
        <v>#N/A</v>
      </c>
      <c r="X370" t="e">
        <f t="shared" si="47"/>
        <v>#N/A</v>
      </c>
    </row>
    <row r="371" spans="1:24" x14ac:dyDescent="0.3">
      <c r="A371">
        <v>9.4</v>
      </c>
      <c r="B371">
        <v>0.27</v>
      </c>
      <c r="C371">
        <v>0.53</v>
      </c>
      <c r="D371">
        <v>2.4</v>
      </c>
      <c r="E371">
        <v>7.400000000000001E-2</v>
      </c>
      <c r="F371">
        <v>6</v>
      </c>
      <c r="G371">
        <v>18</v>
      </c>
      <c r="H371">
        <v>0.99619999999999997</v>
      </c>
      <c r="I371">
        <v>3.2</v>
      </c>
      <c r="J371">
        <v>1.1299999999999999</v>
      </c>
      <c r="K371">
        <v>12</v>
      </c>
      <c r="L371">
        <v>7</v>
      </c>
      <c r="M371" t="str">
        <f t="shared" si="40"/>
        <v>High</v>
      </c>
      <c r="N371">
        <f>(winequality_red[[#This Row],[Updated Quality &amp; Alcohol Analysis]]+winequality_red[[#This Row],[volatile acidity]]+winequality_red[[#This Row],[citric acid]])</f>
        <v>10.199999999999999</v>
      </c>
      <c r="O371">
        <f t="shared" si="41"/>
        <v>2.5425E-2</v>
      </c>
      <c r="S371" t="e">
        <f t="shared" si="42"/>
        <v>#N/A</v>
      </c>
      <c r="T371" t="e">
        <f t="shared" si="43"/>
        <v>#N/A</v>
      </c>
      <c r="U371" t="e">
        <f t="shared" si="44"/>
        <v>#N/A</v>
      </c>
      <c r="V371" t="e">
        <f t="shared" si="45"/>
        <v>#N/A</v>
      </c>
      <c r="W371">
        <f t="shared" si="46"/>
        <v>12</v>
      </c>
      <c r="X371">
        <f t="shared" si="47"/>
        <v>7</v>
      </c>
    </row>
    <row r="372" spans="1:24" x14ac:dyDescent="0.3">
      <c r="A372">
        <v>6.9</v>
      </c>
      <c r="B372">
        <v>0.76500000000000001</v>
      </c>
      <c r="C372">
        <v>0.02</v>
      </c>
      <c r="D372">
        <v>2.2999999999999998</v>
      </c>
      <c r="E372">
        <v>6.3E-2</v>
      </c>
      <c r="F372">
        <v>35</v>
      </c>
      <c r="G372">
        <v>63</v>
      </c>
      <c r="H372">
        <v>0.99750000000000005</v>
      </c>
      <c r="I372">
        <v>3.57</v>
      </c>
      <c r="J372">
        <v>0.78</v>
      </c>
      <c r="K372">
        <v>9.9</v>
      </c>
      <c r="L372">
        <v>5</v>
      </c>
      <c r="M372" t="str">
        <f t="shared" si="40"/>
        <v>Medium</v>
      </c>
      <c r="N372">
        <f>(winequality_red[[#This Row],[Updated Quality &amp; Alcohol Analysis]]+winequality_red[[#This Row],[volatile acidity]]+winequality_red[[#This Row],[citric acid]])</f>
        <v>7.6849999999999996</v>
      </c>
      <c r="O372">
        <f t="shared" si="41"/>
        <v>6.0272727272727269E-2</v>
      </c>
      <c r="S372" t="e">
        <f t="shared" si="42"/>
        <v>#N/A</v>
      </c>
      <c r="T372" t="e">
        <f t="shared" si="43"/>
        <v>#N/A</v>
      </c>
      <c r="U372">
        <f t="shared" si="44"/>
        <v>9.9</v>
      </c>
      <c r="V372">
        <f t="shared" si="45"/>
        <v>5</v>
      </c>
      <c r="W372" t="e">
        <f t="shared" si="46"/>
        <v>#N/A</v>
      </c>
      <c r="X372" t="e">
        <f t="shared" si="47"/>
        <v>#N/A</v>
      </c>
    </row>
    <row r="373" spans="1:24" x14ac:dyDescent="0.3">
      <c r="A373">
        <v>7.9</v>
      </c>
      <c r="B373">
        <v>0.24</v>
      </c>
      <c r="C373">
        <v>0.4</v>
      </c>
      <c r="D373">
        <v>1.6</v>
      </c>
      <c r="E373">
        <v>5.5999999999999994E-2</v>
      </c>
      <c r="F373">
        <v>11</v>
      </c>
      <c r="G373">
        <v>25</v>
      </c>
      <c r="H373">
        <v>0.99670000000000003</v>
      </c>
      <c r="I373">
        <v>3.32</v>
      </c>
      <c r="J373">
        <v>0.87</v>
      </c>
      <c r="K373">
        <v>8.6999999999999993</v>
      </c>
      <c r="L373">
        <v>6</v>
      </c>
      <c r="M373" t="str">
        <f t="shared" si="40"/>
        <v>Medium</v>
      </c>
      <c r="N373">
        <f>(winequality_red[[#This Row],[Updated Quality &amp; Alcohol Analysis]]+winequality_red[[#This Row],[volatile acidity]]+winequality_red[[#This Row],[citric acid]])</f>
        <v>8.5400000000000009</v>
      </c>
      <c r="O373">
        <f t="shared" si="41"/>
        <v>2.4E-2</v>
      </c>
      <c r="S373" t="e">
        <f t="shared" si="42"/>
        <v>#N/A</v>
      </c>
      <c r="T373" t="e">
        <f t="shared" si="43"/>
        <v>#N/A</v>
      </c>
      <c r="U373">
        <f t="shared" si="44"/>
        <v>8.6999999999999993</v>
      </c>
      <c r="V373">
        <f t="shared" si="45"/>
        <v>6</v>
      </c>
      <c r="W373" t="e">
        <f t="shared" si="46"/>
        <v>#N/A</v>
      </c>
      <c r="X373" t="e">
        <f t="shared" si="47"/>
        <v>#N/A</v>
      </c>
    </row>
    <row r="374" spans="1:24" x14ac:dyDescent="0.3">
      <c r="A374">
        <v>9.1</v>
      </c>
      <c r="B374">
        <v>0.28000000000000003</v>
      </c>
      <c r="C374">
        <v>0.48</v>
      </c>
      <c r="D374">
        <v>1.8</v>
      </c>
      <c r="E374">
        <v>6.7000000000000004E-2</v>
      </c>
      <c r="F374">
        <v>26</v>
      </c>
      <c r="G374">
        <v>46</v>
      </c>
      <c r="H374">
        <v>0.99670000000000003</v>
      </c>
      <c r="I374">
        <v>3.32</v>
      </c>
      <c r="J374">
        <v>1.04</v>
      </c>
      <c r="K374">
        <v>10.6</v>
      </c>
      <c r="L374">
        <v>6</v>
      </c>
      <c r="M374" t="str">
        <f t="shared" si="40"/>
        <v>Medium</v>
      </c>
      <c r="N374">
        <f>(winequality_red[[#This Row],[Updated Quality &amp; Alcohol Analysis]]+winequality_red[[#This Row],[volatile acidity]]+winequality_red[[#This Row],[citric acid]])</f>
        <v>9.86</v>
      </c>
      <c r="O374">
        <f t="shared" si="41"/>
        <v>2.747169811320755E-2</v>
      </c>
      <c r="S374" t="e">
        <f t="shared" si="42"/>
        <v>#N/A</v>
      </c>
      <c r="T374" t="e">
        <f t="shared" si="43"/>
        <v>#N/A</v>
      </c>
      <c r="U374">
        <f t="shared" si="44"/>
        <v>10.6</v>
      </c>
      <c r="V374">
        <f t="shared" si="45"/>
        <v>6</v>
      </c>
      <c r="W374" t="e">
        <f t="shared" si="46"/>
        <v>#N/A</v>
      </c>
      <c r="X374" t="e">
        <f t="shared" si="47"/>
        <v>#N/A</v>
      </c>
    </row>
    <row r="375" spans="1:24" x14ac:dyDescent="0.3">
      <c r="A375">
        <v>7.4</v>
      </c>
      <c r="B375">
        <v>0.55000000000000004</v>
      </c>
      <c r="C375">
        <v>0.22</v>
      </c>
      <c r="D375">
        <v>2.2000000000000002</v>
      </c>
      <c r="E375">
        <v>0.106</v>
      </c>
      <c r="F375">
        <v>12</v>
      </c>
      <c r="G375">
        <v>72</v>
      </c>
      <c r="H375">
        <v>0.99590000000000001</v>
      </c>
      <c r="I375">
        <v>3.05</v>
      </c>
      <c r="J375">
        <v>0.63</v>
      </c>
      <c r="K375">
        <v>9.1999999999999993</v>
      </c>
      <c r="L375">
        <v>5</v>
      </c>
      <c r="M375" t="str">
        <f t="shared" si="40"/>
        <v>Medium</v>
      </c>
      <c r="N375">
        <f>(winequality_red[[#This Row],[Updated Quality &amp; Alcohol Analysis]]+winequality_red[[#This Row],[volatile acidity]]+winequality_red[[#This Row],[citric acid]])</f>
        <v>8.17</v>
      </c>
      <c r="O375">
        <f t="shared" si="41"/>
        <v>3.7663043478260876E-2</v>
      </c>
      <c r="S375" t="e">
        <f t="shared" si="42"/>
        <v>#N/A</v>
      </c>
      <c r="T375" t="e">
        <f t="shared" si="43"/>
        <v>#N/A</v>
      </c>
      <c r="U375">
        <f t="shared" si="44"/>
        <v>9.1999999999999993</v>
      </c>
      <c r="V375">
        <f t="shared" si="45"/>
        <v>5</v>
      </c>
      <c r="W375" t="e">
        <f t="shared" si="46"/>
        <v>#N/A</v>
      </c>
      <c r="X375" t="e">
        <f t="shared" si="47"/>
        <v>#N/A</v>
      </c>
    </row>
    <row r="376" spans="1:24" x14ac:dyDescent="0.3">
      <c r="A376">
        <v>14</v>
      </c>
      <c r="B376">
        <v>0.41</v>
      </c>
      <c r="C376">
        <v>0.63</v>
      </c>
      <c r="D376">
        <v>3.8</v>
      </c>
      <c r="E376">
        <v>8.900000000000001E-2</v>
      </c>
      <c r="F376">
        <v>6</v>
      </c>
      <c r="G376">
        <v>47</v>
      </c>
      <c r="H376">
        <v>1.0014000000000001</v>
      </c>
      <c r="I376">
        <v>3.01</v>
      </c>
      <c r="J376">
        <v>0.81</v>
      </c>
      <c r="K376">
        <v>10.8</v>
      </c>
      <c r="L376">
        <v>6</v>
      </c>
      <c r="M376" t="str">
        <f t="shared" si="40"/>
        <v>Medium</v>
      </c>
      <c r="N376">
        <f>(winequality_red[[#This Row],[Updated Quality &amp; Alcohol Analysis]]+winequality_red[[#This Row],[volatile acidity]]+winequality_red[[#This Row],[citric acid]])</f>
        <v>15.040000000000001</v>
      </c>
      <c r="O376">
        <f t="shared" si="41"/>
        <v>3.075E-2</v>
      </c>
      <c r="S376" t="e">
        <f t="shared" si="42"/>
        <v>#N/A</v>
      </c>
      <c r="T376" t="e">
        <f t="shared" si="43"/>
        <v>#N/A</v>
      </c>
      <c r="U376">
        <f t="shared" si="44"/>
        <v>10.8</v>
      </c>
      <c r="V376">
        <f t="shared" si="45"/>
        <v>6</v>
      </c>
      <c r="W376" t="e">
        <f t="shared" si="46"/>
        <v>#N/A</v>
      </c>
      <c r="X376" t="e">
        <f t="shared" si="47"/>
        <v>#N/A</v>
      </c>
    </row>
    <row r="377" spans="1:24" x14ac:dyDescent="0.3">
      <c r="A377">
        <v>11.5</v>
      </c>
      <c r="B377">
        <v>0.54</v>
      </c>
      <c r="C377">
        <v>0.71</v>
      </c>
      <c r="D377">
        <v>4.4000000000000004</v>
      </c>
      <c r="E377">
        <v>0.124</v>
      </c>
      <c r="F377">
        <v>6</v>
      </c>
      <c r="G377">
        <v>15</v>
      </c>
      <c r="H377">
        <v>0.99839999999999995</v>
      </c>
      <c r="I377">
        <v>3.01</v>
      </c>
      <c r="J377">
        <v>0.83</v>
      </c>
      <c r="K377">
        <v>11.8</v>
      </c>
      <c r="L377">
        <v>7</v>
      </c>
      <c r="M377" t="str">
        <f t="shared" si="40"/>
        <v>High</v>
      </c>
      <c r="N377">
        <f>(winequality_red[[#This Row],[Updated Quality &amp; Alcohol Analysis]]+winequality_red[[#This Row],[volatile acidity]]+winequality_red[[#This Row],[citric acid]])</f>
        <v>12.75</v>
      </c>
      <c r="O377">
        <f t="shared" si="41"/>
        <v>3.7983050847457622E-2</v>
      </c>
      <c r="S377" t="e">
        <f t="shared" si="42"/>
        <v>#N/A</v>
      </c>
      <c r="T377" t="e">
        <f t="shared" si="43"/>
        <v>#N/A</v>
      </c>
      <c r="U377" t="e">
        <f t="shared" si="44"/>
        <v>#N/A</v>
      </c>
      <c r="V377" t="e">
        <f t="shared" si="45"/>
        <v>#N/A</v>
      </c>
      <c r="W377">
        <f t="shared" si="46"/>
        <v>11.8</v>
      </c>
      <c r="X377">
        <f t="shared" si="47"/>
        <v>7</v>
      </c>
    </row>
    <row r="378" spans="1:24" x14ac:dyDescent="0.3">
      <c r="A378">
        <v>11.5</v>
      </c>
      <c r="B378">
        <v>0.45</v>
      </c>
      <c r="C378">
        <v>0.5</v>
      </c>
      <c r="D378">
        <v>3</v>
      </c>
      <c r="E378">
        <v>7.8E-2</v>
      </c>
      <c r="F378">
        <v>19</v>
      </c>
      <c r="G378">
        <v>47</v>
      </c>
      <c r="H378">
        <v>1.0003</v>
      </c>
      <c r="I378">
        <v>3.26</v>
      </c>
      <c r="J378">
        <v>1.1100000000000001</v>
      </c>
      <c r="K378">
        <v>11</v>
      </c>
      <c r="L378">
        <v>6</v>
      </c>
      <c r="M378" t="str">
        <f t="shared" si="40"/>
        <v>Medium</v>
      </c>
      <c r="N378">
        <f>(winequality_red[[#This Row],[Updated Quality &amp; Alcohol Analysis]]+winequality_red[[#This Row],[volatile acidity]]+winequality_red[[#This Row],[citric acid]])</f>
        <v>12.45</v>
      </c>
      <c r="O378">
        <f t="shared" si="41"/>
        <v>4.5409090909090913E-2</v>
      </c>
      <c r="S378" t="e">
        <f t="shared" si="42"/>
        <v>#N/A</v>
      </c>
      <c r="T378" t="e">
        <f t="shared" si="43"/>
        <v>#N/A</v>
      </c>
      <c r="U378">
        <f t="shared" si="44"/>
        <v>11</v>
      </c>
      <c r="V378">
        <f t="shared" si="45"/>
        <v>6</v>
      </c>
      <c r="W378" t="e">
        <f t="shared" si="46"/>
        <v>#N/A</v>
      </c>
      <c r="X378" t="e">
        <f t="shared" si="47"/>
        <v>#N/A</v>
      </c>
    </row>
    <row r="379" spans="1:24" x14ac:dyDescent="0.3">
      <c r="A379">
        <v>9.4</v>
      </c>
      <c r="B379">
        <v>0.27</v>
      </c>
      <c r="C379">
        <v>0.53</v>
      </c>
      <c r="D379">
        <v>2.4</v>
      </c>
      <c r="E379">
        <v>7.400000000000001E-2</v>
      </c>
      <c r="F379">
        <v>6</v>
      </c>
      <c r="G379">
        <v>18</v>
      </c>
      <c r="H379">
        <v>0.99619999999999997</v>
      </c>
      <c r="I379">
        <v>3.2</v>
      </c>
      <c r="J379">
        <v>1.1299999999999999</v>
      </c>
      <c r="K379">
        <v>12</v>
      </c>
      <c r="L379">
        <v>7</v>
      </c>
      <c r="M379" t="str">
        <f t="shared" si="40"/>
        <v>High</v>
      </c>
      <c r="N379">
        <f>(winequality_red[[#This Row],[Updated Quality &amp; Alcohol Analysis]]+winequality_red[[#This Row],[volatile acidity]]+winequality_red[[#This Row],[citric acid]])</f>
        <v>10.199999999999999</v>
      </c>
      <c r="O379">
        <f t="shared" si="41"/>
        <v>2.5425E-2</v>
      </c>
      <c r="S379" t="e">
        <f t="shared" si="42"/>
        <v>#N/A</v>
      </c>
      <c r="T379" t="e">
        <f t="shared" si="43"/>
        <v>#N/A</v>
      </c>
      <c r="U379" t="e">
        <f t="shared" si="44"/>
        <v>#N/A</v>
      </c>
      <c r="V379" t="e">
        <f t="shared" si="45"/>
        <v>#N/A</v>
      </c>
      <c r="W379">
        <f t="shared" si="46"/>
        <v>12</v>
      </c>
      <c r="X379">
        <f t="shared" si="47"/>
        <v>7</v>
      </c>
    </row>
    <row r="380" spans="1:24" x14ac:dyDescent="0.3">
      <c r="A380">
        <v>11.4</v>
      </c>
      <c r="B380">
        <v>0.625</v>
      </c>
      <c r="C380">
        <v>0.66</v>
      </c>
      <c r="D380">
        <v>6.2</v>
      </c>
      <c r="E380">
        <v>8.8000000000000009E-2</v>
      </c>
      <c r="F380">
        <v>6</v>
      </c>
      <c r="G380">
        <v>24</v>
      </c>
      <c r="H380">
        <v>0.99880000000000002</v>
      </c>
      <c r="I380">
        <v>3.11</v>
      </c>
      <c r="J380">
        <v>0.99</v>
      </c>
      <c r="K380">
        <v>13.3</v>
      </c>
      <c r="L380">
        <v>6</v>
      </c>
      <c r="M380" t="str">
        <f t="shared" si="40"/>
        <v>Medium</v>
      </c>
      <c r="N380">
        <f>(winequality_red[[#This Row],[Updated Quality &amp; Alcohol Analysis]]+winequality_red[[#This Row],[volatile acidity]]+winequality_red[[#This Row],[citric acid]])</f>
        <v>12.685</v>
      </c>
      <c r="O380">
        <f t="shared" si="41"/>
        <v>4.6522556390977444E-2</v>
      </c>
      <c r="S380" t="e">
        <f t="shared" si="42"/>
        <v>#N/A</v>
      </c>
      <c r="T380" t="e">
        <f t="shared" si="43"/>
        <v>#N/A</v>
      </c>
      <c r="U380">
        <f t="shared" si="44"/>
        <v>13.3</v>
      </c>
      <c r="V380">
        <f t="shared" si="45"/>
        <v>6</v>
      </c>
      <c r="W380" t="e">
        <f t="shared" si="46"/>
        <v>#N/A</v>
      </c>
      <c r="X380" t="e">
        <f t="shared" si="47"/>
        <v>#N/A</v>
      </c>
    </row>
    <row r="381" spans="1:24" x14ac:dyDescent="0.3">
      <c r="A381">
        <v>8.3000000000000007</v>
      </c>
      <c r="B381">
        <v>0.42</v>
      </c>
      <c r="C381">
        <v>0.38</v>
      </c>
      <c r="D381">
        <v>2.5</v>
      </c>
      <c r="E381">
        <v>9.4E-2</v>
      </c>
      <c r="F381">
        <v>24</v>
      </c>
      <c r="G381">
        <v>60</v>
      </c>
      <c r="H381">
        <v>0.99790000000000001</v>
      </c>
      <c r="I381">
        <v>3.31</v>
      </c>
      <c r="J381">
        <v>0.7</v>
      </c>
      <c r="K381">
        <v>10.8</v>
      </c>
      <c r="L381">
        <v>6</v>
      </c>
      <c r="M381" t="str">
        <f t="shared" si="40"/>
        <v>Medium</v>
      </c>
      <c r="N381">
        <f>(winequality_red[[#This Row],[Updated Quality &amp; Alcohol Analysis]]+winequality_red[[#This Row],[volatile acidity]]+winequality_red[[#This Row],[citric acid]])</f>
        <v>9.1000000000000014</v>
      </c>
      <c r="O381">
        <f t="shared" si="41"/>
        <v>2.7222222222222221E-2</v>
      </c>
      <c r="S381" t="e">
        <f t="shared" si="42"/>
        <v>#N/A</v>
      </c>
      <c r="T381" t="e">
        <f t="shared" si="43"/>
        <v>#N/A</v>
      </c>
      <c r="U381">
        <f t="shared" si="44"/>
        <v>10.8</v>
      </c>
      <c r="V381">
        <f t="shared" si="45"/>
        <v>6</v>
      </c>
      <c r="W381" t="e">
        <f t="shared" si="46"/>
        <v>#N/A</v>
      </c>
      <c r="X381" t="e">
        <f t="shared" si="47"/>
        <v>#N/A</v>
      </c>
    </row>
    <row r="382" spans="1:24" x14ac:dyDescent="0.3">
      <c r="A382">
        <v>8.3000000000000007</v>
      </c>
      <c r="B382">
        <v>0.26</v>
      </c>
      <c r="C382">
        <v>0.42</v>
      </c>
      <c r="D382">
        <v>2</v>
      </c>
      <c r="E382">
        <v>0.08</v>
      </c>
      <c r="F382">
        <v>11</v>
      </c>
      <c r="G382">
        <v>27</v>
      </c>
      <c r="H382">
        <v>0.99739999999999995</v>
      </c>
      <c r="I382">
        <v>3.21</v>
      </c>
      <c r="J382">
        <v>0.8</v>
      </c>
      <c r="K382">
        <v>9.4</v>
      </c>
      <c r="L382">
        <v>6</v>
      </c>
      <c r="M382" t="str">
        <f t="shared" si="40"/>
        <v>Medium</v>
      </c>
      <c r="N382">
        <f>(winequality_red[[#This Row],[Updated Quality &amp; Alcohol Analysis]]+winequality_red[[#This Row],[volatile acidity]]+winequality_red[[#This Row],[citric acid]])</f>
        <v>8.98</v>
      </c>
      <c r="O382">
        <f t="shared" si="41"/>
        <v>2.2127659574468085E-2</v>
      </c>
      <c r="S382" t="e">
        <f t="shared" si="42"/>
        <v>#N/A</v>
      </c>
      <c r="T382" t="e">
        <f t="shared" si="43"/>
        <v>#N/A</v>
      </c>
      <c r="U382">
        <f t="shared" si="44"/>
        <v>9.4</v>
      </c>
      <c r="V382">
        <f t="shared" si="45"/>
        <v>6</v>
      </c>
      <c r="W382" t="e">
        <f t="shared" si="46"/>
        <v>#N/A</v>
      </c>
      <c r="X382" t="e">
        <f t="shared" si="47"/>
        <v>#N/A</v>
      </c>
    </row>
    <row r="383" spans="1:24" x14ac:dyDescent="0.3">
      <c r="A383">
        <v>13.7</v>
      </c>
      <c r="B383">
        <v>0.41499999999999998</v>
      </c>
      <c r="C383">
        <v>0.68</v>
      </c>
      <c r="D383">
        <v>2.9</v>
      </c>
      <c r="E383">
        <v>8.5000000000000006E-2</v>
      </c>
      <c r="F383">
        <v>17</v>
      </c>
      <c r="G383">
        <v>43</v>
      </c>
      <c r="H383">
        <v>1.0014000000000001</v>
      </c>
      <c r="I383">
        <v>3.06</v>
      </c>
      <c r="J383">
        <v>0.8</v>
      </c>
      <c r="K383">
        <v>10</v>
      </c>
      <c r="L383">
        <v>6</v>
      </c>
      <c r="M383" t="str">
        <f t="shared" si="40"/>
        <v>Medium</v>
      </c>
      <c r="N383">
        <f>(winequality_red[[#This Row],[Updated Quality &amp; Alcohol Analysis]]+winequality_red[[#This Row],[volatile acidity]]+winequality_red[[#This Row],[citric acid]])</f>
        <v>14.794999999999998</v>
      </c>
      <c r="O383">
        <f t="shared" si="41"/>
        <v>3.32E-2</v>
      </c>
      <c r="S383" t="e">
        <f t="shared" si="42"/>
        <v>#N/A</v>
      </c>
      <c r="T383" t="e">
        <f t="shared" si="43"/>
        <v>#N/A</v>
      </c>
      <c r="U383">
        <f t="shared" si="44"/>
        <v>10</v>
      </c>
      <c r="V383">
        <f t="shared" si="45"/>
        <v>6</v>
      </c>
      <c r="W383" t="e">
        <f t="shared" si="46"/>
        <v>#N/A</v>
      </c>
      <c r="X383" t="e">
        <f t="shared" si="47"/>
        <v>#N/A</v>
      </c>
    </row>
    <row r="384" spans="1:24" x14ac:dyDescent="0.3">
      <c r="A384">
        <v>8.3000000000000007</v>
      </c>
      <c r="B384">
        <v>0.26</v>
      </c>
      <c r="C384">
        <v>0.42</v>
      </c>
      <c r="D384">
        <v>2</v>
      </c>
      <c r="E384">
        <v>0.08</v>
      </c>
      <c r="F384">
        <v>11</v>
      </c>
      <c r="G384">
        <v>27</v>
      </c>
      <c r="H384">
        <v>0.99739999999999995</v>
      </c>
      <c r="I384">
        <v>3.21</v>
      </c>
      <c r="J384">
        <v>0.8</v>
      </c>
      <c r="K384">
        <v>9.4</v>
      </c>
      <c r="L384">
        <v>6</v>
      </c>
      <c r="M384" t="str">
        <f t="shared" si="40"/>
        <v>Medium</v>
      </c>
      <c r="N384">
        <f>(winequality_red[[#This Row],[Updated Quality &amp; Alcohol Analysis]]+winequality_red[[#This Row],[volatile acidity]]+winequality_red[[#This Row],[citric acid]])</f>
        <v>8.98</v>
      </c>
      <c r="O384">
        <f t="shared" si="41"/>
        <v>2.2127659574468085E-2</v>
      </c>
      <c r="S384" t="e">
        <f t="shared" si="42"/>
        <v>#N/A</v>
      </c>
      <c r="T384" t="e">
        <f t="shared" si="43"/>
        <v>#N/A</v>
      </c>
      <c r="U384">
        <f t="shared" si="44"/>
        <v>9.4</v>
      </c>
      <c r="V384">
        <f t="shared" si="45"/>
        <v>6</v>
      </c>
      <c r="W384" t="e">
        <f t="shared" si="46"/>
        <v>#N/A</v>
      </c>
      <c r="X384" t="e">
        <f t="shared" si="47"/>
        <v>#N/A</v>
      </c>
    </row>
    <row r="385" spans="1:24" x14ac:dyDescent="0.3">
      <c r="A385">
        <v>8.3000000000000007</v>
      </c>
      <c r="B385">
        <v>0.26</v>
      </c>
      <c r="C385">
        <v>0.42</v>
      </c>
      <c r="D385">
        <v>2</v>
      </c>
      <c r="E385">
        <v>0.08</v>
      </c>
      <c r="F385">
        <v>11</v>
      </c>
      <c r="G385">
        <v>27</v>
      </c>
      <c r="H385">
        <v>0.99739999999999995</v>
      </c>
      <c r="I385">
        <v>3.21</v>
      </c>
      <c r="J385">
        <v>0.8</v>
      </c>
      <c r="K385">
        <v>9.4</v>
      </c>
      <c r="L385">
        <v>6</v>
      </c>
      <c r="M385" t="str">
        <f t="shared" si="40"/>
        <v>Medium</v>
      </c>
      <c r="N385">
        <f>(winequality_red[[#This Row],[Updated Quality &amp; Alcohol Analysis]]+winequality_red[[#This Row],[volatile acidity]]+winequality_red[[#This Row],[citric acid]])</f>
        <v>8.98</v>
      </c>
      <c r="O385">
        <f t="shared" si="41"/>
        <v>2.2127659574468085E-2</v>
      </c>
      <c r="S385" t="e">
        <f t="shared" si="42"/>
        <v>#N/A</v>
      </c>
      <c r="T385" t="e">
        <f t="shared" si="43"/>
        <v>#N/A</v>
      </c>
      <c r="U385">
        <f t="shared" si="44"/>
        <v>9.4</v>
      </c>
      <c r="V385">
        <f t="shared" si="45"/>
        <v>6</v>
      </c>
      <c r="W385" t="e">
        <f t="shared" si="46"/>
        <v>#N/A</v>
      </c>
      <c r="X385" t="e">
        <f t="shared" si="47"/>
        <v>#N/A</v>
      </c>
    </row>
    <row r="386" spans="1:24" x14ac:dyDescent="0.3">
      <c r="A386">
        <v>7.7</v>
      </c>
      <c r="B386">
        <v>0.51</v>
      </c>
      <c r="C386">
        <v>0.28000000000000003</v>
      </c>
      <c r="D386">
        <v>2.1</v>
      </c>
      <c r="E386">
        <v>8.6999999999999994E-2</v>
      </c>
      <c r="F386">
        <v>23</v>
      </c>
      <c r="G386">
        <v>54</v>
      </c>
      <c r="H386">
        <v>0.998</v>
      </c>
      <c r="I386">
        <v>3.42</v>
      </c>
      <c r="J386">
        <v>0.74</v>
      </c>
      <c r="K386">
        <v>9.1999999999999993</v>
      </c>
      <c r="L386">
        <v>5</v>
      </c>
      <c r="M386" t="str">
        <f t="shared" ref="M386:M449" si="48">IF($L386&gt;=7,"High",IF($L386&gt;=5,"Medium","Low"))</f>
        <v>Medium</v>
      </c>
      <c r="N386">
        <f>(winequality_red[[#This Row],[Updated Quality &amp; Alcohol Analysis]]+winequality_red[[#This Row],[volatile acidity]]+winequality_red[[#This Row],[citric acid]])</f>
        <v>8.49</v>
      </c>
      <c r="O386">
        <f t="shared" ref="O386:O449" si="49">($B386*$J386)/$K386</f>
        <v>4.1021739130434789E-2</v>
      </c>
      <c r="S386" t="e">
        <f t="shared" si="42"/>
        <v>#N/A</v>
      </c>
      <c r="T386" t="e">
        <f t="shared" si="43"/>
        <v>#N/A</v>
      </c>
      <c r="U386">
        <f t="shared" si="44"/>
        <v>9.1999999999999993</v>
      </c>
      <c r="V386">
        <f t="shared" si="45"/>
        <v>5</v>
      </c>
      <c r="W386" t="e">
        <f t="shared" si="46"/>
        <v>#N/A</v>
      </c>
      <c r="X386" t="e">
        <f t="shared" si="47"/>
        <v>#N/A</v>
      </c>
    </row>
    <row r="387" spans="1:24" x14ac:dyDescent="0.3">
      <c r="A387">
        <v>7.4</v>
      </c>
      <c r="B387">
        <v>0.63</v>
      </c>
      <c r="C387">
        <v>7.0000000000000007E-2</v>
      </c>
      <c r="D387">
        <v>2.4</v>
      </c>
      <c r="E387">
        <v>0.09</v>
      </c>
      <c r="F387">
        <v>11</v>
      </c>
      <c r="G387">
        <v>37</v>
      </c>
      <c r="H387">
        <v>0.99790000000000001</v>
      </c>
      <c r="I387">
        <v>3.43</v>
      </c>
      <c r="J387">
        <v>0.76</v>
      </c>
      <c r="K387">
        <v>9.6999999999999993</v>
      </c>
      <c r="L387">
        <v>6</v>
      </c>
      <c r="M387" t="str">
        <f t="shared" si="48"/>
        <v>Medium</v>
      </c>
      <c r="N387">
        <f>(winequality_red[[#This Row],[Updated Quality &amp; Alcohol Analysis]]+winequality_red[[#This Row],[volatile acidity]]+winequality_red[[#This Row],[citric acid]])</f>
        <v>8.1000000000000014</v>
      </c>
      <c r="O387">
        <f t="shared" si="49"/>
        <v>4.9360824742268043E-2</v>
      </c>
      <c r="S387" t="e">
        <f t="shared" ref="S387:S450" si="50">IF($M387="Low",$K387,NA())</f>
        <v>#N/A</v>
      </c>
      <c r="T387" t="e">
        <f t="shared" ref="T387:T450" si="51">IF($M387="Low",$L387,NA())</f>
        <v>#N/A</v>
      </c>
      <c r="U387">
        <f t="shared" ref="U387:U450" si="52">IF($M387="Medium",$K387,NA())</f>
        <v>9.6999999999999993</v>
      </c>
      <c r="V387">
        <f t="shared" ref="V387:V450" si="53">IF($M387="Medium",$L387,NA())</f>
        <v>6</v>
      </c>
      <c r="W387" t="e">
        <f t="shared" ref="W387:W450" si="54">IF($M387="High",$K387,NA())</f>
        <v>#N/A</v>
      </c>
      <c r="X387" t="e">
        <f t="shared" ref="X387:X450" si="55">IF($M387="High",$L387,NA())</f>
        <v>#N/A</v>
      </c>
    </row>
    <row r="388" spans="1:24" x14ac:dyDescent="0.3">
      <c r="A388">
        <v>7.8</v>
      </c>
      <c r="B388">
        <v>0.54</v>
      </c>
      <c r="C388">
        <v>0.26</v>
      </c>
      <c r="D388">
        <v>2</v>
      </c>
      <c r="E388">
        <v>8.8000000000000009E-2</v>
      </c>
      <c r="F388">
        <v>23</v>
      </c>
      <c r="G388">
        <v>48</v>
      </c>
      <c r="H388">
        <v>0.99809999999999999</v>
      </c>
      <c r="I388">
        <v>3.41</v>
      </c>
      <c r="J388">
        <v>0.74</v>
      </c>
      <c r="K388">
        <v>9.1999999999999993</v>
      </c>
      <c r="L388">
        <v>6</v>
      </c>
      <c r="M388" t="str">
        <f t="shared" si="48"/>
        <v>Medium</v>
      </c>
      <c r="N388">
        <f>(winequality_red[[#This Row],[Updated Quality &amp; Alcohol Analysis]]+winequality_red[[#This Row],[volatile acidity]]+winequality_red[[#This Row],[citric acid]])</f>
        <v>8.6</v>
      </c>
      <c r="O388">
        <f t="shared" si="49"/>
        <v>4.3434782608695655E-2</v>
      </c>
      <c r="S388" t="e">
        <f t="shared" si="50"/>
        <v>#N/A</v>
      </c>
      <c r="T388" t="e">
        <f t="shared" si="51"/>
        <v>#N/A</v>
      </c>
      <c r="U388">
        <f t="shared" si="52"/>
        <v>9.1999999999999993</v>
      </c>
      <c r="V388">
        <f t="shared" si="53"/>
        <v>6</v>
      </c>
      <c r="W388" t="e">
        <f t="shared" si="54"/>
        <v>#N/A</v>
      </c>
      <c r="X388" t="e">
        <f t="shared" si="55"/>
        <v>#N/A</v>
      </c>
    </row>
    <row r="389" spans="1:24" x14ac:dyDescent="0.3">
      <c r="A389">
        <v>8.3000000000000007</v>
      </c>
      <c r="B389">
        <v>0.66</v>
      </c>
      <c r="C389">
        <v>0.15</v>
      </c>
      <c r="D389">
        <v>1.9</v>
      </c>
      <c r="E389">
        <v>7.9000000000000001E-2</v>
      </c>
      <c r="F389">
        <v>17</v>
      </c>
      <c r="G389">
        <v>42</v>
      </c>
      <c r="H389">
        <v>0.99719999999999998</v>
      </c>
      <c r="I389">
        <v>3.31</v>
      </c>
      <c r="J389">
        <v>0.54</v>
      </c>
      <c r="K389">
        <v>9.6</v>
      </c>
      <c r="L389">
        <v>6</v>
      </c>
      <c r="M389" t="str">
        <f t="shared" si="48"/>
        <v>Medium</v>
      </c>
      <c r="N389">
        <f>(winequality_red[[#This Row],[Updated Quality &amp; Alcohol Analysis]]+winequality_red[[#This Row],[volatile acidity]]+winequality_red[[#This Row],[citric acid]])</f>
        <v>9.1100000000000012</v>
      </c>
      <c r="O389">
        <f t="shared" si="49"/>
        <v>3.7125000000000005E-2</v>
      </c>
      <c r="S389" t="e">
        <f t="shared" si="50"/>
        <v>#N/A</v>
      </c>
      <c r="T389" t="e">
        <f t="shared" si="51"/>
        <v>#N/A</v>
      </c>
      <c r="U389">
        <f t="shared" si="52"/>
        <v>9.6</v>
      </c>
      <c r="V389">
        <f t="shared" si="53"/>
        <v>6</v>
      </c>
      <c r="W389" t="e">
        <f t="shared" si="54"/>
        <v>#N/A</v>
      </c>
      <c r="X389" t="e">
        <f t="shared" si="55"/>
        <v>#N/A</v>
      </c>
    </row>
    <row r="390" spans="1:24" x14ac:dyDescent="0.3">
      <c r="A390">
        <v>7.8</v>
      </c>
      <c r="B390">
        <v>0.46</v>
      </c>
      <c r="C390">
        <v>0.26</v>
      </c>
      <c r="D390">
        <v>1.9</v>
      </c>
      <c r="E390">
        <v>8.8000000000000009E-2</v>
      </c>
      <c r="F390">
        <v>23</v>
      </c>
      <c r="G390">
        <v>53</v>
      </c>
      <c r="H390">
        <v>0.99809999999999999</v>
      </c>
      <c r="I390">
        <v>3.43</v>
      </c>
      <c r="J390">
        <v>0.74</v>
      </c>
      <c r="K390">
        <v>9.1999999999999993</v>
      </c>
      <c r="L390">
        <v>6</v>
      </c>
      <c r="M390" t="str">
        <f t="shared" si="48"/>
        <v>Medium</v>
      </c>
      <c r="N390">
        <f>(winequality_red[[#This Row],[Updated Quality &amp; Alcohol Analysis]]+winequality_red[[#This Row],[volatile acidity]]+winequality_red[[#This Row],[citric acid]])</f>
        <v>8.52</v>
      </c>
      <c r="O390">
        <f t="shared" si="49"/>
        <v>3.7000000000000005E-2</v>
      </c>
      <c r="S390" t="e">
        <f t="shared" si="50"/>
        <v>#N/A</v>
      </c>
      <c r="T390" t="e">
        <f t="shared" si="51"/>
        <v>#N/A</v>
      </c>
      <c r="U390">
        <f t="shared" si="52"/>
        <v>9.1999999999999993</v>
      </c>
      <c r="V390">
        <f t="shared" si="53"/>
        <v>6</v>
      </c>
      <c r="W390" t="e">
        <f t="shared" si="54"/>
        <v>#N/A</v>
      </c>
      <c r="X390" t="e">
        <f t="shared" si="55"/>
        <v>#N/A</v>
      </c>
    </row>
    <row r="391" spans="1:24" x14ac:dyDescent="0.3">
      <c r="A391">
        <v>9.6</v>
      </c>
      <c r="B391">
        <v>0.38</v>
      </c>
      <c r="C391">
        <v>0.31</v>
      </c>
      <c r="D391">
        <v>2.5</v>
      </c>
      <c r="E391">
        <v>9.6000000000000002E-2</v>
      </c>
      <c r="F391">
        <v>16</v>
      </c>
      <c r="G391">
        <v>49</v>
      </c>
      <c r="H391">
        <v>0.99819999999999998</v>
      </c>
      <c r="I391">
        <v>3.19</v>
      </c>
      <c r="J391">
        <v>0.7</v>
      </c>
      <c r="K391">
        <v>10</v>
      </c>
      <c r="L391">
        <v>7</v>
      </c>
      <c r="M391" t="str">
        <f t="shared" si="48"/>
        <v>High</v>
      </c>
      <c r="N391">
        <f>(winequality_red[[#This Row],[Updated Quality &amp; Alcohol Analysis]]+winequality_red[[#This Row],[volatile acidity]]+winequality_red[[#This Row],[citric acid]])</f>
        <v>10.290000000000001</v>
      </c>
      <c r="O391">
        <f t="shared" si="49"/>
        <v>2.6599999999999995E-2</v>
      </c>
      <c r="S391" t="e">
        <f t="shared" si="50"/>
        <v>#N/A</v>
      </c>
      <c r="T391" t="e">
        <f t="shared" si="51"/>
        <v>#N/A</v>
      </c>
      <c r="U391" t="e">
        <f t="shared" si="52"/>
        <v>#N/A</v>
      </c>
      <c r="V391" t="e">
        <f t="shared" si="53"/>
        <v>#N/A</v>
      </c>
      <c r="W391">
        <f t="shared" si="54"/>
        <v>10</v>
      </c>
      <c r="X391">
        <f t="shared" si="55"/>
        <v>7</v>
      </c>
    </row>
    <row r="392" spans="1:24" x14ac:dyDescent="0.3">
      <c r="A392">
        <v>5.6</v>
      </c>
      <c r="B392">
        <v>0.85</v>
      </c>
      <c r="C392">
        <v>0.05</v>
      </c>
      <c r="D392">
        <v>1.4</v>
      </c>
      <c r="E392">
        <v>4.4999999999999998E-2</v>
      </c>
      <c r="F392">
        <v>12</v>
      </c>
      <c r="G392">
        <v>88</v>
      </c>
      <c r="H392">
        <v>0.99239999999999995</v>
      </c>
      <c r="I392">
        <v>3.56</v>
      </c>
      <c r="J392">
        <v>0.82</v>
      </c>
      <c r="K392">
        <v>12.9</v>
      </c>
      <c r="L392">
        <v>8</v>
      </c>
      <c r="M392" t="str">
        <f t="shared" si="48"/>
        <v>High</v>
      </c>
      <c r="N392">
        <f>(winequality_red[[#This Row],[Updated Quality &amp; Alcohol Analysis]]+winequality_red[[#This Row],[volatile acidity]]+winequality_red[[#This Row],[citric acid]])</f>
        <v>6.4999999999999991</v>
      </c>
      <c r="O392">
        <f t="shared" si="49"/>
        <v>5.4031007751937976E-2</v>
      </c>
      <c r="S392" t="e">
        <f t="shared" si="50"/>
        <v>#N/A</v>
      </c>
      <c r="T392" t="e">
        <f t="shared" si="51"/>
        <v>#N/A</v>
      </c>
      <c r="U392" t="e">
        <f t="shared" si="52"/>
        <v>#N/A</v>
      </c>
      <c r="V392" t="e">
        <f t="shared" si="53"/>
        <v>#N/A</v>
      </c>
      <c r="W392">
        <f t="shared" si="54"/>
        <v>12.9</v>
      </c>
      <c r="X392">
        <f t="shared" si="55"/>
        <v>8</v>
      </c>
    </row>
    <row r="393" spans="1:24" x14ac:dyDescent="0.3">
      <c r="A393">
        <v>13.7</v>
      </c>
      <c r="B393">
        <v>0.41499999999999998</v>
      </c>
      <c r="C393">
        <v>0.68</v>
      </c>
      <c r="D393">
        <v>2.9</v>
      </c>
      <c r="E393">
        <v>8.5000000000000006E-2</v>
      </c>
      <c r="F393">
        <v>17</v>
      </c>
      <c r="G393">
        <v>43</v>
      </c>
      <c r="H393">
        <v>1.0014000000000001</v>
      </c>
      <c r="I393">
        <v>3.06</v>
      </c>
      <c r="J393">
        <v>0.8</v>
      </c>
      <c r="K393">
        <v>10</v>
      </c>
      <c r="L393">
        <v>6</v>
      </c>
      <c r="M393" t="str">
        <f t="shared" si="48"/>
        <v>Medium</v>
      </c>
      <c r="N393">
        <f>(winequality_red[[#This Row],[Updated Quality &amp; Alcohol Analysis]]+winequality_red[[#This Row],[volatile acidity]]+winequality_red[[#This Row],[citric acid]])</f>
        <v>14.794999999999998</v>
      </c>
      <c r="O393">
        <f t="shared" si="49"/>
        <v>3.32E-2</v>
      </c>
      <c r="S393" t="e">
        <f t="shared" si="50"/>
        <v>#N/A</v>
      </c>
      <c r="T393" t="e">
        <f t="shared" si="51"/>
        <v>#N/A</v>
      </c>
      <c r="U393">
        <f t="shared" si="52"/>
        <v>10</v>
      </c>
      <c r="V393">
        <f t="shared" si="53"/>
        <v>6</v>
      </c>
      <c r="W393" t="e">
        <f t="shared" si="54"/>
        <v>#N/A</v>
      </c>
      <c r="X393" t="e">
        <f t="shared" si="55"/>
        <v>#N/A</v>
      </c>
    </row>
    <row r="394" spans="1:24" x14ac:dyDescent="0.3">
      <c r="A394">
        <v>9.5</v>
      </c>
      <c r="B394">
        <v>0.37</v>
      </c>
      <c r="C394">
        <v>0.52</v>
      </c>
      <c r="D394">
        <v>2</v>
      </c>
      <c r="E394">
        <v>8.199999999999999E-2</v>
      </c>
      <c r="F394">
        <v>6</v>
      </c>
      <c r="G394">
        <v>26</v>
      </c>
      <c r="H394">
        <v>0.998</v>
      </c>
      <c r="I394">
        <v>3.18</v>
      </c>
      <c r="J394">
        <v>0.51</v>
      </c>
      <c r="K394">
        <v>9.5</v>
      </c>
      <c r="L394">
        <v>5</v>
      </c>
      <c r="M394" t="str">
        <f t="shared" si="48"/>
        <v>Medium</v>
      </c>
      <c r="N394">
        <f>(winequality_red[[#This Row],[Updated Quality &amp; Alcohol Analysis]]+winequality_red[[#This Row],[volatile acidity]]+winequality_red[[#This Row],[citric acid]])</f>
        <v>10.389999999999999</v>
      </c>
      <c r="O394">
        <f t="shared" si="49"/>
        <v>1.9863157894736843E-2</v>
      </c>
      <c r="S394" t="e">
        <f t="shared" si="50"/>
        <v>#N/A</v>
      </c>
      <c r="T394" t="e">
        <f t="shared" si="51"/>
        <v>#N/A</v>
      </c>
      <c r="U394">
        <f t="shared" si="52"/>
        <v>9.5</v>
      </c>
      <c r="V394">
        <f t="shared" si="53"/>
        <v>5</v>
      </c>
      <c r="W394" t="e">
        <f t="shared" si="54"/>
        <v>#N/A</v>
      </c>
      <c r="X394" t="e">
        <f t="shared" si="55"/>
        <v>#N/A</v>
      </c>
    </row>
    <row r="395" spans="1:24" x14ac:dyDescent="0.3">
      <c r="A395">
        <v>8.4</v>
      </c>
      <c r="B395">
        <v>0.66500000000000004</v>
      </c>
      <c r="C395">
        <v>0.61</v>
      </c>
      <c r="D395">
        <v>2</v>
      </c>
      <c r="E395">
        <v>0.11199999999999999</v>
      </c>
      <c r="F395">
        <v>13</v>
      </c>
      <c r="G395">
        <v>95</v>
      </c>
      <c r="H395">
        <v>0.997</v>
      </c>
      <c r="I395">
        <v>3.16</v>
      </c>
      <c r="J395">
        <v>0.54</v>
      </c>
      <c r="K395">
        <v>9.1</v>
      </c>
      <c r="L395">
        <v>5</v>
      </c>
      <c r="M395" t="str">
        <f t="shared" si="48"/>
        <v>Medium</v>
      </c>
      <c r="N395">
        <f>(winequality_red[[#This Row],[Updated Quality &amp; Alcohol Analysis]]+winequality_red[[#This Row],[volatile acidity]]+winequality_red[[#This Row],[citric acid]])</f>
        <v>9.6750000000000007</v>
      </c>
      <c r="O395">
        <f t="shared" si="49"/>
        <v>3.9461538461538465E-2</v>
      </c>
      <c r="S395" t="e">
        <f t="shared" si="50"/>
        <v>#N/A</v>
      </c>
      <c r="T395" t="e">
        <f t="shared" si="51"/>
        <v>#N/A</v>
      </c>
      <c r="U395">
        <f t="shared" si="52"/>
        <v>9.1</v>
      </c>
      <c r="V395">
        <f t="shared" si="53"/>
        <v>5</v>
      </c>
      <c r="W395" t="e">
        <f t="shared" si="54"/>
        <v>#N/A</v>
      </c>
      <c r="X395" t="e">
        <f t="shared" si="55"/>
        <v>#N/A</v>
      </c>
    </row>
    <row r="396" spans="1:24" x14ac:dyDescent="0.3">
      <c r="A396">
        <v>12.7</v>
      </c>
      <c r="B396">
        <v>0.6</v>
      </c>
      <c r="C396">
        <v>0.65</v>
      </c>
      <c r="D396">
        <v>2.2999999999999998</v>
      </c>
      <c r="E396">
        <v>6.3E-2</v>
      </c>
      <c r="F396">
        <v>6</v>
      </c>
      <c r="G396">
        <v>25</v>
      </c>
      <c r="H396">
        <v>0.99970000000000003</v>
      </c>
      <c r="I396">
        <v>3.03</v>
      </c>
      <c r="J396">
        <v>0.56999999999999995</v>
      </c>
      <c r="K396">
        <v>9.9</v>
      </c>
      <c r="L396">
        <v>5</v>
      </c>
      <c r="M396" t="str">
        <f t="shared" si="48"/>
        <v>Medium</v>
      </c>
      <c r="N396">
        <f>(winequality_red[[#This Row],[Updated Quality &amp; Alcohol Analysis]]+winequality_red[[#This Row],[volatile acidity]]+winequality_red[[#This Row],[citric acid]])</f>
        <v>13.95</v>
      </c>
      <c r="O396">
        <f t="shared" si="49"/>
        <v>3.4545454545454539E-2</v>
      </c>
      <c r="S396" t="e">
        <f t="shared" si="50"/>
        <v>#N/A</v>
      </c>
      <c r="T396" t="e">
        <f t="shared" si="51"/>
        <v>#N/A</v>
      </c>
      <c r="U396">
        <f t="shared" si="52"/>
        <v>9.9</v>
      </c>
      <c r="V396">
        <f t="shared" si="53"/>
        <v>5</v>
      </c>
      <c r="W396" t="e">
        <f t="shared" si="54"/>
        <v>#N/A</v>
      </c>
      <c r="X396" t="e">
        <f t="shared" si="55"/>
        <v>#N/A</v>
      </c>
    </row>
    <row r="397" spans="1:24" x14ac:dyDescent="0.3">
      <c r="A397">
        <v>12</v>
      </c>
      <c r="B397">
        <v>0.37</v>
      </c>
      <c r="C397">
        <v>0.76</v>
      </c>
      <c r="D397">
        <v>4.2</v>
      </c>
      <c r="E397">
        <v>6.6000000000000003E-2</v>
      </c>
      <c r="F397">
        <v>7</v>
      </c>
      <c r="G397">
        <v>38</v>
      </c>
      <c r="H397">
        <v>1.0004</v>
      </c>
      <c r="I397">
        <v>3.22</v>
      </c>
      <c r="J397">
        <v>0.6</v>
      </c>
      <c r="K397">
        <v>13</v>
      </c>
      <c r="L397">
        <v>7</v>
      </c>
      <c r="M397" t="str">
        <f t="shared" si="48"/>
        <v>High</v>
      </c>
      <c r="N397">
        <f>(winequality_red[[#This Row],[Updated Quality &amp; Alcohol Analysis]]+winequality_red[[#This Row],[volatile acidity]]+winequality_red[[#This Row],[citric acid]])</f>
        <v>13.129999999999999</v>
      </c>
      <c r="O397">
        <f t="shared" si="49"/>
        <v>1.7076923076923076E-2</v>
      </c>
      <c r="S397" t="e">
        <f t="shared" si="50"/>
        <v>#N/A</v>
      </c>
      <c r="T397" t="e">
        <f t="shared" si="51"/>
        <v>#N/A</v>
      </c>
      <c r="U397" t="e">
        <f t="shared" si="52"/>
        <v>#N/A</v>
      </c>
      <c r="V397" t="e">
        <f t="shared" si="53"/>
        <v>#N/A</v>
      </c>
      <c r="W397">
        <f t="shared" si="54"/>
        <v>13</v>
      </c>
      <c r="X397">
        <f t="shared" si="55"/>
        <v>7</v>
      </c>
    </row>
    <row r="398" spans="1:24" x14ac:dyDescent="0.3">
      <c r="A398">
        <v>6.6</v>
      </c>
      <c r="B398">
        <v>0.73499999999999999</v>
      </c>
      <c r="C398">
        <v>0.02</v>
      </c>
      <c r="D398">
        <v>7.9</v>
      </c>
      <c r="E398">
        <v>0.122</v>
      </c>
      <c r="F398">
        <v>68</v>
      </c>
      <c r="G398">
        <v>124</v>
      </c>
      <c r="H398">
        <v>0.99939999999999996</v>
      </c>
      <c r="I398">
        <v>3.47</v>
      </c>
      <c r="J398">
        <v>0.53</v>
      </c>
      <c r="K398">
        <v>9.9</v>
      </c>
      <c r="L398">
        <v>5</v>
      </c>
      <c r="M398" t="str">
        <f t="shared" si="48"/>
        <v>Medium</v>
      </c>
      <c r="N398">
        <f>(winequality_red[[#This Row],[Updated Quality &amp; Alcohol Analysis]]+winequality_red[[#This Row],[volatile acidity]]+winequality_red[[#This Row],[citric acid]])</f>
        <v>7.3549999999999995</v>
      </c>
      <c r="O398">
        <f t="shared" si="49"/>
        <v>3.9348484848484848E-2</v>
      </c>
      <c r="S398" t="e">
        <f t="shared" si="50"/>
        <v>#N/A</v>
      </c>
      <c r="T398" t="e">
        <f t="shared" si="51"/>
        <v>#N/A</v>
      </c>
      <c r="U398">
        <f t="shared" si="52"/>
        <v>9.9</v>
      </c>
      <c r="V398">
        <f t="shared" si="53"/>
        <v>5</v>
      </c>
      <c r="W398" t="e">
        <f t="shared" si="54"/>
        <v>#N/A</v>
      </c>
      <c r="X398" t="e">
        <f t="shared" si="55"/>
        <v>#N/A</v>
      </c>
    </row>
    <row r="399" spans="1:24" x14ac:dyDescent="0.3">
      <c r="A399">
        <v>11.5</v>
      </c>
      <c r="B399">
        <v>0.59</v>
      </c>
      <c r="C399">
        <v>0.59</v>
      </c>
      <c r="D399">
        <v>2.6</v>
      </c>
      <c r="E399">
        <v>8.6999999999999994E-2</v>
      </c>
      <c r="F399">
        <v>13</v>
      </c>
      <c r="G399">
        <v>49</v>
      </c>
      <c r="H399">
        <v>0.99880000000000002</v>
      </c>
      <c r="I399">
        <v>3.18</v>
      </c>
      <c r="J399">
        <v>0.65</v>
      </c>
      <c r="K399">
        <v>11</v>
      </c>
      <c r="L399">
        <v>6</v>
      </c>
      <c r="M399" t="str">
        <f t="shared" si="48"/>
        <v>Medium</v>
      </c>
      <c r="N399">
        <f>(winequality_red[[#This Row],[Updated Quality &amp; Alcohol Analysis]]+winequality_red[[#This Row],[volatile acidity]]+winequality_red[[#This Row],[citric acid]])</f>
        <v>12.68</v>
      </c>
      <c r="O399">
        <f t="shared" si="49"/>
        <v>3.4863636363636367E-2</v>
      </c>
      <c r="S399" t="e">
        <f t="shared" si="50"/>
        <v>#N/A</v>
      </c>
      <c r="T399" t="e">
        <f t="shared" si="51"/>
        <v>#N/A</v>
      </c>
      <c r="U399">
        <f t="shared" si="52"/>
        <v>11</v>
      </c>
      <c r="V399">
        <f t="shared" si="53"/>
        <v>6</v>
      </c>
      <c r="W399" t="e">
        <f t="shared" si="54"/>
        <v>#N/A</v>
      </c>
      <c r="X399" t="e">
        <f t="shared" si="55"/>
        <v>#N/A</v>
      </c>
    </row>
    <row r="400" spans="1:24" x14ac:dyDescent="0.3">
      <c r="A400">
        <v>11.5</v>
      </c>
      <c r="B400">
        <v>0.59</v>
      </c>
      <c r="C400">
        <v>0.59</v>
      </c>
      <c r="D400">
        <v>2.6</v>
      </c>
      <c r="E400">
        <v>8.6999999999999994E-2</v>
      </c>
      <c r="F400">
        <v>13</v>
      </c>
      <c r="G400">
        <v>49</v>
      </c>
      <c r="H400">
        <v>0.99880000000000002</v>
      </c>
      <c r="I400">
        <v>3.18</v>
      </c>
      <c r="J400">
        <v>0.65</v>
      </c>
      <c r="K400">
        <v>11</v>
      </c>
      <c r="L400">
        <v>6</v>
      </c>
      <c r="M400" t="str">
        <f t="shared" si="48"/>
        <v>Medium</v>
      </c>
      <c r="N400">
        <f>(winequality_red[[#This Row],[Updated Quality &amp; Alcohol Analysis]]+winequality_red[[#This Row],[volatile acidity]]+winequality_red[[#This Row],[citric acid]])</f>
        <v>12.68</v>
      </c>
      <c r="O400">
        <f t="shared" si="49"/>
        <v>3.4863636363636367E-2</v>
      </c>
      <c r="S400" t="e">
        <f t="shared" si="50"/>
        <v>#N/A</v>
      </c>
      <c r="T400" t="e">
        <f t="shared" si="51"/>
        <v>#N/A</v>
      </c>
      <c r="U400">
        <f t="shared" si="52"/>
        <v>11</v>
      </c>
      <c r="V400">
        <f t="shared" si="53"/>
        <v>6</v>
      </c>
      <c r="W400" t="e">
        <f t="shared" si="54"/>
        <v>#N/A</v>
      </c>
      <c r="X400" t="e">
        <f t="shared" si="55"/>
        <v>#N/A</v>
      </c>
    </row>
    <row r="401" spans="1:24" x14ac:dyDescent="0.3">
      <c r="A401">
        <v>8.6999999999999993</v>
      </c>
      <c r="B401">
        <v>0.76500000000000001</v>
      </c>
      <c r="C401">
        <v>0.22</v>
      </c>
      <c r="D401">
        <v>2.2999999999999998</v>
      </c>
      <c r="E401">
        <v>6.4000000000000001E-2</v>
      </c>
      <c r="F401">
        <v>9</v>
      </c>
      <c r="G401">
        <v>42</v>
      </c>
      <c r="H401">
        <v>0.99629999999999996</v>
      </c>
      <c r="I401">
        <v>3.1</v>
      </c>
      <c r="J401">
        <v>0.55000000000000004</v>
      </c>
      <c r="K401">
        <v>9.4</v>
      </c>
      <c r="L401">
        <v>5</v>
      </c>
      <c r="M401" t="str">
        <f t="shared" si="48"/>
        <v>Medium</v>
      </c>
      <c r="N401">
        <f>(winequality_red[[#This Row],[Updated Quality &amp; Alcohol Analysis]]+winequality_red[[#This Row],[volatile acidity]]+winequality_red[[#This Row],[citric acid]])</f>
        <v>9.6850000000000005</v>
      </c>
      <c r="O401">
        <f t="shared" si="49"/>
        <v>4.4760638297872343E-2</v>
      </c>
      <c r="S401" t="e">
        <f t="shared" si="50"/>
        <v>#N/A</v>
      </c>
      <c r="T401" t="e">
        <f t="shared" si="51"/>
        <v>#N/A</v>
      </c>
      <c r="U401">
        <f t="shared" si="52"/>
        <v>9.4</v>
      </c>
      <c r="V401">
        <f t="shared" si="53"/>
        <v>5</v>
      </c>
      <c r="W401" t="e">
        <f t="shared" si="54"/>
        <v>#N/A</v>
      </c>
      <c r="X401" t="e">
        <f t="shared" si="55"/>
        <v>#N/A</v>
      </c>
    </row>
    <row r="402" spans="1:24" x14ac:dyDescent="0.3">
      <c r="A402">
        <v>6.6</v>
      </c>
      <c r="B402">
        <v>0.73499999999999999</v>
      </c>
      <c r="C402">
        <v>0.02</v>
      </c>
      <c r="D402">
        <v>7.9</v>
      </c>
      <c r="E402">
        <v>0.122</v>
      </c>
      <c r="F402">
        <v>68</v>
      </c>
      <c r="G402">
        <v>124</v>
      </c>
      <c r="H402">
        <v>0.99939999999999996</v>
      </c>
      <c r="I402">
        <v>3.47</v>
      </c>
      <c r="J402">
        <v>0.53</v>
      </c>
      <c r="K402">
        <v>9.9</v>
      </c>
      <c r="L402">
        <v>5</v>
      </c>
      <c r="M402" t="str">
        <f t="shared" si="48"/>
        <v>Medium</v>
      </c>
      <c r="N402">
        <f>(winequality_red[[#This Row],[Updated Quality &amp; Alcohol Analysis]]+winequality_red[[#This Row],[volatile acidity]]+winequality_red[[#This Row],[citric acid]])</f>
        <v>7.3549999999999995</v>
      </c>
      <c r="O402">
        <f t="shared" si="49"/>
        <v>3.9348484848484848E-2</v>
      </c>
      <c r="S402" t="e">
        <f t="shared" si="50"/>
        <v>#N/A</v>
      </c>
      <c r="T402" t="e">
        <f t="shared" si="51"/>
        <v>#N/A</v>
      </c>
      <c r="U402">
        <f t="shared" si="52"/>
        <v>9.9</v>
      </c>
      <c r="V402">
        <f t="shared" si="53"/>
        <v>5</v>
      </c>
      <c r="W402" t="e">
        <f t="shared" si="54"/>
        <v>#N/A</v>
      </c>
      <c r="X402" t="e">
        <f t="shared" si="55"/>
        <v>#N/A</v>
      </c>
    </row>
    <row r="403" spans="1:24" x14ac:dyDescent="0.3">
      <c r="A403">
        <v>7.7</v>
      </c>
      <c r="B403">
        <v>0.26</v>
      </c>
      <c r="C403">
        <v>0.3</v>
      </c>
      <c r="D403">
        <v>1.7</v>
      </c>
      <c r="E403">
        <v>5.9000000000000004E-2</v>
      </c>
      <c r="F403">
        <v>20</v>
      </c>
      <c r="G403">
        <v>38</v>
      </c>
      <c r="H403">
        <v>0.99490000000000001</v>
      </c>
      <c r="I403">
        <v>3.29</v>
      </c>
      <c r="J403">
        <v>0.47</v>
      </c>
      <c r="K403">
        <v>10.8</v>
      </c>
      <c r="L403">
        <v>6</v>
      </c>
      <c r="M403" t="str">
        <f t="shared" si="48"/>
        <v>Medium</v>
      </c>
      <c r="N403">
        <f>(winequality_red[[#This Row],[Updated Quality &amp; Alcohol Analysis]]+winequality_red[[#This Row],[volatile acidity]]+winequality_red[[#This Row],[citric acid]])</f>
        <v>8.26</v>
      </c>
      <c r="O403">
        <f t="shared" si="49"/>
        <v>1.1314814814814814E-2</v>
      </c>
      <c r="S403" t="e">
        <f t="shared" si="50"/>
        <v>#N/A</v>
      </c>
      <c r="T403" t="e">
        <f t="shared" si="51"/>
        <v>#N/A</v>
      </c>
      <c r="U403">
        <f t="shared" si="52"/>
        <v>10.8</v>
      </c>
      <c r="V403">
        <f t="shared" si="53"/>
        <v>6</v>
      </c>
      <c r="W403" t="e">
        <f t="shared" si="54"/>
        <v>#N/A</v>
      </c>
      <c r="X403" t="e">
        <f t="shared" si="55"/>
        <v>#N/A</v>
      </c>
    </row>
    <row r="404" spans="1:24" x14ac:dyDescent="0.3">
      <c r="A404">
        <v>12.2</v>
      </c>
      <c r="B404">
        <v>0.48</v>
      </c>
      <c r="C404">
        <v>0.54</v>
      </c>
      <c r="D404">
        <v>2.6</v>
      </c>
      <c r="E404">
        <v>8.5000000000000006E-2</v>
      </c>
      <c r="F404">
        <v>19</v>
      </c>
      <c r="G404">
        <v>64</v>
      </c>
      <c r="H404">
        <v>1</v>
      </c>
      <c r="I404">
        <v>3.1</v>
      </c>
      <c r="J404">
        <v>0.61</v>
      </c>
      <c r="K404">
        <v>10.5</v>
      </c>
      <c r="L404">
        <v>6</v>
      </c>
      <c r="M404" t="str">
        <f t="shared" si="48"/>
        <v>Medium</v>
      </c>
      <c r="N404">
        <f>(winequality_red[[#This Row],[Updated Quality &amp; Alcohol Analysis]]+winequality_red[[#This Row],[volatile acidity]]+winequality_red[[#This Row],[citric acid]])</f>
        <v>13.219999999999999</v>
      </c>
      <c r="O404">
        <f t="shared" si="49"/>
        <v>2.7885714285714285E-2</v>
      </c>
      <c r="S404" t="e">
        <f t="shared" si="50"/>
        <v>#N/A</v>
      </c>
      <c r="T404" t="e">
        <f t="shared" si="51"/>
        <v>#N/A</v>
      </c>
      <c r="U404">
        <f t="shared" si="52"/>
        <v>10.5</v>
      </c>
      <c r="V404">
        <f t="shared" si="53"/>
        <v>6</v>
      </c>
      <c r="W404" t="e">
        <f t="shared" si="54"/>
        <v>#N/A</v>
      </c>
      <c r="X404" t="e">
        <f t="shared" si="55"/>
        <v>#N/A</v>
      </c>
    </row>
    <row r="405" spans="1:24" x14ac:dyDescent="0.3">
      <c r="A405">
        <v>11.4</v>
      </c>
      <c r="B405">
        <v>0.6</v>
      </c>
      <c r="C405">
        <v>0.49</v>
      </c>
      <c r="D405">
        <v>2.7</v>
      </c>
      <c r="E405">
        <v>8.5000000000000006E-2</v>
      </c>
      <c r="F405">
        <v>10</v>
      </c>
      <c r="G405">
        <v>41</v>
      </c>
      <c r="H405">
        <v>0.99939999999999996</v>
      </c>
      <c r="I405">
        <v>3.15</v>
      </c>
      <c r="J405">
        <v>0.63</v>
      </c>
      <c r="K405">
        <v>10.5</v>
      </c>
      <c r="L405">
        <v>6</v>
      </c>
      <c r="M405" t="str">
        <f t="shared" si="48"/>
        <v>Medium</v>
      </c>
      <c r="N405">
        <f>(winequality_red[[#This Row],[Updated Quality &amp; Alcohol Analysis]]+winequality_red[[#This Row],[volatile acidity]]+winequality_red[[#This Row],[citric acid]])</f>
        <v>12.49</v>
      </c>
      <c r="O405">
        <f t="shared" si="49"/>
        <v>3.5999999999999997E-2</v>
      </c>
      <c r="S405" t="e">
        <f t="shared" si="50"/>
        <v>#N/A</v>
      </c>
      <c r="T405" t="e">
        <f t="shared" si="51"/>
        <v>#N/A</v>
      </c>
      <c r="U405">
        <f t="shared" si="52"/>
        <v>10.5</v>
      </c>
      <c r="V405">
        <f t="shared" si="53"/>
        <v>6</v>
      </c>
      <c r="W405" t="e">
        <f t="shared" si="54"/>
        <v>#N/A</v>
      </c>
      <c r="X405" t="e">
        <f t="shared" si="55"/>
        <v>#N/A</v>
      </c>
    </row>
    <row r="406" spans="1:24" x14ac:dyDescent="0.3">
      <c r="A406">
        <v>7.7</v>
      </c>
      <c r="B406">
        <v>0.69</v>
      </c>
      <c r="C406">
        <v>0.05</v>
      </c>
      <c r="D406">
        <v>2.7</v>
      </c>
      <c r="E406">
        <v>7.4999999999999997E-2</v>
      </c>
      <c r="F406">
        <v>15</v>
      </c>
      <c r="G406">
        <v>27</v>
      </c>
      <c r="H406">
        <v>0.99739999999999995</v>
      </c>
      <c r="I406">
        <v>3.26</v>
      </c>
      <c r="J406">
        <v>0.61</v>
      </c>
      <c r="K406">
        <v>9.1</v>
      </c>
      <c r="L406">
        <v>5</v>
      </c>
      <c r="M406" t="str">
        <f t="shared" si="48"/>
        <v>Medium</v>
      </c>
      <c r="N406">
        <f>(winequality_red[[#This Row],[Updated Quality &amp; Alcohol Analysis]]+winequality_red[[#This Row],[volatile acidity]]+winequality_red[[#This Row],[citric acid]])</f>
        <v>8.4400000000000013</v>
      </c>
      <c r="O406">
        <f t="shared" si="49"/>
        <v>4.6252747252747251E-2</v>
      </c>
      <c r="S406" t="e">
        <f t="shared" si="50"/>
        <v>#N/A</v>
      </c>
      <c r="T406" t="e">
        <f t="shared" si="51"/>
        <v>#N/A</v>
      </c>
      <c r="U406">
        <f t="shared" si="52"/>
        <v>9.1</v>
      </c>
      <c r="V406">
        <f t="shared" si="53"/>
        <v>5</v>
      </c>
      <c r="W406" t="e">
        <f t="shared" si="54"/>
        <v>#N/A</v>
      </c>
      <c r="X406" t="e">
        <f t="shared" si="55"/>
        <v>#N/A</v>
      </c>
    </row>
    <row r="407" spans="1:24" x14ac:dyDescent="0.3">
      <c r="A407">
        <v>8.6999999999999993</v>
      </c>
      <c r="B407">
        <v>0.31</v>
      </c>
      <c r="C407">
        <v>0.46</v>
      </c>
      <c r="D407">
        <v>1.4</v>
      </c>
      <c r="E407">
        <v>5.9000000000000004E-2</v>
      </c>
      <c r="F407">
        <v>11</v>
      </c>
      <c r="G407">
        <v>25</v>
      </c>
      <c r="H407">
        <v>0.99660000000000004</v>
      </c>
      <c r="I407">
        <v>3.36</v>
      </c>
      <c r="J407">
        <v>0.76</v>
      </c>
      <c r="K407">
        <v>10.1</v>
      </c>
      <c r="L407">
        <v>6</v>
      </c>
      <c r="M407" t="str">
        <f t="shared" si="48"/>
        <v>Medium</v>
      </c>
      <c r="N407">
        <f>(winequality_red[[#This Row],[Updated Quality &amp; Alcohol Analysis]]+winequality_red[[#This Row],[volatile acidity]]+winequality_red[[#This Row],[citric acid]])</f>
        <v>9.4700000000000006</v>
      </c>
      <c r="O407">
        <f t="shared" si="49"/>
        <v>2.3326732673267327E-2</v>
      </c>
      <c r="S407" t="e">
        <f t="shared" si="50"/>
        <v>#N/A</v>
      </c>
      <c r="T407" t="e">
        <f t="shared" si="51"/>
        <v>#N/A</v>
      </c>
      <c r="U407">
        <f t="shared" si="52"/>
        <v>10.1</v>
      </c>
      <c r="V407">
        <f t="shared" si="53"/>
        <v>6</v>
      </c>
      <c r="W407" t="e">
        <f t="shared" si="54"/>
        <v>#N/A</v>
      </c>
      <c r="X407" t="e">
        <f t="shared" si="55"/>
        <v>#N/A</v>
      </c>
    </row>
    <row r="408" spans="1:24" x14ac:dyDescent="0.3">
      <c r="A408">
        <v>9.8000000000000007</v>
      </c>
      <c r="B408">
        <v>0.44</v>
      </c>
      <c r="C408">
        <v>0.47</v>
      </c>
      <c r="D408">
        <v>2.5</v>
      </c>
      <c r="E408">
        <v>6.3E-2</v>
      </c>
      <c r="F408">
        <v>9</v>
      </c>
      <c r="G408">
        <v>28</v>
      </c>
      <c r="H408">
        <v>0.99809999999999999</v>
      </c>
      <c r="I408">
        <v>3.24</v>
      </c>
      <c r="J408">
        <v>0.65</v>
      </c>
      <c r="K408">
        <v>10.8</v>
      </c>
      <c r="L408">
        <v>6</v>
      </c>
      <c r="M408" t="str">
        <f t="shared" si="48"/>
        <v>Medium</v>
      </c>
      <c r="N408">
        <f>(winequality_red[[#This Row],[Updated Quality &amp; Alcohol Analysis]]+winequality_red[[#This Row],[volatile acidity]]+winequality_red[[#This Row],[citric acid]])</f>
        <v>10.71</v>
      </c>
      <c r="O408">
        <f t="shared" si="49"/>
        <v>2.6481481481481484E-2</v>
      </c>
      <c r="S408" t="e">
        <f t="shared" si="50"/>
        <v>#N/A</v>
      </c>
      <c r="T408" t="e">
        <f t="shared" si="51"/>
        <v>#N/A</v>
      </c>
      <c r="U408">
        <f t="shared" si="52"/>
        <v>10.8</v>
      </c>
      <c r="V408">
        <f t="shared" si="53"/>
        <v>6</v>
      </c>
      <c r="W408" t="e">
        <f t="shared" si="54"/>
        <v>#N/A</v>
      </c>
      <c r="X408" t="e">
        <f t="shared" si="55"/>
        <v>#N/A</v>
      </c>
    </row>
    <row r="409" spans="1:24" x14ac:dyDescent="0.3">
      <c r="A409">
        <v>12</v>
      </c>
      <c r="B409">
        <v>0.39</v>
      </c>
      <c r="C409">
        <v>0.66</v>
      </c>
      <c r="D409">
        <v>3</v>
      </c>
      <c r="E409">
        <v>9.3000000000000013E-2</v>
      </c>
      <c r="F409">
        <v>12</v>
      </c>
      <c r="G409">
        <v>30</v>
      </c>
      <c r="H409">
        <v>0.99960000000000004</v>
      </c>
      <c r="I409">
        <v>3.18</v>
      </c>
      <c r="J409">
        <v>0.63</v>
      </c>
      <c r="K409">
        <v>10.8</v>
      </c>
      <c r="L409">
        <v>7</v>
      </c>
      <c r="M409" t="str">
        <f t="shared" si="48"/>
        <v>High</v>
      </c>
      <c r="N409">
        <f>(winequality_red[[#This Row],[Updated Quality &amp; Alcohol Analysis]]+winequality_red[[#This Row],[volatile acidity]]+winequality_red[[#This Row],[citric acid]])</f>
        <v>13.05</v>
      </c>
      <c r="O409">
        <f t="shared" si="49"/>
        <v>2.2749999999999999E-2</v>
      </c>
      <c r="S409" t="e">
        <f t="shared" si="50"/>
        <v>#N/A</v>
      </c>
      <c r="T409" t="e">
        <f t="shared" si="51"/>
        <v>#N/A</v>
      </c>
      <c r="U409" t="e">
        <f t="shared" si="52"/>
        <v>#N/A</v>
      </c>
      <c r="V409" t="e">
        <f t="shared" si="53"/>
        <v>#N/A</v>
      </c>
      <c r="W409">
        <f t="shared" si="54"/>
        <v>10.8</v>
      </c>
      <c r="X409">
        <f t="shared" si="55"/>
        <v>7</v>
      </c>
    </row>
    <row r="410" spans="1:24" x14ac:dyDescent="0.3">
      <c r="A410">
        <v>10.4</v>
      </c>
      <c r="B410">
        <v>0.34</v>
      </c>
      <c r="C410">
        <v>0.57999999999999996</v>
      </c>
      <c r="D410">
        <v>3.7</v>
      </c>
      <c r="E410">
        <v>0.17399999999999999</v>
      </c>
      <c r="F410">
        <v>6</v>
      </c>
      <c r="G410">
        <v>16</v>
      </c>
      <c r="H410">
        <v>0.997</v>
      </c>
      <c r="I410">
        <v>3.19</v>
      </c>
      <c r="J410">
        <v>0.7</v>
      </c>
      <c r="K410">
        <v>11.3</v>
      </c>
      <c r="L410">
        <v>6</v>
      </c>
      <c r="M410" t="str">
        <f t="shared" si="48"/>
        <v>Medium</v>
      </c>
      <c r="N410">
        <f>(winequality_red[[#This Row],[Updated Quality &amp; Alcohol Analysis]]+winequality_red[[#This Row],[volatile acidity]]+winequality_red[[#This Row],[citric acid]])</f>
        <v>11.32</v>
      </c>
      <c r="O410">
        <f t="shared" si="49"/>
        <v>2.1061946902654866E-2</v>
      </c>
      <c r="S410" t="e">
        <f t="shared" si="50"/>
        <v>#N/A</v>
      </c>
      <c r="T410" t="e">
        <f t="shared" si="51"/>
        <v>#N/A</v>
      </c>
      <c r="U410">
        <f t="shared" si="52"/>
        <v>11.3</v>
      </c>
      <c r="V410">
        <f t="shared" si="53"/>
        <v>6</v>
      </c>
      <c r="W410" t="e">
        <f t="shared" si="54"/>
        <v>#N/A</v>
      </c>
      <c r="X410" t="e">
        <f t="shared" si="55"/>
        <v>#N/A</v>
      </c>
    </row>
    <row r="411" spans="1:24" x14ac:dyDescent="0.3">
      <c r="A411">
        <v>12.5</v>
      </c>
      <c r="B411">
        <v>0.46</v>
      </c>
      <c r="C411">
        <v>0.49</v>
      </c>
      <c r="D411">
        <v>4.5</v>
      </c>
      <c r="E411">
        <v>7.0000000000000007E-2</v>
      </c>
      <c r="F411">
        <v>26</v>
      </c>
      <c r="G411">
        <v>49</v>
      </c>
      <c r="H411">
        <v>0.99809999999999999</v>
      </c>
      <c r="I411">
        <v>3.05</v>
      </c>
      <c r="J411">
        <v>0.56999999999999995</v>
      </c>
      <c r="K411">
        <v>9.6</v>
      </c>
      <c r="L411">
        <v>4</v>
      </c>
      <c r="M411" t="str">
        <f t="shared" si="48"/>
        <v>Low</v>
      </c>
      <c r="N411">
        <f>(winequality_red[[#This Row],[Updated Quality &amp; Alcohol Analysis]]+winequality_red[[#This Row],[volatile acidity]]+winequality_red[[#This Row],[citric acid]])</f>
        <v>13.450000000000001</v>
      </c>
      <c r="O411">
        <f t="shared" si="49"/>
        <v>2.73125E-2</v>
      </c>
      <c r="S411">
        <f t="shared" si="50"/>
        <v>9.6</v>
      </c>
      <c r="T411">
        <f t="shared" si="51"/>
        <v>4</v>
      </c>
      <c r="U411" t="e">
        <f t="shared" si="52"/>
        <v>#N/A</v>
      </c>
      <c r="V411" t="e">
        <f t="shared" si="53"/>
        <v>#N/A</v>
      </c>
      <c r="W411" t="e">
        <f t="shared" si="54"/>
        <v>#N/A</v>
      </c>
      <c r="X411" t="e">
        <f t="shared" si="55"/>
        <v>#N/A</v>
      </c>
    </row>
    <row r="412" spans="1:24" x14ac:dyDescent="0.3">
      <c r="A412">
        <v>9</v>
      </c>
      <c r="B412">
        <v>0.43</v>
      </c>
      <c r="C412">
        <v>0.34</v>
      </c>
      <c r="D412">
        <v>2.5</v>
      </c>
      <c r="E412">
        <v>0.08</v>
      </c>
      <c r="F412">
        <v>26</v>
      </c>
      <c r="G412">
        <v>86</v>
      </c>
      <c r="H412">
        <v>0.99870000000000003</v>
      </c>
      <c r="I412">
        <v>3.38</v>
      </c>
      <c r="J412">
        <v>0.62</v>
      </c>
      <c r="K412">
        <v>9.5</v>
      </c>
      <c r="L412">
        <v>6</v>
      </c>
      <c r="M412" t="str">
        <f t="shared" si="48"/>
        <v>Medium</v>
      </c>
      <c r="N412">
        <f>(winequality_red[[#This Row],[Updated Quality &amp; Alcohol Analysis]]+winequality_red[[#This Row],[volatile acidity]]+winequality_red[[#This Row],[citric acid]])</f>
        <v>9.77</v>
      </c>
      <c r="O412">
        <f t="shared" si="49"/>
        <v>2.8063157894736842E-2</v>
      </c>
      <c r="S412" t="e">
        <f t="shared" si="50"/>
        <v>#N/A</v>
      </c>
      <c r="T412" t="e">
        <f t="shared" si="51"/>
        <v>#N/A</v>
      </c>
      <c r="U412">
        <f t="shared" si="52"/>
        <v>9.5</v>
      </c>
      <c r="V412">
        <f t="shared" si="53"/>
        <v>6</v>
      </c>
      <c r="W412" t="e">
        <f t="shared" si="54"/>
        <v>#N/A</v>
      </c>
      <c r="X412" t="e">
        <f t="shared" si="55"/>
        <v>#N/A</v>
      </c>
    </row>
    <row r="413" spans="1:24" x14ac:dyDescent="0.3">
      <c r="A413">
        <v>9.1</v>
      </c>
      <c r="B413">
        <v>0.45</v>
      </c>
      <c r="C413">
        <v>0.35</v>
      </c>
      <c r="D413">
        <v>2.4</v>
      </c>
      <c r="E413">
        <v>0.08</v>
      </c>
      <c r="F413">
        <v>23</v>
      </c>
      <c r="G413">
        <v>78</v>
      </c>
      <c r="H413">
        <v>0.99870000000000003</v>
      </c>
      <c r="I413">
        <v>3.38</v>
      </c>
      <c r="J413">
        <v>0.62</v>
      </c>
      <c r="K413">
        <v>9.5</v>
      </c>
      <c r="L413">
        <v>5</v>
      </c>
      <c r="M413" t="str">
        <f t="shared" si="48"/>
        <v>Medium</v>
      </c>
      <c r="N413">
        <f>(winequality_red[[#This Row],[Updated Quality &amp; Alcohol Analysis]]+winequality_red[[#This Row],[volatile acidity]]+winequality_red[[#This Row],[citric acid]])</f>
        <v>9.8999999999999986</v>
      </c>
      <c r="O413">
        <f t="shared" si="49"/>
        <v>2.9368421052631582E-2</v>
      </c>
      <c r="S413" t="e">
        <f t="shared" si="50"/>
        <v>#N/A</v>
      </c>
      <c r="T413" t="e">
        <f t="shared" si="51"/>
        <v>#N/A</v>
      </c>
      <c r="U413">
        <f t="shared" si="52"/>
        <v>9.5</v>
      </c>
      <c r="V413">
        <f t="shared" si="53"/>
        <v>5</v>
      </c>
      <c r="W413" t="e">
        <f t="shared" si="54"/>
        <v>#N/A</v>
      </c>
      <c r="X413" t="e">
        <f t="shared" si="55"/>
        <v>#N/A</v>
      </c>
    </row>
    <row r="414" spans="1:24" x14ac:dyDescent="0.3">
      <c r="A414">
        <v>7.1</v>
      </c>
      <c r="B414">
        <v>0.73499999999999999</v>
      </c>
      <c r="C414">
        <v>0.16</v>
      </c>
      <c r="D414">
        <v>1.9</v>
      </c>
      <c r="E414">
        <v>0.1</v>
      </c>
      <c r="F414">
        <v>15</v>
      </c>
      <c r="G414">
        <v>77</v>
      </c>
      <c r="H414">
        <v>0.99660000000000004</v>
      </c>
      <c r="I414">
        <v>3.27</v>
      </c>
      <c r="J414">
        <v>0.64</v>
      </c>
      <c r="K414">
        <v>9.3000000000000007</v>
      </c>
      <c r="L414">
        <v>5</v>
      </c>
      <c r="M414" t="str">
        <f t="shared" si="48"/>
        <v>Medium</v>
      </c>
      <c r="N414">
        <f>(winequality_red[[#This Row],[Updated Quality &amp; Alcohol Analysis]]+winequality_red[[#This Row],[volatile acidity]]+winequality_red[[#This Row],[citric acid]])</f>
        <v>7.9950000000000001</v>
      </c>
      <c r="O414">
        <f t="shared" si="49"/>
        <v>5.0580645161290315E-2</v>
      </c>
      <c r="S414" t="e">
        <f t="shared" si="50"/>
        <v>#N/A</v>
      </c>
      <c r="T414" t="e">
        <f t="shared" si="51"/>
        <v>#N/A</v>
      </c>
      <c r="U414">
        <f t="shared" si="52"/>
        <v>9.3000000000000007</v>
      </c>
      <c r="V414">
        <f t="shared" si="53"/>
        <v>5</v>
      </c>
      <c r="W414" t="e">
        <f t="shared" si="54"/>
        <v>#N/A</v>
      </c>
      <c r="X414" t="e">
        <f t="shared" si="55"/>
        <v>#N/A</v>
      </c>
    </row>
    <row r="415" spans="1:24" x14ac:dyDescent="0.3">
      <c r="A415">
        <v>9.9</v>
      </c>
      <c r="B415">
        <v>0.4</v>
      </c>
      <c r="C415">
        <v>0.53</v>
      </c>
      <c r="D415">
        <v>6.7</v>
      </c>
      <c r="E415">
        <v>9.6999999999999989E-2</v>
      </c>
      <c r="F415">
        <v>6</v>
      </c>
      <c r="G415">
        <v>19</v>
      </c>
      <c r="H415">
        <v>0.99860000000000004</v>
      </c>
      <c r="I415">
        <v>3.27</v>
      </c>
      <c r="J415">
        <v>0.82</v>
      </c>
      <c r="K415">
        <v>11.7</v>
      </c>
      <c r="L415">
        <v>7</v>
      </c>
      <c r="M415" t="str">
        <f t="shared" si="48"/>
        <v>High</v>
      </c>
      <c r="N415">
        <f>(winequality_red[[#This Row],[Updated Quality &amp; Alcohol Analysis]]+winequality_red[[#This Row],[volatile acidity]]+winequality_red[[#This Row],[citric acid]])</f>
        <v>10.83</v>
      </c>
      <c r="O415">
        <f t="shared" si="49"/>
        <v>2.8034188034188036E-2</v>
      </c>
      <c r="S415" t="e">
        <f t="shared" si="50"/>
        <v>#N/A</v>
      </c>
      <c r="T415" t="e">
        <f t="shared" si="51"/>
        <v>#N/A</v>
      </c>
      <c r="U415" t="e">
        <f t="shared" si="52"/>
        <v>#N/A</v>
      </c>
      <c r="V415" t="e">
        <f t="shared" si="53"/>
        <v>#N/A</v>
      </c>
      <c r="W415">
        <f t="shared" si="54"/>
        <v>11.7</v>
      </c>
      <c r="X415">
        <f t="shared" si="55"/>
        <v>7</v>
      </c>
    </row>
    <row r="416" spans="1:24" x14ac:dyDescent="0.3">
      <c r="A416">
        <v>8.8000000000000007</v>
      </c>
      <c r="B416">
        <v>0.52</v>
      </c>
      <c r="C416">
        <v>0.34</v>
      </c>
      <c r="D416">
        <v>2.7</v>
      </c>
      <c r="E416">
        <v>8.6999999999999994E-2</v>
      </c>
      <c r="F416">
        <v>24</v>
      </c>
      <c r="G416">
        <v>122</v>
      </c>
      <c r="H416">
        <v>0.99819999999999998</v>
      </c>
      <c r="I416">
        <v>3.26</v>
      </c>
      <c r="J416">
        <v>0.61</v>
      </c>
      <c r="K416">
        <v>9.5</v>
      </c>
      <c r="L416">
        <v>5</v>
      </c>
      <c r="M416" t="str">
        <f t="shared" si="48"/>
        <v>Medium</v>
      </c>
      <c r="N416">
        <f>(winequality_red[[#This Row],[Updated Quality &amp; Alcohol Analysis]]+winequality_red[[#This Row],[volatile acidity]]+winequality_red[[#This Row],[citric acid]])</f>
        <v>9.66</v>
      </c>
      <c r="O416">
        <f t="shared" si="49"/>
        <v>3.3389473684210524E-2</v>
      </c>
      <c r="S416" t="e">
        <f t="shared" si="50"/>
        <v>#N/A</v>
      </c>
      <c r="T416" t="e">
        <f t="shared" si="51"/>
        <v>#N/A</v>
      </c>
      <c r="U416">
        <f t="shared" si="52"/>
        <v>9.5</v>
      </c>
      <c r="V416">
        <f t="shared" si="53"/>
        <v>5</v>
      </c>
      <c r="W416" t="e">
        <f t="shared" si="54"/>
        <v>#N/A</v>
      </c>
      <c r="X416" t="e">
        <f t="shared" si="55"/>
        <v>#N/A</v>
      </c>
    </row>
    <row r="417" spans="1:24" x14ac:dyDescent="0.3">
      <c r="A417">
        <v>8.6</v>
      </c>
      <c r="B417">
        <v>0.72499999999999998</v>
      </c>
      <c r="C417">
        <v>0.24</v>
      </c>
      <c r="D417">
        <v>6.6</v>
      </c>
      <c r="E417">
        <v>0.11699999999999999</v>
      </c>
      <c r="F417">
        <v>31</v>
      </c>
      <c r="G417">
        <v>134</v>
      </c>
      <c r="H417">
        <v>1.0014000000000001</v>
      </c>
      <c r="I417">
        <v>3.32</v>
      </c>
      <c r="J417">
        <v>1.07</v>
      </c>
      <c r="K417">
        <v>9.3000000000000007</v>
      </c>
      <c r="L417">
        <v>5</v>
      </c>
      <c r="M417" t="str">
        <f t="shared" si="48"/>
        <v>Medium</v>
      </c>
      <c r="N417">
        <f>(winequality_red[[#This Row],[Updated Quality &amp; Alcohol Analysis]]+winequality_red[[#This Row],[volatile acidity]]+winequality_red[[#This Row],[citric acid]])</f>
        <v>9.5649999999999995</v>
      </c>
      <c r="O417">
        <f t="shared" si="49"/>
        <v>8.3413978494623661E-2</v>
      </c>
      <c r="S417" t="e">
        <f t="shared" si="50"/>
        <v>#N/A</v>
      </c>
      <c r="T417" t="e">
        <f t="shared" si="51"/>
        <v>#N/A</v>
      </c>
      <c r="U417">
        <f t="shared" si="52"/>
        <v>9.3000000000000007</v>
      </c>
      <c r="V417">
        <f t="shared" si="53"/>
        <v>5</v>
      </c>
      <c r="W417" t="e">
        <f t="shared" si="54"/>
        <v>#N/A</v>
      </c>
      <c r="X417" t="e">
        <f t="shared" si="55"/>
        <v>#N/A</v>
      </c>
    </row>
    <row r="418" spans="1:24" x14ac:dyDescent="0.3">
      <c r="A418">
        <v>10.6</v>
      </c>
      <c r="B418">
        <v>0.48</v>
      </c>
      <c r="C418">
        <v>0.64</v>
      </c>
      <c r="D418">
        <v>2.2000000000000002</v>
      </c>
      <c r="E418">
        <v>0.111</v>
      </c>
      <c r="F418">
        <v>6</v>
      </c>
      <c r="G418">
        <v>20</v>
      </c>
      <c r="H418">
        <v>0.997</v>
      </c>
      <c r="I418">
        <v>3.26</v>
      </c>
      <c r="J418">
        <v>0.66</v>
      </c>
      <c r="K418">
        <v>11.7</v>
      </c>
      <c r="L418">
        <v>6</v>
      </c>
      <c r="M418" t="str">
        <f t="shared" si="48"/>
        <v>Medium</v>
      </c>
      <c r="N418">
        <f>(winequality_red[[#This Row],[Updated Quality &amp; Alcohol Analysis]]+winequality_red[[#This Row],[volatile acidity]]+winequality_red[[#This Row],[citric acid]])</f>
        <v>11.72</v>
      </c>
      <c r="O418">
        <f t="shared" si="49"/>
        <v>2.7076923076923082E-2</v>
      </c>
      <c r="S418" t="e">
        <f t="shared" si="50"/>
        <v>#N/A</v>
      </c>
      <c r="T418" t="e">
        <f t="shared" si="51"/>
        <v>#N/A</v>
      </c>
      <c r="U418">
        <f t="shared" si="52"/>
        <v>11.7</v>
      </c>
      <c r="V418">
        <f t="shared" si="53"/>
        <v>6</v>
      </c>
      <c r="W418" t="e">
        <f t="shared" si="54"/>
        <v>#N/A</v>
      </c>
      <c r="X418" t="e">
        <f t="shared" si="55"/>
        <v>#N/A</v>
      </c>
    </row>
    <row r="419" spans="1:24" x14ac:dyDescent="0.3">
      <c r="A419">
        <v>7</v>
      </c>
      <c r="B419">
        <v>0.57999999999999996</v>
      </c>
      <c r="C419">
        <v>0.12</v>
      </c>
      <c r="D419">
        <v>1.9</v>
      </c>
      <c r="E419">
        <v>9.0999999999999998E-2</v>
      </c>
      <c r="F419">
        <v>34</v>
      </c>
      <c r="G419">
        <v>124</v>
      </c>
      <c r="H419">
        <v>0.99560000000000004</v>
      </c>
      <c r="I419">
        <v>3.44</v>
      </c>
      <c r="J419">
        <v>0.48</v>
      </c>
      <c r="K419">
        <v>10.5</v>
      </c>
      <c r="L419">
        <v>5</v>
      </c>
      <c r="M419" t="str">
        <f t="shared" si="48"/>
        <v>Medium</v>
      </c>
      <c r="N419">
        <f>(winequality_red[[#This Row],[Updated Quality &amp; Alcohol Analysis]]+winequality_red[[#This Row],[volatile acidity]]+winequality_red[[#This Row],[citric acid]])</f>
        <v>7.7</v>
      </c>
      <c r="O419">
        <f t="shared" si="49"/>
        <v>2.6514285714285712E-2</v>
      </c>
      <c r="S419" t="e">
        <f t="shared" si="50"/>
        <v>#N/A</v>
      </c>
      <c r="T419" t="e">
        <f t="shared" si="51"/>
        <v>#N/A</v>
      </c>
      <c r="U419">
        <f t="shared" si="52"/>
        <v>10.5</v>
      </c>
      <c r="V419">
        <f t="shared" si="53"/>
        <v>5</v>
      </c>
      <c r="W419" t="e">
        <f t="shared" si="54"/>
        <v>#N/A</v>
      </c>
      <c r="X419" t="e">
        <f t="shared" si="55"/>
        <v>#N/A</v>
      </c>
    </row>
    <row r="420" spans="1:24" x14ac:dyDescent="0.3">
      <c r="A420">
        <v>11.9</v>
      </c>
      <c r="B420">
        <v>0.38</v>
      </c>
      <c r="C420">
        <v>0.51</v>
      </c>
      <c r="D420">
        <v>2</v>
      </c>
      <c r="E420">
        <v>0.121</v>
      </c>
      <c r="F420">
        <v>7</v>
      </c>
      <c r="G420">
        <v>20</v>
      </c>
      <c r="H420">
        <v>0.99960000000000004</v>
      </c>
      <c r="I420">
        <v>3.24</v>
      </c>
      <c r="J420">
        <v>0.76</v>
      </c>
      <c r="K420">
        <v>10.4</v>
      </c>
      <c r="L420">
        <v>6</v>
      </c>
      <c r="M420" t="str">
        <f t="shared" si="48"/>
        <v>Medium</v>
      </c>
      <c r="N420">
        <f>(winequality_red[[#This Row],[Updated Quality &amp; Alcohol Analysis]]+winequality_red[[#This Row],[volatile acidity]]+winequality_red[[#This Row],[citric acid]])</f>
        <v>12.790000000000001</v>
      </c>
      <c r="O420">
        <f t="shared" si="49"/>
        <v>2.7769230769230768E-2</v>
      </c>
      <c r="S420" t="e">
        <f t="shared" si="50"/>
        <v>#N/A</v>
      </c>
      <c r="T420" t="e">
        <f t="shared" si="51"/>
        <v>#N/A</v>
      </c>
      <c r="U420">
        <f t="shared" si="52"/>
        <v>10.4</v>
      </c>
      <c r="V420">
        <f t="shared" si="53"/>
        <v>6</v>
      </c>
      <c r="W420" t="e">
        <f t="shared" si="54"/>
        <v>#N/A</v>
      </c>
      <c r="X420" t="e">
        <f t="shared" si="55"/>
        <v>#N/A</v>
      </c>
    </row>
    <row r="421" spans="1:24" x14ac:dyDescent="0.3">
      <c r="A421">
        <v>6.8</v>
      </c>
      <c r="B421">
        <v>0.77</v>
      </c>
      <c r="C421">
        <v>0</v>
      </c>
      <c r="D421">
        <v>1.8</v>
      </c>
      <c r="E421">
        <v>6.6000000000000003E-2</v>
      </c>
      <c r="F421">
        <v>34</v>
      </c>
      <c r="G421">
        <v>52</v>
      </c>
      <c r="H421">
        <v>0.99760000000000004</v>
      </c>
      <c r="I421">
        <v>3.62</v>
      </c>
      <c r="J421">
        <v>0.68</v>
      </c>
      <c r="K421">
        <v>9.9</v>
      </c>
      <c r="L421">
        <v>5</v>
      </c>
      <c r="M421" t="str">
        <f t="shared" si="48"/>
        <v>Medium</v>
      </c>
      <c r="N421">
        <f>(winequality_red[[#This Row],[Updated Quality &amp; Alcohol Analysis]]+winequality_red[[#This Row],[volatile acidity]]+winequality_red[[#This Row],[citric acid]])</f>
        <v>7.57</v>
      </c>
      <c r="O421">
        <f t="shared" si="49"/>
        <v>5.2888888888888895E-2</v>
      </c>
      <c r="S421" t="e">
        <f t="shared" si="50"/>
        <v>#N/A</v>
      </c>
      <c r="T421" t="e">
        <f t="shared" si="51"/>
        <v>#N/A</v>
      </c>
      <c r="U421">
        <f t="shared" si="52"/>
        <v>9.9</v>
      </c>
      <c r="V421">
        <f t="shared" si="53"/>
        <v>5</v>
      </c>
      <c r="W421" t="e">
        <f t="shared" si="54"/>
        <v>#N/A</v>
      </c>
      <c r="X421" t="e">
        <f t="shared" si="55"/>
        <v>#N/A</v>
      </c>
    </row>
    <row r="422" spans="1:24" x14ac:dyDescent="0.3">
      <c r="A422">
        <v>9.5</v>
      </c>
      <c r="B422">
        <v>0.56000000000000005</v>
      </c>
      <c r="C422">
        <v>0.33</v>
      </c>
      <c r="D422">
        <v>2.4</v>
      </c>
      <c r="E422">
        <v>8.900000000000001E-2</v>
      </c>
      <c r="F422">
        <v>35</v>
      </c>
      <c r="G422">
        <v>67</v>
      </c>
      <c r="H422">
        <v>0.99719999999999998</v>
      </c>
      <c r="I422">
        <v>3.28</v>
      </c>
      <c r="J422">
        <v>0.73</v>
      </c>
      <c r="K422">
        <v>11.8</v>
      </c>
      <c r="L422">
        <v>7</v>
      </c>
      <c r="M422" t="str">
        <f t="shared" si="48"/>
        <v>High</v>
      </c>
      <c r="N422">
        <f>(winequality_red[[#This Row],[Updated Quality &amp; Alcohol Analysis]]+winequality_red[[#This Row],[volatile acidity]]+winequality_red[[#This Row],[citric acid]])</f>
        <v>10.39</v>
      </c>
      <c r="O422">
        <f t="shared" si="49"/>
        <v>3.4644067796610174E-2</v>
      </c>
      <c r="S422" t="e">
        <f t="shared" si="50"/>
        <v>#N/A</v>
      </c>
      <c r="T422" t="e">
        <f t="shared" si="51"/>
        <v>#N/A</v>
      </c>
      <c r="U422" t="e">
        <f t="shared" si="52"/>
        <v>#N/A</v>
      </c>
      <c r="V422" t="e">
        <f t="shared" si="53"/>
        <v>#N/A</v>
      </c>
      <c r="W422">
        <f t="shared" si="54"/>
        <v>11.8</v>
      </c>
      <c r="X422">
        <f t="shared" si="55"/>
        <v>7</v>
      </c>
    </row>
    <row r="423" spans="1:24" x14ac:dyDescent="0.3">
      <c r="A423">
        <v>6.6</v>
      </c>
      <c r="B423">
        <v>0.84</v>
      </c>
      <c r="C423">
        <v>0.03</v>
      </c>
      <c r="D423">
        <v>2.2999999999999998</v>
      </c>
      <c r="E423">
        <v>5.9000000000000004E-2</v>
      </c>
      <c r="F423">
        <v>32</v>
      </c>
      <c r="G423">
        <v>48</v>
      </c>
      <c r="H423">
        <v>0.99519999999999997</v>
      </c>
      <c r="I423">
        <v>3.52</v>
      </c>
      <c r="J423">
        <v>0.56000000000000005</v>
      </c>
      <c r="K423">
        <v>12.3</v>
      </c>
      <c r="L423">
        <v>7</v>
      </c>
      <c r="M423" t="str">
        <f t="shared" si="48"/>
        <v>High</v>
      </c>
      <c r="N423">
        <f>(winequality_red[[#This Row],[Updated Quality &amp; Alcohol Analysis]]+winequality_red[[#This Row],[volatile acidity]]+winequality_red[[#This Row],[citric acid]])</f>
        <v>7.47</v>
      </c>
      <c r="O423">
        <f t="shared" si="49"/>
        <v>3.824390243902439E-2</v>
      </c>
      <c r="S423" t="e">
        <f t="shared" si="50"/>
        <v>#N/A</v>
      </c>
      <c r="T423" t="e">
        <f t="shared" si="51"/>
        <v>#N/A</v>
      </c>
      <c r="U423" t="e">
        <f t="shared" si="52"/>
        <v>#N/A</v>
      </c>
      <c r="V423" t="e">
        <f t="shared" si="53"/>
        <v>#N/A</v>
      </c>
      <c r="W423">
        <f t="shared" si="54"/>
        <v>12.3</v>
      </c>
      <c r="X423">
        <f t="shared" si="55"/>
        <v>7</v>
      </c>
    </row>
    <row r="424" spans="1:24" x14ac:dyDescent="0.3">
      <c r="A424">
        <v>7.7</v>
      </c>
      <c r="B424">
        <v>0.96</v>
      </c>
      <c r="C424">
        <v>0.2</v>
      </c>
      <c r="D424">
        <v>2</v>
      </c>
      <c r="E424">
        <v>4.7E-2</v>
      </c>
      <c r="F424">
        <v>15</v>
      </c>
      <c r="G424">
        <v>60</v>
      </c>
      <c r="H424">
        <v>0.99550000000000005</v>
      </c>
      <c r="I424">
        <v>3.36</v>
      </c>
      <c r="J424">
        <v>0.44</v>
      </c>
      <c r="K424">
        <v>10.9</v>
      </c>
      <c r="L424">
        <v>5</v>
      </c>
      <c r="M424" t="str">
        <f t="shared" si="48"/>
        <v>Medium</v>
      </c>
      <c r="N424">
        <f>(winequality_red[[#This Row],[Updated Quality &amp; Alcohol Analysis]]+winequality_red[[#This Row],[volatile acidity]]+winequality_red[[#This Row],[citric acid]])</f>
        <v>8.86</v>
      </c>
      <c r="O424">
        <f t="shared" si="49"/>
        <v>3.8752293577981649E-2</v>
      </c>
      <c r="S424" t="e">
        <f t="shared" si="50"/>
        <v>#N/A</v>
      </c>
      <c r="T424" t="e">
        <f t="shared" si="51"/>
        <v>#N/A</v>
      </c>
      <c r="U424">
        <f t="shared" si="52"/>
        <v>10.9</v>
      </c>
      <c r="V424">
        <f t="shared" si="53"/>
        <v>5</v>
      </c>
      <c r="W424" t="e">
        <f t="shared" si="54"/>
        <v>#N/A</v>
      </c>
      <c r="X424" t="e">
        <f t="shared" si="55"/>
        <v>#N/A</v>
      </c>
    </row>
    <row r="425" spans="1:24" x14ac:dyDescent="0.3">
      <c r="A425">
        <v>10.5</v>
      </c>
      <c r="B425">
        <v>0.24</v>
      </c>
      <c r="C425">
        <v>0.47</v>
      </c>
      <c r="D425">
        <v>2.1</v>
      </c>
      <c r="E425">
        <v>6.6000000000000003E-2</v>
      </c>
      <c r="F425">
        <v>6</v>
      </c>
      <c r="G425">
        <v>24</v>
      </c>
      <c r="H425">
        <v>0.99780000000000002</v>
      </c>
      <c r="I425">
        <v>3.15</v>
      </c>
      <c r="J425">
        <v>0.9</v>
      </c>
      <c r="K425">
        <v>11</v>
      </c>
      <c r="L425">
        <v>7</v>
      </c>
      <c r="M425" t="str">
        <f t="shared" si="48"/>
        <v>High</v>
      </c>
      <c r="N425">
        <f>(winequality_red[[#This Row],[Updated Quality &amp; Alcohol Analysis]]+winequality_red[[#This Row],[volatile acidity]]+winequality_red[[#This Row],[citric acid]])</f>
        <v>11.21</v>
      </c>
      <c r="O425">
        <f t="shared" si="49"/>
        <v>1.9636363636363636E-2</v>
      </c>
      <c r="S425" t="e">
        <f t="shared" si="50"/>
        <v>#N/A</v>
      </c>
      <c r="T425" t="e">
        <f t="shared" si="51"/>
        <v>#N/A</v>
      </c>
      <c r="U425" t="e">
        <f t="shared" si="52"/>
        <v>#N/A</v>
      </c>
      <c r="V425" t="e">
        <f t="shared" si="53"/>
        <v>#N/A</v>
      </c>
      <c r="W425">
        <f t="shared" si="54"/>
        <v>11</v>
      </c>
      <c r="X425">
        <f t="shared" si="55"/>
        <v>7</v>
      </c>
    </row>
    <row r="426" spans="1:24" x14ac:dyDescent="0.3">
      <c r="A426">
        <v>7.7</v>
      </c>
      <c r="B426">
        <v>0.96</v>
      </c>
      <c r="C426">
        <v>0.2</v>
      </c>
      <c r="D426">
        <v>2</v>
      </c>
      <c r="E426">
        <v>4.7E-2</v>
      </c>
      <c r="F426">
        <v>15</v>
      </c>
      <c r="G426">
        <v>60</v>
      </c>
      <c r="H426">
        <v>0.99550000000000005</v>
      </c>
      <c r="I426">
        <v>3.36</v>
      </c>
      <c r="J426">
        <v>0.44</v>
      </c>
      <c r="K426">
        <v>10.9</v>
      </c>
      <c r="L426">
        <v>5</v>
      </c>
      <c r="M426" t="str">
        <f t="shared" si="48"/>
        <v>Medium</v>
      </c>
      <c r="N426">
        <f>(winequality_red[[#This Row],[Updated Quality &amp; Alcohol Analysis]]+winequality_red[[#This Row],[volatile acidity]]+winequality_red[[#This Row],[citric acid]])</f>
        <v>8.86</v>
      </c>
      <c r="O426">
        <f t="shared" si="49"/>
        <v>3.8752293577981649E-2</v>
      </c>
      <c r="S426" t="e">
        <f t="shared" si="50"/>
        <v>#N/A</v>
      </c>
      <c r="T426" t="e">
        <f t="shared" si="51"/>
        <v>#N/A</v>
      </c>
      <c r="U426">
        <f t="shared" si="52"/>
        <v>10.9</v>
      </c>
      <c r="V426">
        <f t="shared" si="53"/>
        <v>5</v>
      </c>
      <c r="W426" t="e">
        <f t="shared" si="54"/>
        <v>#N/A</v>
      </c>
      <c r="X426" t="e">
        <f t="shared" si="55"/>
        <v>#N/A</v>
      </c>
    </row>
    <row r="427" spans="1:24" x14ac:dyDescent="0.3">
      <c r="A427">
        <v>6.6</v>
      </c>
      <c r="B427">
        <v>0.84</v>
      </c>
      <c r="C427">
        <v>0.03</v>
      </c>
      <c r="D427">
        <v>2.2999999999999998</v>
      </c>
      <c r="E427">
        <v>5.9000000000000004E-2</v>
      </c>
      <c r="F427">
        <v>32</v>
      </c>
      <c r="G427">
        <v>48</v>
      </c>
      <c r="H427">
        <v>0.99519999999999997</v>
      </c>
      <c r="I427">
        <v>3.52</v>
      </c>
      <c r="J427">
        <v>0.56000000000000005</v>
      </c>
      <c r="K427">
        <v>12.3</v>
      </c>
      <c r="L427">
        <v>7</v>
      </c>
      <c r="M427" t="str">
        <f t="shared" si="48"/>
        <v>High</v>
      </c>
      <c r="N427">
        <f>(winequality_red[[#This Row],[Updated Quality &amp; Alcohol Analysis]]+winequality_red[[#This Row],[volatile acidity]]+winequality_red[[#This Row],[citric acid]])</f>
        <v>7.47</v>
      </c>
      <c r="O427">
        <f t="shared" si="49"/>
        <v>3.824390243902439E-2</v>
      </c>
      <c r="S427" t="e">
        <f t="shared" si="50"/>
        <v>#N/A</v>
      </c>
      <c r="T427" t="e">
        <f t="shared" si="51"/>
        <v>#N/A</v>
      </c>
      <c r="U427" t="e">
        <f t="shared" si="52"/>
        <v>#N/A</v>
      </c>
      <c r="V427" t="e">
        <f t="shared" si="53"/>
        <v>#N/A</v>
      </c>
      <c r="W427">
        <f t="shared" si="54"/>
        <v>12.3</v>
      </c>
      <c r="X427">
        <f t="shared" si="55"/>
        <v>7</v>
      </c>
    </row>
    <row r="428" spans="1:24" x14ac:dyDescent="0.3">
      <c r="A428">
        <v>6.4</v>
      </c>
      <c r="B428">
        <v>0.67</v>
      </c>
      <c r="C428">
        <v>0.08</v>
      </c>
      <c r="D428">
        <v>2.1</v>
      </c>
      <c r="E428">
        <v>4.4999999999999998E-2</v>
      </c>
      <c r="F428">
        <v>19</v>
      </c>
      <c r="G428">
        <v>48</v>
      </c>
      <c r="H428">
        <v>0.99490000000000001</v>
      </c>
      <c r="I428">
        <v>3.49</v>
      </c>
      <c r="J428">
        <v>0.49</v>
      </c>
      <c r="K428">
        <v>11.4</v>
      </c>
      <c r="L428">
        <v>6</v>
      </c>
      <c r="M428" t="str">
        <f t="shared" si="48"/>
        <v>Medium</v>
      </c>
      <c r="N428">
        <f>(winequality_red[[#This Row],[Updated Quality &amp; Alcohol Analysis]]+winequality_red[[#This Row],[volatile acidity]]+winequality_red[[#This Row],[citric acid]])</f>
        <v>7.15</v>
      </c>
      <c r="O428">
        <f t="shared" si="49"/>
        <v>2.879824561403509E-2</v>
      </c>
      <c r="S428" t="e">
        <f t="shared" si="50"/>
        <v>#N/A</v>
      </c>
      <c r="T428" t="e">
        <f t="shared" si="51"/>
        <v>#N/A</v>
      </c>
      <c r="U428">
        <f t="shared" si="52"/>
        <v>11.4</v>
      </c>
      <c r="V428">
        <f t="shared" si="53"/>
        <v>6</v>
      </c>
      <c r="W428" t="e">
        <f t="shared" si="54"/>
        <v>#N/A</v>
      </c>
      <c r="X428" t="e">
        <f t="shared" si="55"/>
        <v>#N/A</v>
      </c>
    </row>
    <row r="429" spans="1:24" x14ac:dyDescent="0.3">
      <c r="A429">
        <v>9.5</v>
      </c>
      <c r="B429">
        <v>0.78</v>
      </c>
      <c r="C429">
        <v>0.22</v>
      </c>
      <c r="D429">
        <v>1.9</v>
      </c>
      <c r="E429">
        <v>7.6999999999999999E-2</v>
      </c>
      <c r="F429">
        <v>6</v>
      </c>
      <c r="G429">
        <v>32</v>
      </c>
      <c r="H429">
        <v>0.99880000000000002</v>
      </c>
      <c r="I429">
        <v>3.26</v>
      </c>
      <c r="J429">
        <v>0.56000000000000005</v>
      </c>
      <c r="K429">
        <v>10.6</v>
      </c>
      <c r="L429">
        <v>6</v>
      </c>
      <c r="M429" t="str">
        <f t="shared" si="48"/>
        <v>Medium</v>
      </c>
      <c r="N429">
        <f>(winequality_red[[#This Row],[Updated Quality &amp; Alcohol Analysis]]+winequality_red[[#This Row],[volatile acidity]]+winequality_red[[#This Row],[citric acid]])</f>
        <v>10.5</v>
      </c>
      <c r="O429">
        <f t="shared" si="49"/>
        <v>4.1207547169811329E-2</v>
      </c>
      <c r="S429" t="e">
        <f t="shared" si="50"/>
        <v>#N/A</v>
      </c>
      <c r="T429" t="e">
        <f t="shared" si="51"/>
        <v>#N/A</v>
      </c>
      <c r="U429">
        <f t="shared" si="52"/>
        <v>10.6</v>
      </c>
      <c r="V429">
        <f t="shared" si="53"/>
        <v>6</v>
      </c>
      <c r="W429" t="e">
        <f t="shared" si="54"/>
        <v>#N/A</v>
      </c>
      <c r="X429" t="e">
        <f t="shared" si="55"/>
        <v>#N/A</v>
      </c>
    </row>
    <row r="430" spans="1:24" x14ac:dyDescent="0.3">
      <c r="A430">
        <v>9.1</v>
      </c>
      <c r="B430">
        <v>0.52</v>
      </c>
      <c r="C430">
        <v>0.33</v>
      </c>
      <c r="D430">
        <v>1.3</v>
      </c>
      <c r="E430">
        <v>7.0000000000000007E-2</v>
      </c>
      <c r="F430">
        <v>9</v>
      </c>
      <c r="G430">
        <v>30</v>
      </c>
      <c r="H430">
        <v>0.99780000000000002</v>
      </c>
      <c r="I430">
        <v>3.24</v>
      </c>
      <c r="J430">
        <v>0.6</v>
      </c>
      <c r="K430">
        <v>9.3000000000000007</v>
      </c>
      <c r="L430">
        <v>5</v>
      </c>
      <c r="M430" t="str">
        <f t="shared" si="48"/>
        <v>Medium</v>
      </c>
      <c r="N430">
        <f>(winequality_red[[#This Row],[Updated Quality &amp; Alcohol Analysis]]+winequality_red[[#This Row],[volatile acidity]]+winequality_red[[#This Row],[citric acid]])</f>
        <v>9.9499999999999993</v>
      </c>
      <c r="O430">
        <f t="shared" si="49"/>
        <v>3.3548387096774192E-2</v>
      </c>
      <c r="S430" t="e">
        <f t="shared" si="50"/>
        <v>#N/A</v>
      </c>
      <c r="T430" t="e">
        <f t="shared" si="51"/>
        <v>#N/A</v>
      </c>
      <c r="U430">
        <f t="shared" si="52"/>
        <v>9.3000000000000007</v>
      </c>
      <c r="V430">
        <f t="shared" si="53"/>
        <v>5</v>
      </c>
      <c r="W430" t="e">
        <f t="shared" si="54"/>
        <v>#N/A</v>
      </c>
      <c r="X430" t="e">
        <f t="shared" si="55"/>
        <v>#N/A</v>
      </c>
    </row>
    <row r="431" spans="1:24" x14ac:dyDescent="0.3">
      <c r="A431">
        <v>12.8</v>
      </c>
      <c r="B431">
        <v>0.84</v>
      </c>
      <c r="C431">
        <v>0.63</v>
      </c>
      <c r="D431">
        <v>2.4</v>
      </c>
      <c r="E431">
        <v>8.8000000000000009E-2</v>
      </c>
      <c r="F431">
        <v>13</v>
      </c>
      <c r="G431">
        <v>35</v>
      </c>
      <c r="H431">
        <v>0.99970000000000003</v>
      </c>
      <c r="I431">
        <v>3.1</v>
      </c>
      <c r="J431">
        <v>0.6</v>
      </c>
      <c r="K431">
        <v>10.4</v>
      </c>
      <c r="L431">
        <v>6</v>
      </c>
      <c r="M431" t="str">
        <f t="shared" si="48"/>
        <v>Medium</v>
      </c>
      <c r="N431">
        <f>(winequality_red[[#This Row],[Updated Quality &amp; Alcohol Analysis]]+winequality_red[[#This Row],[volatile acidity]]+winequality_red[[#This Row],[citric acid]])</f>
        <v>14.270000000000001</v>
      </c>
      <c r="O431">
        <f t="shared" si="49"/>
        <v>4.8461538461538459E-2</v>
      </c>
      <c r="S431" t="e">
        <f t="shared" si="50"/>
        <v>#N/A</v>
      </c>
      <c r="T431" t="e">
        <f t="shared" si="51"/>
        <v>#N/A</v>
      </c>
      <c r="U431">
        <f t="shared" si="52"/>
        <v>10.4</v>
      </c>
      <c r="V431">
        <f t="shared" si="53"/>
        <v>6</v>
      </c>
      <c r="W431" t="e">
        <f t="shared" si="54"/>
        <v>#N/A</v>
      </c>
      <c r="X431" t="e">
        <f t="shared" si="55"/>
        <v>#N/A</v>
      </c>
    </row>
    <row r="432" spans="1:24" x14ac:dyDescent="0.3">
      <c r="A432">
        <v>10.5</v>
      </c>
      <c r="B432">
        <v>0.24</v>
      </c>
      <c r="C432">
        <v>0.47</v>
      </c>
      <c r="D432">
        <v>2.1</v>
      </c>
      <c r="E432">
        <v>6.6000000000000003E-2</v>
      </c>
      <c r="F432">
        <v>6</v>
      </c>
      <c r="G432">
        <v>24</v>
      </c>
      <c r="H432">
        <v>0.99780000000000002</v>
      </c>
      <c r="I432">
        <v>3.15</v>
      </c>
      <c r="J432">
        <v>0.9</v>
      </c>
      <c r="K432">
        <v>11</v>
      </c>
      <c r="L432">
        <v>7</v>
      </c>
      <c r="M432" t="str">
        <f t="shared" si="48"/>
        <v>High</v>
      </c>
      <c r="N432">
        <f>(winequality_red[[#This Row],[Updated Quality &amp; Alcohol Analysis]]+winequality_red[[#This Row],[volatile acidity]]+winequality_red[[#This Row],[citric acid]])</f>
        <v>11.21</v>
      </c>
      <c r="O432">
        <f t="shared" si="49"/>
        <v>1.9636363636363636E-2</v>
      </c>
      <c r="S432" t="e">
        <f t="shared" si="50"/>
        <v>#N/A</v>
      </c>
      <c r="T432" t="e">
        <f t="shared" si="51"/>
        <v>#N/A</v>
      </c>
      <c r="U432" t="e">
        <f t="shared" si="52"/>
        <v>#N/A</v>
      </c>
      <c r="V432" t="e">
        <f t="shared" si="53"/>
        <v>#N/A</v>
      </c>
      <c r="W432">
        <f t="shared" si="54"/>
        <v>11</v>
      </c>
      <c r="X432">
        <f t="shared" si="55"/>
        <v>7</v>
      </c>
    </row>
    <row r="433" spans="1:24" x14ac:dyDescent="0.3">
      <c r="A433">
        <v>7.8</v>
      </c>
      <c r="B433">
        <v>0.55000000000000004</v>
      </c>
      <c r="C433">
        <v>0.35</v>
      </c>
      <c r="D433">
        <v>2.2000000000000002</v>
      </c>
      <c r="E433">
        <v>7.400000000000001E-2</v>
      </c>
      <c r="F433">
        <v>21</v>
      </c>
      <c r="G433">
        <v>66</v>
      </c>
      <c r="H433">
        <v>0.99739999999999995</v>
      </c>
      <c r="I433">
        <v>3.25</v>
      </c>
      <c r="J433">
        <v>0.56000000000000005</v>
      </c>
      <c r="K433">
        <v>9.1999999999999993</v>
      </c>
      <c r="L433">
        <v>5</v>
      </c>
      <c r="M433" t="str">
        <f t="shared" si="48"/>
        <v>Medium</v>
      </c>
      <c r="N433">
        <f>(winequality_red[[#This Row],[Updated Quality &amp; Alcohol Analysis]]+winequality_red[[#This Row],[volatile acidity]]+winequality_red[[#This Row],[citric acid]])</f>
        <v>8.6999999999999993</v>
      </c>
      <c r="O433">
        <f t="shared" si="49"/>
        <v>3.3478260869565228E-2</v>
      </c>
      <c r="S433" t="e">
        <f t="shared" si="50"/>
        <v>#N/A</v>
      </c>
      <c r="T433" t="e">
        <f t="shared" si="51"/>
        <v>#N/A</v>
      </c>
      <c r="U433">
        <f t="shared" si="52"/>
        <v>9.1999999999999993</v>
      </c>
      <c r="V433">
        <f t="shared" si="53"/>
        <v>5</v>
      </c>
      <c r="W433" t="e">
        <f t="shared" si="54"/>
        <v>#N/A</v>
      </c>
      <c r="X433" t="e">
        <f t="shared" si="55"/>
        <v>#N/A</v>
      </c>
    </row>
    <row r="434" spans="1:24" x14ac:dyDescent="0.3">
      <c r="A434">
        <v>11.9</v>
      </c>
      <c r="B434">
        <v>0.37</v>
      </c>
      <c r="C434">
        <v>0.69</v>
      </c>
      <c r="D434">
        <v>2.2999999999999998</v>
      </c>
      <c r="E434">
        <v>7.8E-2</v>
      </c>
      <c r="F434">
        <v>12</v>
      </c>
      <c r="G434">
        <v>24</v>
      </c>
      <c r="H434">
        <v>0.99580000000000002</v>
      </c>
      <c r="I434">
        <v>3</v>
      </c>
      <c r="J434">
        <v>0.65</v>
      </c>
      <c r="K434">
        <v>12.8</v>
      </c>
      <c r="L434">
        <v>6</v>
      </c>
      <c r="M434" t="str">
        <f t="shared" si="48"/>
        <v>Medium</v>
      </c>
      <c r="N434">
        <f>(winequality_red[[#This Row],[Updated Quality &amp; Alcohol Analysis]]+winequality_red[[#This Row],[volatile acidity]]+winequality_red[[#This Row],[citric acid]])</f>
        <v>12.959999999999999</v>
      </c>
      <c r="O434">
        <f t="shared" si="49"/>
        <v>1.8789062499999998E-2</v>
      </c>
      <c r="S434" t="e">
        <f t="shared" si="50"/>
        <v>#N/A</v>
      </c>
      <c r="T434" t="e">
        <f t="shared" si="51"/>
        <v>#N/A</v>
      </c>
      <c r="U434">
        <f t="shared" si="52"/>
        <v>12.8</v>
      </c>
      <c r="V434">
        <f t="shared" si="53"/>
        <v>6</v>
      </c>
      <c r="W434" t="e">
        <f t="shared" si="54"/>
        <v>#N/A</v>
      </c>
      <c r="X434" t="e">
        <f t="shared" si="55"/>
        <v>#N/A</v>
      </c>
    </row>
    <row r="435" spans="1:24" x14ac:dyDescent="0.3">
      <c r="A435">
        <v>12.3</v>
      </c>
      <c r="B435">
        <v>0.39</v>
      </c>
      <c r="C435">
        <v>0.63</v>
      </c>
      <c r="D435">
        <v>2.2999999999999998</v>
      </c>
      <c r="E435">
        <v>9.0999999999999998E-2</v>
      </c>
      <c r="F435">
        <v>6</v>
      </c>
      <c r="G435">
        <v>18</v>
      </c>
      <c r="H435">
        <v>1.0004</v>
      </c>
      <c r="I435">
        <v>3.16</v>
      </c>
      <c r="J435">
        <v>0.49</v>
      </c>
      <c r="K435">
        <v>9.5</v>
      </c>
      <c r="L435">
        <v>5</v>
      </c>
      <c r="M435" t="str">
        <f t="shared" si="48"/>
        <v>Medium</v>
      </c>
      <c r="N435">
        <f>(winequality_red[[#This Row],[Updated Quality &amp; Alcohol Analysis]]+winequality_red[[#This Row],[volatile acidity]]+winequality_red[[#This Row],[citric acid]])</f>
        <v>13.320000000000002</v>
      </c>
      <c r="O435">
        <f t="shared" si="49"/>
        <v>2.0115789473684208E-2</v>
      </c>
      <c r="S435" t="e">
        <f t="shared" si="50"/>
        <v>#N/A</v>
      </c>
      <c r="T435" t="e">
        <f t="shared" si="51"/>
        <v>#N/A</v>
      </c>
      <c r="U435">
        <f t="shared" si="52"/>
        <v>9.5</v>
      </c>
      <c r="V435">
        <f t="shared" si="53"/>
        <v>5</v>
      </c>
      <c r="W435" t="e">
        <f t="shared" si="54"/>
        <v>#N/A</v>
      </c>
      <c r="X435" t="e">
        <f t="shared" si="55"/>
        <v>#N/A</v>
      </c>
    </row>
    <row r="436" spans="1:24" x14ac:dyDescent="0.3">
      <c r="A436">
        <v>10.4</v>
      </c>
      <c r="B436">
        <v>0.41</v>
      </c>
      <c r="C436">
        <v>0.55000000000000004</v>
      </c>
      <c r="D436">
        <v>3.2</v>
      </c>
      <c r="E436">
        <v>7.5999999999999998E-2</v>
      </c>
      <c r="F436">
        <v>22</v>
      </c>
      <c r="G436">
        <v>54</v>
      </c>
      <c r="H436">
        <v>0.99960000000000004</v>
      </c>
      <c r="I436">
        <v>3.15</v>
      </c>
      <c r="J436">
        <v>0.89</v>
      </c>
      <c r="K436">
        <v>9.9</v>
      </c>
      <c r="L436">
        <v>6</v>
      </c>
      <c r="M436" t="str">
        <f t="shared" si="48"/>
        <v>Medium</v>
      </c>
      <c r="N436">
        <f>(winequality_red[[#This Row],[Updated Quality &amp; Alcohol Analysis]]+winequality_red[[#This Row],[volatile acidity]]+winequality_red[[#This Row],[citric acid]])</f>
        <v>11.360000000000001</v>
      </c>
      <c r="O436">
        <f t="shared" si="49"/>
        <v>3.6858585858585854E-2</v>
      </c>
      <c r="S436" t="e">
        <f t="shared" si="50"/>
        <v>#N/A</v>
      </c>
      <c r="T436" t="e">
        <f t="shared" si="51"/>
        <v>#N/A</v>
      </c>
      <c r="U436">
        <f t="shared" si="52"/>
        <v>9.9</v>
      </c>
      <c r="V436">
        <f t="shared" si="53"/>
        <v>6</v>
      </c>
      <c r="W436" t="e">
        <f t="shared" si="54"/>
        <v>#N/A</v>
      </c>
      <c r="X436" t="e">
        <f t="shared" si="55"/>
        <v>#N/A</v>
      </c>
    </row>
    <row r="437" spans="1:24" x14ac:dyDescent="0.3">
      <c r="A437">
        <v>12.3</v>
      </c>
      <c r="B437">
        <v>0.39</v>
      </c>
      <c r="C437">
        <v>0.63</v>
      </c>
      <c r="D437">
        <v>2.2999999999999998</v>
      </c>
      <c r="E437">
        <v>9.0999999999999998E-2</v>
      </c>
      <c r="F437">
        <v>6</v>
      </c>
      <c r="G437">
        <v>18</v>
      </c>
      <c r="H437">
        <v>1.0004</v>
      </c>
      <c r="I437">
        <v>3.16</v>
      </c>
      <c r="J437">
        <v>0.49</v>
      </c>
      <c r="K437">
        <v>9.5</v>
      </c>
      <c r="L437">
        <v>5</v>
      </c>
      <c r="M437" t="str">
        <f t="shared" si="48"/>
        <v>Medium</v>
      </c>
      <c r="N437">
        <f>(winequality_red[[#This Row],[Updated Quality &amp; Alcohol Analysis]]+winequality_red[[#This Row],[volatile acidity]]+winequality_red[[#This Row],[citric acid]])</f>
        <v>13.320000000000002</v>
      </c>
      <c r="O437">
        <f t="shared" si="49"/>
        <v>2.0115789473684208E-2</v>
      </c>
      <c r="S437" t="e">
        <f t="shared" si="50"/>
        <v>#N/A</v>
      </c>
      <c r="T437" t="e">
        <f t="shared" si="51"/>
        <v>#N/A</v>
      </c>
      <c r="U437">
        <f t="shared" si="52"/>
        <v>9.5</v>
      </c>
      <c r="V437">
        <f t="shared" si="53"/>
        <v>5</v>
      </c>
      <c r="W437" t="e">
        <f t="shared" si="54"/>
        <v>#N/A</v>
      </c>
      <c r="X437" t="e">
        <f t="shared" si="55"/>
        <v>#N/A</v>
      </c>
    </row>
    <row r="438" spans="1:24" x14ac:dyDescent="0.3">
      <c r="A438">
        <v>8</v>
      </c>
      <c r="B438">
        <v>0.67</v>
      </c>
      <c r="C438">
        <v>0.3</v>
      </c>
      <c r="D438">
        <v>2</v>
      </c>
      <c r="E438">
        <v>0.06</v>
      </c>
      <c r="F438">
        <v>38</v>
      </c>
      <c r="G438">
        <v>62</v>
      </c>
      <c r="H438">
        <v>0.99580000000000002</v>
      </c>
      <c r="I438">
        <v>3.26</v>
      </c>
      <c r="J438">
        <v>0.56000000000000005</v>
      </c>
      <c r="K438">
        <v>10.199999999999999</v>
      </c>
      <c r="L438">
        <v>6</v>
      </c>
      <c r="M438" t="str">
        <f t="shared" si="48"/>
        <v>Medium</v>
      </c>
      <c r="N438">
        <f>(winequality_red[[#This Row],[Updated Quality &amp; Alcohol Analysis]]+winequality_red[[#This Row],[volatile acidity]]+winequality_red[[#This Row],[citric acid]])</f>
        <v>8.9700000000000006</v>
      </c>
      <c r="O438">
        <f t="shared" si="49"/>
        <v>3.6784313725490202E-2</v>
      </c>
      <c r="S438" t="e">
        <f t="shared" si="50"/>
        <v>#N/A</v>
      </c>
      <c r="T438" t="e">
        <f t="shared" si="51"/>
        <v>#N/A</v>
      </c>
      <c r="U438">
        <f t="shared" si="52"/>
        <v>10.199999999999999</v>
      </c>
      <c r="V438">
        <f t="shared" si="53"/>
        <v>6</v>
      </c>
      <c r="W438" t="e">
        <f t="shared" si="54"/>
        <v>#N/A</v>
      </c>
      <c r="X438" t="e">
        <f t="shared" si="55"/>
        <v>#N/A</v>
      </c>
    </row>
    <row r="439" spans="1:24" x14ac:dyDescent="0.3">
      <c r="A439">
        <v>11.1</v>
      </c>
      <c r="B439">
        <v>0.45</v>
      </c>
      <c r="C439">
        <v>0.73</v>
      </c>
      <c r="D439">
        <v>3.2</v>
      </c>
      <c r="E439">
        <v>6.6000000000000003E-2</v>
      </c>
      <c r="F439">
        <v>6</v>
      </c>
      <c r="G439">
        <v>22</v>
      </c>
      <c r="H439">
        <v>0.99860000000000004</v>
      </c>
      <c r="I439">
        <v>3.17</v>
      </c>
      <c r="J439">
        <v>0.66</v>
      </c>
      <c r="K439">
        <v>11.2</v>
      </c>
      <c r="L439">
        <v>6</v>
      </c>
      <c r="M439" t="str">
        <f t="shared" si="48"/>
        <v>Medium</v>
      </c>
      <c r="N439">
        <f>(winequality_red[[#This Row],[Updated Quality &amp; Alcohol Analysis]]+winequality_red[[#This Row],[volatile acidity]]+winequality_red[[#This Row],[citric acid]])</f>
        <v>12.28</v>
      </c>
      <c r="O439">
        <f t="shared" si="49"/>
        <v>2.6517857142857149E-2</v>
      </c>
      <c r="S439" t="e">
        <f t="shared" si="50"/>
        <v>#N/A</v>
      </c>
      <c r="T439" t="e">
        <f t="shared" si="51"/>
        <v>#N/A</v>
      </c>
      <c r="U439">
        <f t="shared" si="52"/>
        <v>11.2</v>
      </c>
      <c r="V439">
        <f t="shared" si="53"/>
        <v>6</v>
      </c>
      <c r="W439" t="e">
        <f t="shared" si="54"/>
        <v>#N/A</v>
      </c>
      <c r="X439" t="e">
        <f t="shared" si="55"/>
        <v>#N/A</v>
      </c>
    </row>
    <row r="440" spans="1:24" x14ac:dyDescent="0.3">
      <c r="A440">
        <v>10.4</v>
      </c>
      <c r="B440">
        <v>0.41</v>
      </c>
      <c r="C440">
        <v>0.55000000000000004</v>
      </c>
      <c r="D440">
        <v>3.2</v>
      </c>
      <c r="E440">
        <v>7.5999999999999998E-2</v>
      </c>
      <c r="F440">
        <v>22</v>
      </c>
      <c r="G440">
        <v>54</v>
      </c>
      <c r="H440">
        <v>0.99960000000000004</v>
      </c>
      <c r="I440">
        <v>3.15</v>
      </c>
      <c r="J440">
        <v>0.89</v>
      </c>
      <c r="K440">
        <v>9.9</v>
      </c>
      <c r="L440">
        <v>6</v>
      </c>
      <c r="M440" t="str">
        <f t="shared" si="48"/>
        <v>Medium</v>
      </c>
      <c r="N440">
        <f>(winequality_red[[#This Row],[Updated Quality &amp; Alcohol Analysis]]+winequality_red[[#This Row],[volatile acidity]]+winequality_red[[#This Row],[citric acid]])</f>
        <v>11.360000000000001</v>
      </c>
      <c r="O440">
        <f t="shared" si="49"/>
        <v>3.6858585858585854E-2</v>
      </c>
      <c r="S440" t="e">
        <f t="shared" si="50"/>
        <v>#N/A</v>
      </c>
      <c r="T440" t="e">
        <f t="shared" si="51"/>
        <v>#N/A</v>
      </c>
      <c r="U440">
        <f t="shared" si="52"/>
        <v>9.9</v>
      </c>
      <c r="V440">
        <f t="shared" si="53"/>
        <v>6</v>
      </c>
      <c r="W440" t="e">
        <f t="shared" si="54"/>
        <v>#N/A</v>
      </c>
      <c r="X440" t="e">
        <f t="shared" si="55"/>
        <v>#N/A</v>
      </c>
    </row>
    <row r="441" spans="1:24" x14ac:dyDescent="0.3">
      <c r="A441">
        <v>7</v>
      </c>
      <c r="B441">
        <v>0.62</v>
      </c>
      <c r="C441">
        <v>0.18</v>
      </c>
      <c r="D441">
        <v>1.5</v>
      </c>
      <c r="E441">
        <v>6.2E-2</v>
      </c>
      <c r="F441">
        <v>7</v>
      </c>
      <c r="G441">
        <v>50</v>
      </c>
      <c r="H441">
        <v>0.99509999999999998</v>
      </c>
      <c r="I441">
        <v>3.08</v>
      </c>
      <c r="J441">
        <v>0.6</v>
      </c>
      <c r="K441">
        <v>9.3000000000000007</v>
      </c>
      <c r="L441">
        <v>5</v>
      </c>
      <c r="M441" t="str">
        <f t="shared" si="48"/>
        <v>Medium</v>
      </c>
      <c r="N441">
        <f>(winequality_red[[#This Row],[Updated Quality &amp; Alcohol Analysis]]+winequality_red[[#This Row],[volatile acidity]]+winequality_red[[#This Row],[citric acid]])</f>
        <v>7.8</v>
      </c>
      <c r="O441">
        <f t="shared" si="49"/>
        <v>3.9999999999999994E-2</v>
      </c>
      <c r="S441" t="e">
        <f t="shared" si="50"/>
        <v>#N/A</v>
      </c>
      <c r="T441" t="e">
        <f t="shared" si="51"/>
        <v>#N/A</v>
      </c>
      <c r="U441">
        <f t="shared" si="52"/>
        <v>9.3000000000000007</v>
      </c>
      <c r="V441">
        <f t="shared" si="53"/>
        <v>5</v>
      </c>
      <c r="W441" t="e">
        <f t="shared" si="54"/>
        <v>#N/A</v>
      </c>
      <c r="X441" t="e">
        <f t="shared" si="55"/>
        <v>#N/A</v>
      </c>
    </row>
    <row r="442" spans="1:24" x14ac:dyDescent="0.3">
      <c r="A442">
        <v>12.6</v>
      </c>
      <c r="B442">
        <v>0.31</v>
      </c>
      <c r="C442">
        <v>0.72</v>
      </c>
      <c r="D442">
        <v>2.2000000000000002</v>
      </c>
      <c r="E442">
        <v>7.2000000000000008E-2</v>
      </c>
      <c r="F442">
        <v>6</v>
      </c>
      <c r="G442">
        <v>29</v>
      </c>
      <c r="H442">
        <v>0.99870000000000003</v>
      </c>
      <c r="I442">
        <v>2.88</v>
      </c>
      <c r="J442">
        <v>0.82</v>
      </c>
      <c r="K442">
        <v>9.8000000000000007</v>
      </c>
      <c r="L442">
        <v>8</v>
      </c>
      <c r="M442" t="str">
        <f t="shared" si="48"/>
        <v>High</v>
      </c>
      <c r="N442">
        <f>(winequality_red[[#This Row],[Updated Quality &amp; Alcohol Analysis]]+winequality_red[[#This Row],[volatile acidity]]+winequality_red[[#This Row],[citric acid]])</f>
        <v>13.63</v>
      </c>
      <c r="O442">
        <f t="shared" si="49"/>
        <v>2.5938775510204078E-2</v>
      </c>
      <c r="S442" t="e">
        <f t="shared" si="50"/>
        <v>#N/A</v>
      </c>
      <c r="T442" t="e">
        <f t="shared" si="51"/>
        <v>#N/A</v>
      </c>
      <c r="U442" t="e">
        <f t="shared" si="52"/>
        <v>#N/A</v>
      </c>
      <c r="V442" t="e">
        <f t="shared" si="53"/>
        <v>#N/A</v>
      </c>
      <c r="W442">
        <f t="shared" si="54"/>
        <v>9.8000000000000007</v>
      </c>
      <c r="X442">
        <f t="shared" si="55"/>
        <v>8</v>
      </c>
    </row>
    <row r="443" spans="1:24" x14ac:dyDescent="0.3">
      <c r="A443">
        <v>11.9</v>
      </c>
      <c r="B443">
        <v>0.4</v>
      </c>
      <c r="C443">
        <v>0.65</v>
      </c>
      <c r="D443">
        <v>2.15</v>
      </c>
      <c r="E443">
        <v>6.8000000000000005E-2</v>
      </c>
      <c r="F443">
        <v>7</v>
      </c>
      <c r="G443">
        <v>27</v>
      </c>
      <c r="H443">
        <v>0.99880000000000002</v>
      </c>
      <c r="I443">
        <v>3.06</v>
      </c>
      <c r="J443">
        <v>0.68</v>
      </c>
      <c r="K443">
        <v>11.3</v>
      </c>
      <c r="L443">
        <v>6</v>
      </c>
      <c r="M443" t="str">
        <f t="shared" si="48"/>
        <v>Medium</v>
      </c>
      <c r="N443">
        <f>(winequality_red[[#This Row],[Updated Quality &amp; Alcohol Analysis]]+winequality_red[[#This Row],[volatile acidity]]+winequality_red[[#This Row],[citric acid]])</f>
        <v>12.950000000000001</v>
      </c>
      <c r="O443">
        <f t="shared" si="49"/>
        <v>2.4070796460176992E-2</v>
      </c>
      <c r="S443" t="e">
        <f t="shared" si="50"/>
        <v>#N/A</v>
      </c>
      <c r="T443" t="e">
        <f t="shared" si="51"/>
        <v>#N/A</v>
      </c>
      <c r="U443">
        <f t="shared" si="52"/>
        <v>11.3</v>
      </c>
      <c r="V443">
        <f t="shared" si="53"/>
        <v>6</v>
      </c>
      <c r="W443" t="e">
        <f t="shared" si="54"/>
        <v>#N/A</v>
      </c>
      <c r="X443" t="e">
        <f t="shared" si="55"/>
        <v>#N/A</v>
      </c>
    </row>
    <row r="444" spans="1:24" x14ac:dyDescent="0.3">
      <c r="A444">
        <v>15.6</v>
      </c>
      <c r="B444">
        <v>0.68500000000000005</v>
      </c>
      <c r="C444">
        <v>0.76</v>
      </c>
      <c r="D444">
        <v>3.7</v>
      </c>
      <c r="E444">
        <v>0.1</v>
      </c>
      <c r="F444">
        <v>6</v>
      </c>
      <c r="G444">
        <v>43</v>
      </c>
      <c r="H444">
        <v>1.0032000000000001</v>
      </c>
      <c r="I444">
        <v>2.95</v>
      </c>
      <c r="J444">
        <v>0.68</v>
      </c>
      <c r="K444">
        <v>11.2</v>
      </c>
      <c r="L444">
        <v>7</v>
      </c>
      <c r="M444" t="str">
        <f t="shared" si="48"/>
        <v>High</v>
      </c>
      <c r="N444">
        <f>(winequality_red[[#This Row],[Updated Quality &amp; Alcohol Analysis]]+winequality_red[[#This Row],[volatile acidity]]+winequality_red[[#This Row],[citric acid]])</f>
        <v>17.045000000000002</v>
      </c>
      <c r="O444">
        <f t="shared" si="49"/>
        <v>4.1589285714285724E-2</v>
      </c>
      <c r="S444" t="e">
        <f t="shared" si="50"/>
        <v>#N/A</v>
      </c>
      <c r="T444" t="e">
        <f t="shared" si="51"/>
        <v>#N/A</v>
      </c>
      <c r="U444" t="e">
        <f t="shared" si="52"/>
        <v>#N/A</v>
      </c>
      <c r="V444" t="e">
        <f t="shared" si="53"/>
        <v>#N/A</v>
      </c>
      <c r="W444">
        <f t="shared" si="54"/>
        <v>11.2</v>
      </c>
      <c r="X444">
        <f t="shared" si="55"/>
        <v>7</v>
      </c>
    </row>
    <row r="445" spans="1:24" x14ac:dyDescent="0.3">
      <c r="A445">
        <v>10</v>
      </c>
      <c r="B445">
        <v>0.44</v>
      </c>
      <c r="C445">
        <v>0.49</v>
      </c>
      <c r="D445">
        <v>2.7</v>
      </c>
      <c r="E445">
        <v>7.6999999999999999E-2</v>
      </c>
      <c r="F445">
        <v>11</v>
      </c>
      <c r="G445">
        <v>19</v>
      </c>
      <c r="H445">
        <v>0.99629999999999996</v>
      </c>
      <c r="I445">
        <v>3.23</v>
      </c>
      <c r="J445">
        <v>0.63</v>
      </c>
      <c r="K445">
        <v>11.6</v>
      </c>
      <c r="L445">
        <v>7</v>
      </c>
      <c r="M445" t="str">
        <f t="shared" si="48"/>
        <v>High</v>
      </c>
      <c r="N445">
        <f>(winequality_red[[#This Row],[Updated Quality &amp; Alcohol Analysis]]+winequality_red[[#This Row],[volatile acidity]]+winequality_red[[#This Row],[citric acid]])</f>
        <v>10.93</v>
      </c>
      <c r="O445">
        <f t="shared" si="49"/>
        <v>2.3896551724137932E-2</v>
      </c>
      <c r="S445" t="e">
        <f t="shared" si="50"/>
        <v>#N/A</v>
      </c>
      <c r="T445" t="e">
        <f t="shared" si="51"/>
        <v>#N/A</v>
      </c>
      <c r="U445" t="e">
        <f t="shared" si="52"/>
        <v>#N/A</v>
      </c>
      <c r="V445" t="e">
        <f t="shared" si="53"/>
        <v>#N/A</v>
      </c>
      <c r="W445">
        <f t="shared" si="54"/>
        <v>11.6</v>
      </c>
      <c r="X445">
        <f t="shared" si="55"/>
        <v>7</v>
      </c>
    </row>
    <row r="446" spans="1:24" x14ac:dyDescent="0.3">
      <c r="A446">
        <v>5.3</v>
      </c>
      <c r="B446">
        <v>0.56999999999999995</v>
      </c>
      <c r="C446">
        <v>0.01</v>
      </c>
      <c r="D446">
        <v>1.7</v>
      </c>
      <c r="E446">
        <v>5.4000000000000006E-2</v>
      </c>
      <c r="F446">
        <v>5</v>
      </c>
      <c r="G446">
        <v>27</v>
      </c>
      <c r="H446">
        <v>0.99339999999999995</v>
      </c>
      <c r="I446">
        <v>3.57</v>
      </c>
      <c r="J446">
        <v>0.84</v>
      </c>
      <c r="K446">
        <v>12.5</v>
      </c>
      <c r="L446">
        <v>7</v>
      </c>
      <c r="M446" t="str">
        <f t="shared" si="48"/>
        <v>High</v>
      </c>
      <c r="N446">
        <f>(winequality_red[[#This Row],[Updated Quality &amp; Alcohol Analysis]]+winequality_red[[#This Row],[volatile acidity]]+winequality_red[[#This Row],[citric acid]])</f>
        <v>5.88</v>
      </c>
      <c r="O446">
        <f t="shared" si="49"/>
        <v>3.8303999999999998E-2</v>
      </c>
      <c r="S446" t="e">
        <f t="shared" si="50"/>
        <v>#N/A</v>
      </c>
      <c r="T446" t="e">
        <f t="shared" si="51"/>
        <v>#N/A</v>
      </c>
      <c r="U446" t="e">
        <f t="shared" si="52"/>
        <v>#N/A</v>
      </c>
      <c r="V446" t="e">
        <f t="shared" si="53"/>
        <v>#N/A</v>
      </c>
      <c r="W446">
        <f t="shared" si="54"/>
        <v>12.5</v>
      </c>
      <c r="X446">
        <f t="shared" si="55"/>
        <v>7</v>
      </c>
    </row>
    <row r="447" spans="1:24" x14ac:dyDescent="0.3">
      <c r="A447">
        <v>9.5</v>
      </c>
      <c r="B447">
        <v>0.73499999999999999</v>
      </c>
      <c r="C447">
        <v>0.1</v>
      </c>
      <c r="D447">
        <v>2.1</v>
      </c>
      <c r="E447">
        <v>7.9000000000000001E-2</v>
      </c>
      <c r="F447">
        <v>6</v>
      </c>
      <c r="G447">
        <v>31</v>
      </c>
      <c r="H447">
        <v>0.99860000000000004</v>
      </c>
      <c r="I447">
        <v>3.23</v>
      </c>
      <c r="J447">
        <v>0.56000000000000005</v>
      </c>
      <c r="K447">
        <v>10.1</v>
      </c>
      <c r="L447">
        <v>6</v>
      </c>
      <c r="M447" t="str">
        <f t="shared" si="48"/>
        <v>Medium</v>
      </c>
      <c r="N447">
        <f>(winequality_red[[#This Row],[Updated Quality &amp; Alcohol Analysis]]+winequality_red[[#This Row],[volatile acidity]]+winequality_red[[#This Row],[citric acid]])</f>
        <v>10.334999999999999</v>
      </c>
      <c r="O447">
        <f t="shared" si="49"/>
        <v>4.0752475247524754E-2</v>
      </c>
      <c r="S447" t="e">
        <f t="shared" si="50"/>
        <v>#N/A</v>
      </c>
      <c r="T447" t="e">
        <f t="shared" si="51"/>
        <v>#N/A</v>
      </c>
      <c r="U447">
        <f t="shared" si="52"/>
        <v>10.1</v>
      </c>
      <c r="V447">
        <f t="shared" si="53"/>
        <v>6</v>
      </c>
      <c r="W447" t="e">
        <f t="shared" si="54"/>
        <v>#N/A</v>
      </c>
      <c r="X447" t="e">
        <f t="shared" si="55"/>
        <v>#N/A</v>
      </c>
    </row>
    <row r="448" spans="1:24" x14ac:dyDescent="0.3">
      <c r="A448">
        <v>12.5</v>
      </c>
      <c r="B448">
        <v>0.38</v>
      </c>
      <c r="C448">
        <v>0.6</v>
      </c>
      <c r="D448">
        <v>2.6</v>
      </c>
      <c r="E448">
        <v>8.1000000000000003E-2</v>
      </c>
      <c r="F448">
        <v>31</v>
      </c>
      <c r="G448">
        <v>72</v>
      </c>
      <c r="H448">
        <v>0.99960000000000004</v>
      </c>
      <c r="I448">
        <v>3.1</v>
      </c>
      <c r="J448">
        <v>0.73</v>
      </c>
      <c r="K448">
        <v>10.5</v>
      </c>
      <c r="L448">
        <v>5</v>
      </c>
      <c r="M448" t="str">
        <f t="shared" si="48"/>
        <v>Medium</v>
      </c>
      <c r="N448">
        <f>(winequality_red[[#This Row],[Updated Quality &amp; Alcohol Analysis]]+winequality_red[[#This Row],[volatile acidity]]+winequality_red[[#This Row],[citric acid]])</f>
        <v>13.48</v>
      </c>
      <c r="O448">
        <f t="shared" si="49"/>
        <v>2.6419047619047616E-2</v>
      </c>
      <c r="S448" t="e">
        <f t="shared" si="50"/>
        <v>#N/A</v>
      </c>
      <c r="T448" t="e">
        <f t="shared" si="51"/>
        <v>#N/A</v>
      </c>
      <c r="U448">
        <f t="shared" si="52"/>
        <v>10.5</v>
      </c>
      <c r="V448">
        <f t="shared" si="53"/>
        <v>5</v>
      </c>
      <c r="W448" t="e">
        <f t="shared" si="54"/>
        <v>#N/A</v>
      </c>
      <c r="X448" t="e">
        <f t="shared" si="55"/>
        <v>#N/A</v>
      </c>
    </row>
    <row r="449" spans="1:24" x14ac:dyDescent="0.3">
      <c r="A449">
        <v>9.3000000000000007</v>
      </c>
      <c r="B449">
        <v>0.48</v>
      </c>
      <c r="C449">
        <v>0.28999999999999998</v>
      </c>
      <c r="D449">
        <v>2.1</v>
      </c>
      <c r="E449">
        <v>0.127</v>
      </c>
      <c r="F449">
        <v>6</v>
      </c>
      <c r="G449">
        <v>16</v>
      </c>
      <c r="H449">
        <v>0.99680000000000002</v>
      </c>
      <c r="I449">
        <v>3.22</v>
      </c>
      <c r="J449">
        <v>0.72</v>
      </c>
      <c r="K449">
        <v>11.2</v>
      </c>
      <c r="L449">
        <v>5</v>
      </c>
      <c r="M449" t="str">
        <f t="shared" si="48"/>
        <v>Medium</v>
      </c>
      <c r="N449">
        <f>(winequality_red[[#This Row],[Updated Quality &amp; Alcohol Analysis]]+winequality_red[[#This Row],[volatile acidity]]+winequality_red[[#This Row],[citric acid]])</f>
        <v>10.07</v>
      </c>
      <c r="O449">
        <f t="shared" si="49"/>
        <v>3.0857142857142857E-2</v>
      </c>
      <c r="S449" t="e">
        <f t="shared" si="50"/>
        <v>#N/A</v>
      </c>
      <c r="T449" t="e">
        <f t="shared" si="51"/>
        <v>#N/A</v>
      </c>
      <c r="U449">
        <f t="shared" si="52"/>
        <v>11.2</v>
      </c>
      <c r="V449">
        <f t="shared" si="53"/>
        <v>5</v>
      </c>
      <c r="W449" t="e">
        <f t="shared" si="54"/>
        <v>#N/A</v>
      </c>
      <c r="X449" t="e">
        <f t="shared" si="55"/>
        <v>#N/A</v>
      </c>
    </row>
    <row r="450" spans="1:24" x14ac:dyDescent="0.3">
      <c r="A450">
        <v>8.6</v>
      </c>
      <c r="B450">
        <v>0.53</v>
      </c>
      <c r="C450">
        <v>0.22</v>
      </c>
      <c r="D450">
        <v>2</v>
      </c>
      <c r="E450">
        <v>0.1</v>
      </c>
      <c r="F450">
        <v>7</v>
      </c>
      <c r="G450">
        <v>27</v>
      </c>
      <c r="H450">
        <v>0.99670000000000003</v>
      </c>
      <c r="I450">
        <v>3.2</v>
      </c>
      <c r="J450">
        <v>0.56000000000000005</v>
      </c>
      <c r="K450">
        <v>10.199999999999999</v>
      </c>
      <c r="L450">
        <v>6</v>
      </c>
      <c r="M450" t="str">
        <f t="shared" ref="M450:M513" si="56">IF($L450&gt;=7,"High",IF($L450&gt;=5,"Medium","Low"))</f>
        <v>Medium</v>
      </c>
      <c r="N450">
        <f>(winequality_red[[#This Row],[Updated Quality &amp; Alcohol Analysis]]+winequality_red[[#This Row],[volatile acidity]]+winequality_red[[#This Row],[citric acid]])</f>
        <v>9.35</v>
      </c>
      <c r="O450">
        <f t="shared" ref="O450:O513" si="57">($B450*$J450)/$K450</f>
        <v>2.9098039215686284E-2</v>
      </c>
      <c r="S450" t="e">
        <f t="shared" si="50"/>
        <v>#N/A</v>
      </c>
      <c r="T450" t="e">
        <f t="shared" si="51"/>
        <v>#N/A</v>
      </c>
      <c r="U450">
        <f t="shared" si="52"/>
        <v>10.199999999999999</v>
      </c>
      <c r="V450">
        <f t="shared" si="53"/>
        <v>6</v>
      </c>
      <c r="W450" t="e">
        <f t="shared" si="54"/>
        <v>#N/A</v>
      </c>
      <c r="X450" t="e">
        <f t="shared" si="55"/>
        <v>#N/A</v>
      </c>
    </row>
    <row r="451" spans="1:24" x14ac:dyDescent="0.3">
      <c r="A451">
        <v>11.9</v>
      </c>
      <c r="B451">
        <v>0.39</v>
      </c>
      <c r="C451">
        <v>0.69</v>
      </c>
      <c r="D451">
        <v>2.8</v>
      </c>
      <c r="E451">
        <v>9.5000000000000001E-2</v>
      </c>
      <c r="F451">
        <v>17</v>
      </c>
      <c r="G451">
        <v>35</v>
      </c>
      <c r="H451">
        <v>0.99939999999999996</v>
      </c>
      <c r="I451">
        <v>3.1</v>
      </c>
      <c r="J451">
        <v>0.61</v>
      </c>
      <c r="K451">
        <v>10.8</v>
      </c>
      <c r="L451">
        <v>6</v>
      </c>
      <c r="M451" t="str">
        <f t="shared" si="56"/>
        <v>Medium</v>
      </c>
      <c r="N451">
        <f>(winequality_red[[#This Row],[Updated Quality &amp; Alcohol Analysis]]+winequality_red[[#This Row],[volatile acidity]]+winequality_red[[#This Row],[citric acid]])</f>
        <v>12.98</v>
      </c>
      <c r="O451">
        <f t="shared" si="57"/>
        <v>2.2027777777777778E-2</v>
      </c>
      <c r="S451" t="e">
        <f t="shared" ref="S451:S514" si="58">IF($M451="Low",$K451,NA())</f>
        <v>#N/A</v>
      </c>
      <c r="T451" t="e">
        <f t="shared" ref="T451:T514" si="59">IF($M451="Low",$L451,NA())</f>
        <v>#N/A</v>
      </c>
      <c r="U451">
        <f t="shared" ref="U451:U514" si="60">IF($M451="Medium",$K451,NA())</f>
        <v>10.8</v>
      </c>
      <c r="V451">
        <f t="shared" ref="V451:V514" si="61">IF($M451="Medium",$L451,NA())</f>
        <v>6</v>
      </c>
      <c r="W451" t="e">
        <f t="shared" ref="W451:W514" si="62">IF($M451="High",$K451,NA())</f>
        <v>#N/A</v>
      </c>
      <c r="X451" t="e">
        <f t="shared" ref="X451:X514" si="63">IF($M451="High",$L451,NA())</f>
        <v>#N/A</v>
      </c>
    </row>
    <row r="452" spans="1:24" x14ac:dyDescent="0.3">
      <c r="A452">
        <v>11.9</v>
      </c>
      <c r="B452">
        <v>0.39</v>
      </c>
      <c r="C452">
        <v>0.69</v>
      </c>
      <c r="D452">
        <v>2.8</v>
      </c>
      <c r="E452">
        <v>9.5000000000000001E-2</v>
      </c>
      <c r="F452">
        <v>17</v>
      </c>
      <c r="G452">
        <v>35</v>
      </c>
      <c r="H452">
        <v>0.99939999999999996</v>
      </c>
      <c r="I452">
        <v>3.1</v>
      </c>
      <c r="J452">
        <v>0.61</v>
      </c>
      <c r="K452">
        <v>10.8</v>
      </c>
      <c r="L452">
        <v>6</v>
      </c>
      <c r="M452" t="str">
        <f t="shared" si="56"/>
        <v>Medium</v>
      </c>
      <c r="N452">
        <f>(winequality_red[[#This Row],[Updated Quality &amp; Alcohol Analysis]]+winequality_red[[#This Row],[volatile acidity]]+winequality_red[[#This Row],[citric acid]])</f>
        <v>12.98</v>
      </c>
      <c r="O452">
        <f t="shared" si="57"/>
        <v>2.2027777777777778E-2</v>
      </c>
      <c r="S452" t="e">
        <f t="shared" si="58"/>
        <v>#N/A</v>
      </c>
      <c r="T452" t="e">
        <f t="shared" si="59"/>
        <v>#N/A</v>
      </c>
      <c r="U452">
        <f t="shared" si="60"/>
        <v>10.8</v>
      </c>
      <c r="V452">
        <f t="shared" si="61"/>
        <v>6</v>
      </c>
      <c r="W452" t="e">
        <f t="shared" si="62"/>
        <v>#N/A</v>
      </c>
      <c r="X452" t="e">
        <f t="shared" si="63"/>
        <v>#N/A</v>
      </c>
    </row>
    <row r="453" spans="1:24" x14ac:dyDescent="0.3">
      <c r="A453">
        <v>8.4</v>
      </c>
      <c r="B453">
        <v>0.37</v>
      </c>
      <c r="C453">
        <v>0.53</v>
      </c>
      <c r="D453">
        <v>1.8</v>
      </c>
      <c r="E453">
        <v>0.41299999999999998</v>
      </c>
      <c r="F453">
        <v>9</v>
      </c>
      <c r="G453">
        <v>26</v>
      </c>
      <c r="H453">
        <v>0.99790000000000001</v>
      </c>
      <c r="I453">
        <v>3.06</v>
      </c>
      <c r="J453">
        <v>1.06</v>
      </c>
      <c r="K453">
        <v>9.1</v>
      </c>
      <c r="L453">
        <v>6</v>
      </c>
      <c r="M453" t="str">
        <f t="shared" si="56"/>
        <v>Medium</v>
      </c>
      <c r="N453">
        <f>(winequality_red[[#This Row],[Updated Quality &amp; Alcohol Analysis]]+winequality_red[[#This Row],[volatile acidity]]+winequality_red[[#This Row],[citric acid]])</f>
        <v>9.2999999999999989</v>
      </c>
      <c r="O453">
        <f t="shared" si="57"/>
        <v>4.3098901098901098E-2</v>
      </c>
      <c r="S453" t="e">
        <f t="shared" si="58"/>
        <v>#N/A</v>
      </c>
      <c r="T453" t="e">
        <f t="shared" si="59"/>
        <v>#N/A</v>
      </c>
      <c r="U453">
        <f t="shared" si="60"/>
        <v>9.1</v>
      </c>
      <c r="V453">
        <f t="shared" si="61"/>
        <v>6</v>
      </c>
      <c r="W453" t="e">
        <f t="shared" si="62"/>
        <v>#N/A</v>
      </c>
      <c r="X453" t="e">
        <f t="shared" si="63"/>
        <v>#N/A</v>
      </c>
    </row>
    <row r="454" spans="1:24" x14ac:dyDescent="0.3">
      <c r="A454">
        <v>6.8</v>
      </c>
      <c r="B454">
        <v>0.56000000000000005</v>
      </c>
      <c r="C454">
        <v>0.03</v>
      </c>
      <c r="D454">
        <v>1.7</v>
      </c>
      <c r="E454">
        <v>8.4000000000000005E-2</v>
      </c>
      <c r="F454">
        <v>18</v>
      </c>
      <c r="G454">
        <v>35</v>
      </c>
      <c r="H454">
        <v>0.99680000000000002</v>
      </c>
      <c r="I454">
        <v>3.44</v>
      </c>
      <c r="J454">
        <v>0.63</v>
      </c>
      <c r="K454">
        <v>10</v>
      </c>
      <c r="L454">
        <v>6</v>
      </c>
      <c r="M454" t="str">
        <f t="shared" si="56"/>
        <v>Medium</v>
      </c>
      <c r="N454">
        <f>(winequality_red[[#This Row],[Updated Quality &amp; Alcohol Analysis]]+winequality_red[[#This Row],[volatile acidity]]+winequality_red[[#This Row],[citric acid]])</f>
        <v>7.39</v>
      </c>
      <c r="O454">
        <f t="shared" si="57"/>
        <v>3.5280000000000006E-2</v>
      </c>
      <c r="S454" t="e">
        <f t="shared" si="58"/>
        <v>#N/A</v>
      </c>
      <c r="T454" t="e">
        <f t="shared" si="59"/>
        <v>#N/A</v>
      </c>
      <c r="U454">
        <f t="shared" si="60"/>
        <v>10</v>
      </c>
      <c r="V454">
        <f t="shared" si="61"/>
        <v>6</v>
      </c>
      <c r="W454" t="e">
        <f t="shared" si="62"/>
        <v>#N/A</v>
      </c>
      <c r="X454" t="e">
        <f t="shared" si="63"/>
        <v>#N/A</v>
      </c>
    </row>
    <row r="455" spans="1:24" x14ac:dyDescent="0.3">
      <c r="A455">
        <v>10.4</v>
      </c>
      <c r="B455">
        <v>0.33</v>
      </c>
      <c r="C455">
        <v>0.63</v>
      </c>
      <c r="D455">
        <v>2.8</v>
      </c>
      <c r="E455">
        <v>8.4000000000000005E-2</v>
      </c>
      <c r="F455">
        <v>5</v>
      </c>
      <c r="G455">
        <v>22</v>
      </c>
      <c r="H455">
        <v>0.99980000000000002</v>
      </c>
      <c r="I455">
        <v>3.26</v>
      </c>
      <c r="J455">
        <v>0.74</v>
      </c>
      <c r="K455">
        <v>11.2</v>
      </c>
      <c r="L455">
        <v>7</v>
      </c>
      <c r="M455" t="str">
        <f t="shared" si="56"/>
        <v>High</v>
      </c>
      <c r="N455">
        <f>(winequality_red[[#This Row],[Updated Quality &amp; Alcohol Analysis]]+winequality_red[[#This Row],[volatile acidity]]+winequality_red[[#This Row],[citric acid]])</f>
        <v>11.360000000000001</v>
      </c>
      <c r="O455">
        <f t="shared" si="57"/>
        <v>2.1803571428571429E-2</v>
      </c>
      <c r="S455" t="e">
        <f t="shared" si="58"/>
        <v>#N/A</v>
      </c>
      <c r="T455" t="e">
        <f t="shared" si="59"/>
        <v>#N/A</v>
      </c>
      <c r="U455" t="e">
        <f t="shared" si="60"/>
        <v>#N/A</v>
      </c>
      <c r="V455" t="e">
        <f t="shared" si="61"/>
        <v>#N/A</v>
      </c>
      <c r="W455">
        <f t="shared" si="62"/>
        <v>11.2</v>
      </c>
      <c r="X455">
        <f t="shared" si="63"/>
        <v>7</v>
      </c>
    </row>
    <row r="456" spans="1:24" x14ac:dyDescent="0.3">
      <c r="A456">
        <v>7</v>
      </c>
      <c r="B456">
        <v>0.23</v>
      </c>
      <c r="C456">
        <v>0.4</v>
      </c>
      <c r="D456">
        <v>1.6</v>
      </c>
      <c r="E456">
        <v>6.3E-2</v>
      </c>
      <c r="F456">
        <v>21</v>
      </c>
      <c r="G456">
        <v>67</v>
      </c>
      <c r="H456">
        <v>0.99519999999999997</v>
      </c>
      <c r="I456">
        <v>3.5</v>
      </c>
      <c r="J456">
        <v>0.63</v>
      </c>
      <c r="K456">
        <v>11.1</v>
      </c>
      <c r="L456">
        <v>5</v>
      </c>
      <c r="M456" t="str">
        <f t="shared" si="56"/>
        <v>Medium</v>
      </c>
      <c r="N456">
        <f>(winequality_red[[#This Row],[Updated Quality &amp; Alcohol Analysis]]+winequality_red[[#This Row],[volatile acidity]]+winequality_red[[#This Row],[citric acid]])</f>
        <v>7.6300000000000008</v>
      </c>
      <c r="O456">
        <f t="shared" si="57"/>
        <v>1.3054054054054055E-2</v>
      </c>
      <c r="S456" t="e">
        <f t="shared" si="58"/>
        <v>#N/A</v>
      </c>
      <c r="T456" t="e">
        <f t="shared" si="59"/>
        <v>#N/A</v>
      </c>
      <c r="U456">
        <f t="shared" si="60"/>
        <v>11.1</v>
      </c>
      <c r="V456">
        <f t="shared" si="61"/>
        <v>5</v>
      </c>
      <c r="W456" t="e">
        <f t="shared" si="62"/>
        <v>#N/A</v>
      </c>
      <c r="X456" t="e">
        <f t="shared" si="63"/>
        <v>#N/A</v>
      </c>
    </row>
    <row r="457" spans="1:24" x14ac:dyDescent="0.3">
      <c r="A457">
        <v>11.3</v>
      </c>
      <c r="B457">
        <v>0.62</v>
      </c>
      <c r="C457">
        <v>0.67</v>
      </c>
      <c r="D457">
        <v>5.2</v>
      </c>
      <c r="E457">
        <v>8.5999999999999993E-2</v>
      </c>
      <c r="F457">
        <v>6</v>
      </c>
      <c r="G457">
        <v>19</v>
      </c>
      <c r="H457">
        <v>0.99880000000000002</v>
      </c>
      <c r="I457">
        <v>3.22</v>
      </c>
      <c r="J457">
        <v>0.69</v>
      </c>
      <c r="K457">
        <v>13.4</v>
      </c>
      <c r="L457">
        <v>8</v>
      </c>
      <c r="M457" t="str">
        <f t="shared" si="56"/>
        <v>High</v>
      </c>
      <c r="N457">
        <f>(winequality_red[[#This Row],[Updated Quality &amp; Alcohol Analysis]]+winequality_red[[#This Row],[volatile acidity]]+winequality_red[[#This Row],[citric acid]])</f>
        <v>12.59</v>
      </c>
      <c r="O457">
        <f t="shared" si="57"/>
        <v>3.1925373134328354E-2</v>
      </c>
      <c r="S457" t="e">
        <f t="shared" si="58"/>
        <v>#N/A</v>
      </c>
      <c r="T457" t="e">
        <f t="shared" si="59"/>
        <v>#N/A</v>
      </c>
      <c r="U457" t="e">
        <f t="shared" si="60"/>
        <v>#N/A</v>
      </c>
      <c r="V457" t="e">
        <f t="shared" si="61"/>
        <v>#N/A</v>
      </c>
      <c r="W457">
        <f t="shared" si="62"/>
        <v>13.4</v>
      </c>
      <c r="X457">
        <f t="shared" si="63"/>
        <v>8</v>
      </c>
    </row>
    <row r="458" spans="1:24" x14ac:dyDescent="0.3">
      <c r="A458">
        <v>8.9</v>
      </c>
      <c r="B458">
        <v>0.59</v>
      </c>
      <c r="C458">
        <v>0.39</v>
      </c>
      <c r="D458">
        <v>2.2999999999999998</v>
      </c>
      <c r="E458">
        <v>9.5000000000000001E-2</v>
      </c>
      <c r="F458">
        <v>5</v>
      </c>
      <c r="G458">
        <v>22</v>
      </c>
      <c r="H458">
        <v>0.99860000000000004</v>
      </c>
      <c r="I458">
        <v>3.37</v>
      </c>
      <c r="J458">
        <v>0.57999999999999996</v>
      </c>
      <c r="K458">
        <v>10.3</v>
      </c>
      <c r="L458">
        <v>5</v>
      </c>
      <c r="M458" t="str">
        <f t="shared" si="56"/>
        <v>Medium</v>
      </c>
      <c r="N458">
        <f>(winequality_red[[#This Row],[Updated Quality &amp; Alcohol Analysis]]+winequality_red[[#This Row],[volatile acidity]]+winequality_red[[#This Row],[citric acid]])</f>
        <v>9.8800000000000008</v>
      </c>
      <c r="O458">
        <f t="shared" si="57"/>
        <v>3.3223300970873781E-2</v>
      </c>
      <c r="S458" t="e">
        <f t="shared" si="58"/>
        <v>#N/A</v>
      </c>
      <c r="T458" t="e">
        <f t="shared" si="59"/>
        <v>#N/A</v>
      </c>
      <c r="U458">
        <f t="shared" si="60"/>
        <v>10.3</v>
      </c>
      <c r="V458">
        <f t="shared" si="61"/>
        <v>5</v>
      </c>
      <c r="W458" t="e">
        <f t="shared" si="62"/>
        <v>#N/A</v>
      </c>
      <c r="X458" t="e">
        <f t="shared" si="63"/>
        <v>#N/A</v>
      </c>
    </row>
    <row r="459" spans="1:24" x14ac:dyDescent="0.3">
      <c r="A459">
        <v>9.1999999999999993</v>
      </c>
      <c r="B459">
        <v>0.63</v>
      </c>
      <c r="C459">
        <v>0.21</v>
      </c>
      <c r="D459">
        <v>2.7</v>
      </c>
      <c r="E459">
        <v>9.6999999999999989E-2</v>
      </c>
      <c r="F459">
        <v>29</v>
      </c>
      <c r="G459">
        <v>65</v>
      </c>
      <c r="H459">
        <v>0.99880000000000002</v>
      </c>
      <c r="I459">
        <v>3.28</v>
      </c>
      <c r="J459">
        <v>0.57999999999999996</v>
      </c>
      <c r="K459">
        <v>9.6</v>
      </c>
      <c r="L459">
        <v>5</v>
      </c>
      <c r="M459" t="str">
        <f t="shared" si="56"/>
        <v>Medium</v>
      </c>
      <c r="N459">
        <f>(winequality_red[[#This Row],[Updated Quality &amp; Alcohol Analysis]]+winequality_red[[#This Row],[volatile acidity]]+winequality_red[[#This Row],[citric acid]])</f>
        <v>10.040000000000001</v>
      </c>
      <c r="O459">
        <f t="shared" si="57"/>
        <v>3.8062499999999999E-2</v>
      </c>
      <c r="S459" t="e">
        <f t="shared" si="58"/>
        <v>#N/A</v>
      </c>
      <c r="T459" t="e">
        <f t="shared" si="59"/>
        <v>#N/A</v>
      </c>
      <c r="U459">
        <f t="shared" si="60"/>
        <v>9.6</v>
      </c>
      <c r="V459">
        <f t="shared" si="61"/>
        <v>5</v>
      </c>
      <c r="W459" t="e">
        <f t="shared" si="62"/>
        <v>#N/A</v>
      </c>
      <c r="X459" t="e">
        <f t="shared" si="63"/>
        <v>#N/A</v>
      </c>
    </row>
    <row r="460" spans="1:24" x14ac:dyDescent="0.3">
      <c r="A460">
        <v>10.4</v>
      </c>
      <c r="B460">
        <v>0.33</v>
      </c>
      <c r="C460">
        <v>0.63</v>
      </c>
      <c r="D460">
        <v>2.8</v>
      </c>
      <c r="E460">
        <v>8.4000000000000005E-2</v>
      </c>
      <c r="F460">
        <v>5</v>
      </c>
      <c r="G460">
        <v>22</v>
      </c>
      <c r="H460">
        <v>0.99980000000000002</v>
      </c>
      <c r="I460">
        <v>3.26</v>
      </c>
      <c r="J460">
        <v>0.74</v>
      </c>
      <c r="K460">
        <v>11.2</v>
      </c>
      <c r="L460">
        <v>7</v>
      </c>
      <c r="M460" t="str">
        <f t="shared" si="56"/>
        <v>High</v>
      </c>
      <c r="N460">
        <f>(winequality_red[[#This Row],[Updated Quality &amp; Alcohol Analysis]]+winequality_red[[#This Row],[volatile acidity]]+winequality_red[[#This Row],[citric acid]])</f>
        <v>11.360000000000001</v>
      </c>
      <c r="O460">
        <f t="shared" si="57"/>
        <v>2.1803571428571429E-2</v>
      </c>
      <c r="S460" t="e">
        <f t="shared" si="58"/>
        <v>#N/A</v>
      </c>
      <c r="T460" t="e">
        <f t="shared" si="59"/>
        <v>#N/A</v>
      </c>
      <c r="U460" t="e">
        <f t="shared" si="60"/>
        <v>#N/A</v>
      </c>
      <c r="V460" t="e">
        <f t="shared" si="61"/>
        <v>#N/A</v>
      </c>
      <c r="W460">
        <f t="shared" si="62"/>
        <v>11.2</v>
      </c>
      <c r="X460">
        <f t="shared" si="63"/>
        <v>7</v>
      </c>
    </row>
    <row r="461" spans="1:24" x14ac:dyDescent="0.3">
      <c r="A461">
        <v>11.6</v>
      </c>
      <c r="B461">
        <v>0.57999999999999996</v>
      </c>
      <c r="C461">
        <v>0.66</v>
      </c>
      <c r="D461">
        <v>2.2000000000000002</v>
      </c>
      <c r="E461">
        <v>7.400000000000001E-2</v>
      </c>
      <c r="F461">
        <v>10</v>
      </c>
      <c r="G461">
        <v>47</v>
      </c>
      <c r="H461">
        <v>1.0007999999999999</v>
      </c>
      <c r="I461">
        <v>3.25</v>
      </c>
      <c r="J461">
        <v>0.56999999999999995</v>
      </c>
      <c r="K461">
        <v>9</v>
      </c>
      <c r="L461">
        <v>3</v>
      </c>
      <c r="M461" t="str">
        <f t="shared" si="56"/>
        <v>Low</v>
      </c>
      <c r="N461">
        <f>(winequality_red[[#This Row],[Updated Quality &amp; Alcohol Analysis]]+winequality_red[[#This Row],[volatile acidity]]+winequality_red[[#This Row],[citric acid]])</f>
        <v>12.84</v>
      </c>
      <c r="O461">
        <f t="shared" si="57"/>
        <v>3.6733333333333326E-2</v>
      </c>
      <c r="S461">
        <f t="shared" si="58"/>
        <v>9</v>
      </c>
      <c r="T461">
        <f t="shared" si="59"/>
        <v>3</v>
      </c>
      <c r="U461" t="e">
        <f t="shared" si="60"/>
        <v>#N/A</v>
      </c>
      <c r="V461" t="e">
        <f t="shared" si="61"/>
        <v>#N/A</v>
      </c>
      <c r="W461" t="e">
        <f t="shared" si="62"/>
        <v>#N/A</v>
      </c>
      <c r="X461" t="e">
        <f t="shared" si="63"/>
        <v>#N/A</v>
      </c>
    </row>
    <row r="462" spans="1:24" x14ac:dyDescent="0.3">
      <c r="A462">
        <v>9.1999999999999993</v>
      </c>
      <c r="B462">
        <v>0.43</v>
      </c>
      <c r="C462">
        <v>0.52</v>
      </c>
      <c r="D462">
        <v>2.2999999999999998</v>
      </c>
      <c r="E462">
        <v>8.3000000000000004E-2</v>
      </c>
      <c r="F462">
        <v>14</v>
      </c>
      <c r="G462">
        <v>23</v>
      </c>
      <c r="H462">
        <v>0.99760000000000004</v>
      </c>
      <c r="I462">
        <v>3.35</v>
      </c>
      <c r="J462">
        <v>0.61</v>
      </c>
      <c r="K462">
        <v>11.3</v>
      </c>
      <c r="L462">
        <v>6</v>
      </c>
      <c r="M462" t="str">
        <f t="shared" si="56"/>
        <v>Medium</v>
      </c>
      <c r="N462">
        <f>(winequality_red[[#This Row],[Updated Quality &amp; Alcohol Analysis]]+winequality_red[[#This Row],[volatile acidity]]+winequality_red[[#This Row],[citric acid]])</f>
        <v>10.149999999999999</v>
      </c>
      <c r="O462">
        <f t="shared" si="57"/>
        <v>2.3212389380530971E-2</v>
      </c>
      <c r="S462" t="e">
        <f t="shared" si="58"/>
        <v>#N/A</v>
      </c>
      <c r="T462" t="e">
        <f t="shared" si="59"/>
        <v>#N/A</v>
      </c>
      <c r="U462">
        <f t="shared" si="60"/>
        <v>11.3</v>
      </c>
      <c r="V462">
        <f t="shared" si="61"/>
        <v>6</v>
      </c>
      <c r="W462" t="e">
        <f t="shared" si="62"/>
        <v>#N/A</v>
      </c>
      <c r="X462" t="e">
        <f t="shared" si="63"/>
        <v>#N/A</v>
      </c>
    </row>
    <row r="463" spans="1:24" x14ac:dyDescent="0.3">
      <c r="A463">
        <v>8.3000000000000007</v>
      </c>
      <c r="B463">
        <v>0.61499999999999999</v>
      </c>
      <c r="C463">
        <v>0.22</v>
      </c>
      <c r="D463">
        <v>2.6</v>
      </c>
      <c r="E463">
        <v>8.6999999999999994E-2</v>
      </c>
      <c r="F463">
        <v>6</v>
      </c>
      <c r="G463">
        <v>19</v>
      </c>
      <c r="H463">
        <v>0.99819999999999998</v>
      </c>
      <c r="I463">
        <v>3.26</v>
      </c>
      <c r="J463">
        <v>0.61</v>
      </c>
      <c r="K463">
        <v>9.3000000000000007</v>
      </c>
      <c r="L463">
        <v>5</v>
      </c>
      <c r="M463" t="str">
        <f t="shared" si="56"/>
        <v>Medium</v>
      </c>
      <c r="N463">
        <f>(winequality_red[[#This Row],[Updated Quality &amp; Alcohol Analysis]]+winequality_red[[#This Row],[volatile acidity]]+winequality_red[[#This Row],[citric acid]])</f>
        <v>9.1350000000000016</v>
      </c>
      <c r="O463">
        <f t="shared" si="57"/>
        <v>4.033870967741935E-2</v>
      </c>
      <c r="S463" t="e">
        <f t="shared" si="58"/>
        <v>#N/A</v>
      </c>
      <c r="T463" t="e">
        <f t="shared" si="59"/>
        <v>#N/A</v>
      </c>
      <c r="U463">
        <f t="shared" si="60"/>
        <v>9.3000000000000007</v>
      </c>
      <c r="V463">
        <f t="shared" si="61"/>
        <v>5</v>
      </c>
      <c r="W463" t="e">
        <f t="shared" si="62"/>
        <v>#N/A</v>
      </c>
      <c r="X463" t="e">
        <f t="shared" si="63"/>
        <v>#N/A</v>
      </c>
    </row>
    <row r="464" spans="1:24" x14ac:dyDescent="0.3">
      <c r="A464">
        <v>11</v>
      </c>
      <c r="B464">
        <v>0.26</v>
      </c>
      <c r="C464">
        <v>0.68</v>
      </c>
      <c r="D464">
        <v>2.5499999999999998</v>
      </c>
      <c r="E464">
        <v>8.5000000000000006E-2</v>
      </c>
      <c r="F464">
        <v>10</v>
      </c>
      <c r="G464">
        <v>25</v>
      </c>
      <c r="H464">
        <v>0.997</v>
      </c>
      <c r="I464">
        <v>3.18</v>
      </c>
      <c r="J464">
        <v>0.61</v>
      </c>
      <c r="K464">
        <v>11.8</v>
      </c>
      <c r="L464">
        <v>5</v>
      </c>
      <c r="M464" t="str">
        <f t="shared" si="56"/>
        <v>Medium</v>
      </c>
      <c r="N464">
        <f>(winequality_red[[#This Row],[Updated Quality &amp; Alcohol Analysis]]+winequality_red[[#This Row],[volatile acidity]]+winequality_red[[#This Row],[citric acid]])</f>
        <v>11.94</v>
      </c>
      <c r="O464">
        <f t="shared" si="57"/>
        <v>1.3440677966101693E-2</v>
      </c>
      <c r="S464" t="e">
        <f t="shared" si="58"/>
        <v>#N/A</v>
      </c>
      <c r="T464" t="e">
        <f t="shared" si="59"/>
        <v>#N/A</v>
      </c>
      <c r="U464">
        <f t="shared" si="60"/>
        <v>11.8</v>
      </c>
      <c r="V464">
        <f t="shared" si="61"/>
        <v>5</v>
      </c>
      <c r="W464" t="e">
        <f t="shared" si="62"/>
        <v>#N/A</v>
      </c>
      <c r="X464" t="e">
        <f t="shared" si="63"/>
        <v>#N/A</v>
      </c>
    </row>
    <row r="465" spans="1:24" x14ac:dyDescent="0.3">
      <c r="A465">
        <v>8.1</v>
      </c>
      <c r="B465">
        <v>0.66</v>
      </c>
      <c r="C465">
        <v>0.7</v>
      </c>
      <c r="D465">
        <v>2.2000000000000002</v>
      </c>
      <c r="E465">
        <v>9.8000000000000004E-2</v>
      </c>
      <c r="F465">
        <v>25</v>
      </c>
      <c r="G465">
        <v>129</v>
      </c>
      <c r="H465">
        <v>0.99719999999999998</v>
      </c>
      <c r="I465">
        <v>3.08</v>
      </c>
      <c r="J465">
        <v>0.53</v>
      </c>
      <c r="K465">
        <v>9</v>
      </c>
      <c r="L465">
        <v>5</v>
      </c>
      <c r="M465" t="str">
        <f t="shared" si="56"/>
        <v>Medium</v>
      </c>
      <c r="N465">
        <f>(winequality_red[[#This Row],[Updated Quality &amp; Alcohol Analysis]]+winequality_red[[#This Row],[volatile acidity]]+winequality_red[[#This Row],[citric acid]])</f>
        <v>9.4599999999999991</v>
      </c>
      <c r="O465">
        <f t="shared" si="57"/>
        <v>3.8866666666666674E-2</v>
      </c>
      <c r="S465" t="e">
        <f t="shared" si="58"/>
        <v>#N/A</v>
      </c>
      <c r="T465" t="e">
        <f t="shared" si="59"/>
        <v>#N/A</v>
      </c>
      <c r="U465">
        <f t="shared" si="60"/>
        <v>9</v>
      </c>
      <c r="V465">
        <f t="shared" si="61"/>
        <v>5</v>
      </c>
      <c r="W465" t="e">
        <f t="shared" si="62"/>
        <v>#N/A</v>
      </c>
      <c r="X465" t="e">
        <f t="shared" si="63"/>
        <v>#N/A</v>
      </c>
    </row>
    <row r="466" spans="1:24" x14ac:dyDescent="0.3">
      <c r="A466">
        <v>11.5</v>
      </c>
      <c r="B466">
        <v>0.315</v>
      </c>
      <c r="C466">
        <v>0.54</v>
      </c>
      <c r="D466">
        <v>2.1</v>
      </c>
      <c r="E466">
        <v>8.4000000000000005E-2</v>
      </c>
      <c r="F466">
        <v>5</v>
      </c>
      <c r="G466">
        <v>15</v>
      </c>
      <c r="H466">
        <v>0.99870000000000003</v>
      </c>
      <c r="I466">
        <v>2.98</v>
      </c>
      <c r="J466">
        <v>0.7</v>
      </c>
      <c r="K466">
        <v>9.1999999999999993</v>
      </c>
      <c r="L466">
        <v>6</v>
      </c>
      <c r="M466" t="str">
        <f t="shared" si="56"/>
        <v>Medium</v>
      </c>
      <c r="N466">
        <f>(winequality_red[[#This Row],[Updated Quality &amp; Alcohol Analysis]]+winequality_red[[#This Row],[volatile acidity]]+winequality_red[[#This Row],[citric acid]])</f>
        <v>12.355</v>
      </c>
      <c r="O466">
        <f t="shared" si="57"/>
        <v>2.3967391304347826E-2</v>
      </c>
      <c r="S466" t="e">
        <f t="shared" si="58"/>
        <v>#N/A</v>
      </c>
      <c r="T466" t="e">
        <f t="shared" si="59"/>
        <v>#N/A</v>
      </c>
      <c r="U466">
        <f t="shared" si="60"/>
        <v>9.1999999999999993</v>
      </c>
      <c r="V466">
        <f t="shared" si="61"/>
        <v>6</v>
      </c>
      <c r="W466" t="e">
        <f t="shared" si="62"/>
        <v>#N/A</v>
      </c>
      <c r="X466" t="e">
        <f t="shared" si="63"/>
        <v>#N/A</v>
      </c>
    </row>
    <row r="467" spans="1:24" x14ac:dyDescent="0.3">
      <c r="A467">
        <v>10</v>
      </c>
      <c r="B467">
        <v>0.28999999999999998</v>
      </c>
      <c r="C467">
        <v>0.4</v>
      </c>
      <c r="D467">
        <v>2.9</v>
      </c>
      <c r="E467">
        <v>9.8000000000000004E-2</v>
      </c>
      <c r="F467">
        <v>10</v>
      </c>
      <c r="G467">
        <v>26</v>
      </c>
      <c r="H467">
        <v>1.0005999999999999</v>
      </c>
      <c r="I467">
        <v>3.48</v>
      </c>
      <c r="J467">
        <v>0.91</v>
      </c>
      <c r="K467">
        <v>9.6999999999999993</v>
      </c>
      <c r="L467">
        <v>5</v>
      </c>
      <c r="M467" t="str">
        <f t="shared" si="56"/>
        <v>Medium</v>
      </c>
      <c r="N467">
        <f>(winequality_red[[#This Row],[Updated Quality &amp; Alcohol Analysis]]+winequality_red[[#This Row],[volatile acidity]]+winequality_red[[#This Row],[citric acid]])</f>
        <v>10.69</v>
      </c>
      <c r="O467">
        <f t="shared" si="57"/>
        <v>2.7206185567010308E-2</v>
      </c>
      <c r="S467" t="e">
        <f t="shared" si="58"/>
        <v>#N/A</v>
      </c>
      <c r="T467" t="e">
        <f t="shared" si="59"/>
        <v>#N/A</v>
      </c>
      <c r="U467">
        <f t="shared" si="60"/>
        <v>9.6999999999999993</v>
      </c>
      <c r="V467">
        <f t="shared" si="61"/>
        <v>5</v>
      </c>
      <c r="W467" t="e">
        <f t="shared" si="62"/>
        <v>#N/A</v>
      </c>
      <c r="X467" t="e">
        <f t="shared" si="63"/>
        <v>#N/A</v>
      </c>
    </row>
    <row r="468" spans="1:24" x14ac:dyDescent="0.3">
      <c r="A468">
        <v>10.3</v>
      </c>
      <c r="B468">
        <v>0.5</v>
      </c>
      <c r="C468">
        <v>0.42</v>
      </c>
      <c r="D468">
        <v>2</v>
      </c>
      <c r="E468">
        <v>6.9000000000000006E-2</v>
      </c>
      <c r="F468">
        <v>21</v>
      </c>
      <c r="G468">
        <v>51</v>
      </c>
      <c r="H468">
        <v>0.99819999999999998</v>
      </c>
      <c r="I468">
        <v>3.16</v>
      </c>
      <c r="J468">
        <v>0.72</v>
      </c>
      <c r="K468">
        <v>11.5</v>
      </c>
      <c r="L468">
        <v>6</v>
      </c>
      <c r="M468" t="str">
        <f t="shared" si="56"/>
        <v>Medium</v>
      </c>
      <c r="N468">
        <f>(winequality_red[[#This Row],[Updated Quality &amp; Alcohol Analysis]]+winequality_red[[#This Row],[volatile acidity]]+winequality_red[[#This Row],[citric acid]])</f>
        <v>11.22</v>
      </c>
      <c r="O468">
        <f t="shared" si="57"/>
        <v>3.1304347826086952E-2</v>
      </c>
      <c r="S468" t="e">
        <f t="shared" si="58"/>
        <v>#N/A</v>
      </c>
      <c r="T468" t="e">
        <f t="shared" si="59"/>
        <v>#N/A</v>
      </c>
      <c r="U468">
        <f t="shared" si="60"/>
        <v>11.5</v>
      </c>
      <c r="V468">
        <f t="shared" si="61"/>
        <v>6</v>
      </c>
      <c r="W468" t="e">
        <f t="shared" si="62"/>
        <v>#N/A</v>
      </c>
      <c r="X468" t="e">
        <f t="shared" si="63"/>
        <v>#N/A</v>
      </c>
    </row>
    <row r="469" spans="1:24" x14ac:dyDescent="0.3">
      <c r="A469">
        <v>8.8000000000000007</v>
      </c>
      <c r="B469">
        <v>0.46</v>
      </c>
      <c r="C469">
        <v>0.45</v>
      </c>
      <c r="D469">
        <v>2.6</v>
      </c>
      <c r="E469">
        <v>6.5000000000000002E-2</v>
      </c>
      <c r="F469">
        <v>7</v>
      </c>
      <c r="G469">
        <v>18</v>
      </c>
      <c r="H469">
        <v>0.99470000000000003</v>
      </c>
      <c r="I469">
        <v>3.32</v>
      </c>
      <c r="J469">
        <v>0.79</v>
      </c>
      <c r="K469">
        <v>14</v>
      </c>
      <c r="L469">
        <v>6</v>
      </c>
      <c r="M469" t="str">
        <f t="shared" si="56"/>
        <v>Medium</v>
      </c>
      <c r="N469">
        <f>(winequality_red[[#This Row],[Updated Quality &amp; Alcohol Analysis]]+winequality_red[[#This Row],[volatile acidity]]+winequality_red[[#This Row],[citric acid]])</f>
        <v>9.7100000000000009</v>
      </c>
      <c r="O469">
        <f t="shared" si="57"/>
        <v>2.5957142857142863E-2</v>
      </c>
      <c r="S469" t="e">
        <f t="shared" si="58"/>
        <v>#N/A</v>
      </c>
      <c r="T469" t="e">
        <f t="shared" si="59"/>
        <v>#N/A</v>
      </c>
      <c r="U469">
        <f t="shared" si="60"/>
        <v>14</v>
      </c>
      <c r="V469">
        <f t="shared" si="61"/>
        <v>6</v>
      </c>
      <c r="W469" t="e">
        <f t="shared" si="62"/>
        <v>#N/A</v>
      </c>
      <c r="X469" t="e">
        <f t="shared" si="63"/>
        <v>#N/A</v>
      </c>
    </row>
    <row r="470" spans="1:24" x14ac:dyDescent="0.3">
      <c r="A470">
        <v>11.4</v>
      </c>
      <c r="B470">
        <v>0.36</v>
      </c>
      <c r="C470">
        <v>0.69</v>
      </c>
      <c r="D470">
        <v>2.1</v>
      </c>
      <c r="E470">
        <v>0.09</v>
      </c>
      <c r="F470">
        <v>6</v>
      </c>
      <c r="G470">
        <v>21</v>
      </c>
      <c r="H470">
        <v>1</v>
      </c>
      <c r="I470">
        <v>3.17</v>
      </c>
      <c r="J470">
        <v>0.62</v>
      </c>
      <c r="K470">
        <v>9.1999999999999993</v>
      </c>
      <c r="L470">
        <v>6</v>
      </c>
      <c r="M470" t="str">
        <f t="shared" si="56"/>
        <v>Medium</v>
      </c>
      <c r="N470">
        <f>(winequality_red[[#This Row],[Updated Quality &amp; Alcohol Analysis]]+winequality_red[[#This Row],[volatile acidity]]+winequality_red[[#This Row],[citric acid]])</f>
        <v>12.45</v>
      </c>
      <c r="O470">
        <f t="shared" si="57"/>
        <v>2.4260869565217391E-2</v>
      </c>
      <c r="S470" t="e">
        <f t="shared" si="58"/>
        <v>#N/A</v>
      </c>
      <c r="T470" t="e">
        <f t="shared" si="59"/>
        <v>#N/A</v>
      </c>
      <c r="U470">
        <f t="shared" si="60"/>
        <v>9.1999999999999993</v>
      </c>
      <c r="V470">
        <f t="shared" si="61"/>
        <v>6</v>
      </c>
      <c r="W470" t="e">
        <f t="shared" si="62"/>
        <v>#N/A</v>
      </c>
      <c r="X470" t="e">
        <f t="shared" si="63"/>
        <v>#N/A</v>
      </c>
    </row>
    <row r="471" spans="1:24" x14ac:dyDescent="0.3">
      <c r="A471">
        <v>8.6999999999999993</v>
      </c>
      <c r="B471">
        <v>0.82</v>
      </c>
      <c r="C471">
        <v>0.02</v>
      </c>
      <c r="D471">
        <v>1.2</v>
      </c>
      <c r="E471">
        <v>7.0000000000000007E-2</v>
      </c>
      <c r="F471">
        <v>36</v>
      </c>
      <c r="G471">
        <v>48</v>
      </c>
      <c r="H471">
        <v>0.99519999999999997</v>
      </c>
      <c r="I471">
        <v>3.2</v>
      </c>
      <c r="J471">
        <v>0.57999999999999996</v>
      </c>
      <c r="K471">
        <v>9.8000000000000007</v>
      </c>
      <c r="L471">
        <v>5</v>
      </c>
      <c r="M471" t="str">
        <f t="shared" si="56"/>
        <v>Medium</v>
      </c>
      <c r="N471">
        <f>(winequality_red[[#This Row],[Updated Quality &amp; Alcohol Analysis]]+winequality_red[[#This Row],[volatile acidity]]+winequality_red[[#This Row],[citric acid]])</f>
        <v>9.5399999999999991</v>
      </c>
      <c r="O471">
        <f t="shared" si="57"/>
        <v>4.853061224489795E-2</v>
      </c>
      <c r="S471" t="e">
        <f t="shared" si="58"/>
        <v>#N/A</v>
      </c>
      <c r="T471" t="e">
        <f t="shared" si="59"/>
        <v>#N/A</v>
      </c>
      <c r="U471">
        <f t="shared" si="60"/>
        <v>9.8000000000000007</v>
      </c>
      <c r="V471">
        <f t="shared" si="61"/>
        <v>5</v>
      </c>
      <c r="W471" t="e">
        <f t="shared" si="62"/>
        <v>#N/A</v>
      </c>
      <c r="X471" t="e">
        <f t="shared" si="63"/>
        <v>#N/A</v>
      </c>
    </row>
    <row r="472" spans="1:24" x14ac:dyDescent="0.3">
      <c r="A472">
        <v>13</v>
      </c>
      <c r="B472">
        <v>0.32</v>
      </c>
      <c r="C472">
        <v>0.65</v>
      </c>
      <c r="D472">
        <v>2.6</v>
      </c>
      <c r="E472">
        <v>9.3000000000000013E-2</v>
      </c>
      <c r="F472">
        <v>15</v>
      </c>
      <c r="G472">
        <v>47</v>
      </c>
      <c r="H472">
        <v>0.99960000000000004</v>
      </c>
      <c r="I472">
        <v>3.05</v>
      </c>
      <c r="J472">
        <v>0.61</v>
      </c>
      <c r="K472">
        <v>10.6</v>
      </c>
      <c r="L472">
        <v>5</v>
      </c>
      <c r="M472" t="str">
        <f t="shared" si="56"/>
        <v>Medium</v>
      </c>
      <c r="N472">
        <f>(winequality_red[[#This Row],[Updated Quality &amp; Alcohol Analysis]]+winequality_red[[#This Row],[volatile acidity]]+winequality_red[[#This Row],[citric acid]])</f>
        <v>13.97</v>
      </c>
      <c r="O472">
        <f t="shared" si="57"/>
        <v>1.8415094339622642E-2</v>
      </c>
      <c r="S472" t="e">
        <f t="shared" si="58"/>
        <v>#N/A</v>
      </c>
      <c r="T472" t="e">
        <f t="shared" si="59"/>
        <v>#N/A</v>
      </c>
      <c r="U472">
        <f t="shared" si="60"/>
        <v>10.6</v>
      </c>
      <c r="V472">
        <f t="shared" si="61"/>
        <v>5</v>
      </c>
      <c r="W472" t="e">
        <f t="shared" si="62"/>
        <v>#N/A</v>
      </c>
      <c r="X472" t="e">
        <f t="shared" si="63"/>
        <v>#N/A</v>
      </c>
    </row>
    <row r="473" spans="1:24" x14ac:dyDescent="0.3">
      <c r="A473">
        <v>9.6</v>
      </c>
      <c r="B473">
        <v>0.54</v>
      </c>
      <c r="C473">
        <v>0.42</v>
      </c>
      <c r="D473">
        <v>2.4</v>
      </c>
      <c r="E473">
        <v>8.1000000000000003E-2</v>
      </c>
      <c r="F473">
        <v>25</v>
      </c>
      <c r="G473">
        <v>52</v>
      </c>
      <c r="H473">
        <v>0.997</v>
      </c>
      <c r="I473">
        <v>3.2</v>
      </c>
      <c r="J473">
        <v>0.71</v>
      </c>
      <c r="K473">
        <v>11.4</v>
      </c>
      <c r="L473">
        <v>6</v>
      </c>
      <c r="M473" t="str">
        <f t="shared" si="56"/>
        <v>Medium</v>
      </c>
      <c r="N473">
        <f>(winequality_red[[#This Row],[Updated Quality &amp; Alcohol Analysis]]+winequality_red[[#This Row],[volatile acidity]]+winequality_red[[#This Row],[citric acid]])</f>
        <v>10.56</v>
      </c>
      <c r="O473">
        <f t="shared" si="57"/>
        <v>3.3631578947368422E-2</v>
      </c>
      <c r="S473" t="e">
        <f t="shared" si="58"/>
        <v>#N/A</v>
      </c>
      <c r="T473" t="e">
        <f t="shared" si="59"/>
        <v>#N/A</v>
      </c>
      <c r="U473">
        <f t="shared" si="60"/>
        <v>11.4</v>
      </c>
      <c r="V473">
        <f t="shared" si="61"/>
        <v>6</v>
      </c>
      <c r="W473" t="e">
        <f t="shared" si="62"/>
        <v>#N/A</v>
      </c>
      <c r="X473" t="e">
        <f t="shared" si="63"/>
        <v>#N/A</v>
      </c>
    </row>
    <row r="474" spans="1:24" x14ac:dyDescent="0.3">
      <c r="A474">
        <v>12.5</v>
      </c>
      <c r="B474">
        <v>0.37</v>
      </c>
      <c r="C474">
        <v>0.55000000000000004</v>
      </c>
      <c r="D474">
        <v>2.6</v>
      </c>
      <c r="E474">
        <v>8.3000000000000004E-2</v>
      </c>
      <c r="F474">
        <v>25</v>
      </c>
      <c r="G474">
        <v>68</v>
      </c>
      <c r="H474">
        <v>0.99950000000000006</v>
      </c>
      <c r="I474">
        <v>3.15</v>
      </c>
      <c r="J474">
        <v>0.82</v>
      </c>
      <c r="K474">
        <v>10.4</v>
      </c>
      <c r="L474">
        <v>6</v>
      </c>
      <c r="M474" t="str">
        <f t="shared" si="56"/>
        <v>Medium</v>
      </c>
      <c r="N474">
        <f>(winequality_red[[#This Row],[Updated Quality &amp; Alcohol Analysis]]+winequality_red[[#This Row],[volatile acidity]]+winequality_red[[#This Row],[citric acid]])</f>
        <v>13.42</v>
      </c>
      <c r="O474">
        <f t="shared" si="57"/>
        <v>2.9173076923076923E-2</v>
      </c>
      <c r="S474" t="e">
        <f t="shared" si="58"/>
        <v>#N/A</v>
      </c>
      <c r="T474" t="e">
        <f t="shared" si="59"/>
        <v>#N/A</v>
      </c>
      <c r="U474">
        <f t="shared" si="60"/>
        <v>10.4</v>
      </c>
      <c r="V474">
        <f t="shared" si="61"/>
        <v>6</v>
      </c>
      <c r="W474" t="e">
        <f t="shared" si="62"/>
        <v>#N/A</v>
      </c>
      <c r="X474" t="e">
        <f t="shared" si="63"/>
        <v>#N/A</v>
      </c>
    </row>
    <row r="475" spans="1:24" x14ac:dyDescent="0.3">
      <c r="A475">
        <v>9.9</v>
      </c>
      <c r="B475">
        <v>0.35</v>
      </c>
      <c r="C475">
        <v>0.55000000000000004</v>
      </c>
      <c r="D475">
        <v>2.1</v>
      </c>
      <c r="E475">
        <v>6.2E-2</v>
      </c>
      <c r="F475">
        <v>5</v>
      </c>
      <c r="G475">
        <v>14</v>
      </c>
      <c r="H475">
        <v>0.99709999999999999</v>
      </c>
      <c r="I475">
        <v>3.26</v>
      </c>
      <c r="J475">
        <v>0.79</v>
      </c>
      <c r="K475">
        <v>10.6</v>
      </c>
      <c r="L475">
        <v>5</v>
      </c>
      <c r="M475" t="str">
        <f t="shared" si="56"/>
        <v>Medium</v>
      </c>
      <c r="N475">
        <f>(winequality_red[[#This Row],[Updated Quality &amp; Alcohol Analysis]]+winequality_red[[#This Row],[volatile acidity]]+winequality_red[[#This Row],[citric acid]])</f>
        <v>10.8</v>
      </c>
      <c r="O475">
        <f t="shared" si="57"/>
        <v>2.6084905660377355E-2</v>
      </c>
      <c r="S475" t="e">
        <f t="shared" si="58"/>
        <v>#N/A</v>
      </c>
      <c r="T475" t="e">
        <f t="shared" si="59"/>
        <v>#N/A</v>
      </c>
      <c r="U475">
        <f t="shared" si="60"/>
        <v>10.6</v>
      </c>
      <c r="V475">
        <f t="shared" si="61"/>
        <v>5</v>
      </c>
      <c r="W475" t="e">
        <f t="shared" si="62"/>
        <v>#N/A</v>
      </c>
      <c r="X475" t="e">
        <f t="shared" si="63"/>
        <v>#N/A</v>
      </c>
    </row>
    <row r="476" spans="1:24" x14ac:dyDescent="0.3">
      <c r="A476">
        <v>10.5</v>
      </c>
      <c r="B476">
        <v>0.28000000000000003</v>
      </c>
      <c r="C476">
        <v>0.51</v>
      </c>
      <c r="D476">
        <v>1.7</v>
      </c>
      <c r="E476">
        <v>0.08</v>
      </c>
      <c r="F476">
        <v>10</v>
      </c>
      <c r="G476">
        <v>24</v>
      </c>
      <c r="H476">
        <v>0.99819999999999998</v>
      </c>
      <c r="I476">
        <v>3.2</v>
      </c>
      <c r="J476">
        <v>0.89</v>
      </c>
      <c r="K476">
        <v>9.4</v>
      </c>
      <c r="L476">
        <v>6</v>
      </c>
      <c r="M476" t="str">
        <f t="shared" si="56"/>
        <v>Medium</v>
      </c>
      <c r="N476">
        <f>(winequality_red[[#This Row],[Updated Quality &amp; Alcohol Analysis]]+winequality_red[[#This Row],[volatile acidity]]+winequality_red[[#This Row],[citric acid]])</f>
        <v>11.29</v>
      </c>
      <c r="O476">
        <f t="shared" si="57"/>
        <v>2.6510638297872344E-2</v>
      </c>
      <c r="S476" t="e">
        <f t="shared" si="58"/>
        <v>#N/A</v>
      </c>
      <c r="T476" t="e">
        <f t="shared" si="59"/>
        <v>#N/A</v>
      </c>
      <c r="U476">
        <f t="shared" si="60"/>
        <v>9.4</v>
      </c>
      <c r="V476">
        <f t="shared" si="61"/>
        <v>6</v>
      </c>
      <c r="W476" t="e">
        <f t="shared" si="62"/>
        <v>#N/A</v>
      </c>
      <c r="X476" t="e">
        <f t="shared" si="63"/>
        <v>#N/A</v>
      </c>
    </row>
    <row r="477" spans="1:24" x14ac:dyDescent="0.3">
      <c r="A477">
        <v>9.6</v>
      </c>
      <c r="B477">
        <v>0.68</v>
      </c>
      <c r="C477">
        <v>0.24</v>
      </c>
      <c r="D477">
        <v>2.2000000000000002</v>
      </c>
      <c r="E477">
        <v>8.6999999999999994E-2</v>
      </c>
      <c r="F477">
        <v>5</v>
      </c>
      <c r="G477">
        <v>28</v>
      </c>
      <c r="H477">
        <v>0.99880000000000002</v>
      </c>
      <c r="I477">
        <v>3.14</v>
      </c>
      <c r="J477">
        <v>0.6</v>
      </c>
      <c r="K477">
        <v>10.199999999999999</v>
      </c>
      <c r="L477">
        <v>5</v>
      </c>
      <c r="M477" t="str">
        <f t="shared" si="56"/>
        <v>Medium</v>
      </c>
      <c r="N477">
        <f>(winequality_red[[#This Row],[Updated Quality &amp; Alcohol Analysis]]+winequality_red[[#This Row],[volatile acidity]]+winequality_red[[#This Row],[citric acid]])</f>
        <v>10.52</v>
      </c>
      <c r="O477">
        <f t="shared" si="57"/>
        <v>4.0000000000000008E-2</v>
      </c>
      <c r="S477" t="e">
        <f t="shared" si="58"/>
        <v>#N/A</v>
      </c>
      <c r="T477" t="e">
        <f t="shared" si="59"/>
        <v>#N/A</v>
      </c>
      <c r="U477">
        <f t="shared" si="60"/>
        <v>10.199999999999999</v>
      </c>
      <c r="V477">
        <f t="shared" si="61"/>
        <v>5</v>
      </c>
      <c r="W477" t="e">
        <f t="shared" si="62"/>
        <v>#N/A</v>
      </c>
      <c r="X477" t="e">
        <f t="shared" si="63"/>
        <v>#N/A</v>
      </c>
    </row>
    <row r="478" spans="1:24" x14ac:dyDescent="0.3">
      <c r="A478">
        <v>9.3000000000000007</v>
      </c>
      <c r="B478">
        <v>0.27</v>
      </c>
      <c r="C478">
        <v>0.41</v>
      </c>
      <c r="D478">
        <v>2</v>
      </c>
      <c r="E478">
        <v>9.0999999999999998E-2</v>
      </c>
      <c r="F478">
        <v>6</v>
      </c>
      <c r="G478">
        <v>16</v>
      </c>
      <c r="H478">
        <v>0.998</v>
      </c>
      <c r="I478">
        <v>3.28</v>
      </c>
      <c r="J478">
        <v>0.7</v>
      </c>
      <c r="K478">
        <v>9.6999999999999993</v>
      </c>
      <c r="L478">
        <v>5</v>
      </c>
      <c r="M478" t="str">
        <f t="shared" si="56"/>
        <v>Medium</v>
      </c>
      <c r="N478">
        <f>(winequality_red[[#This Row],[Updated Quality &amp; Alcohol Analysis]]+winequality_red[[#This Row],[volatile acidity]]+winequality_red[[#This Row],[citric acid]])</f>
        <v>9.98</v>
      </c>
      <c r="O478">
        <f t="shared" si="57"/>
        <v>1.9484536082474229E-2</v>
      </c>
      <c r="S478" t="e">
        <f t="shared" si="58"/>
        <v>#N/A</v>
      </c>
      <c r="T478" t="e">
        <f t="shared" si="59"/>
        <v>#N/A</v>
      </c>
      <c r="U478">
        <f t="shared" si="60"/>
        <v>9.6999999999999993</v>
      </c>
      <c r="V478">
        <f t="shared" si="61"/>
        <v>5</v>
      </c>
      <c r="W478" t="e">
        <f t="shared" si="62"/>
        <v>#N/A</v>
      </c>
      <c r="X478" t="e">
        <f t="shared" si="63"/>
        <v>#N/A</v>
      </c>
    </row>
    <row r="479" spans="1:24" x14ac:dyDescent="0.3">
      <c r="A479">
        <v>10.4</v>
      </c>
      <c r="B479">
        <v>0.24</v>
      </c>
      <c r="C479">
        <v>0.49</v>
      </c>
      <c r="D479">
        <v>1.8</v>
      </c>
      <c r="E479">
        <v>7.4999999999999997E-2</v>
      </c>
      <c r="F479">
        <v>6</v>
      </c>
      <c r="G479">
        <v>20</v>
      </c>
      <c r="H479">
        <v>0.99770000000000003</v>
      </c>
      <c r="I479">
        <v>3.18</v>
      </c>
      <c r="J479">
        <v>1.06</v>
      </c>
      <c r="K479">
        <v>11</v>
      </c>
      <c r="L479">
        <v>6</v>
      </c>
      <c r="M479" t="str">
        <f t="shared" si="56"/>
        <v>Medium</v>
      </c>
      <c r="N479">
        <f>(winequality_red[[#This Row],[Updated Quality &amp; Alcohol Analysis]]+winequality_red[[#This Row],[volatile acidity]]+winequality_red[[#This Row],[citric acid]])</f>
        <v>11.13</v>
      </c>
      <c r="O479">
        <f t="shared" si="57"/>
        <v>2.3127272727272729E-2</v>
      </c>
      <c r="S479" t="e">
        <f t="shared" si="58"/>
        <v>#N/A</v>
      </c>
      <c r="T479" t="e">
        <f t="shared" si="59"/>
        <v>#N/A</v>
      </c>
      <c r="U479">
        <f t="shared" si="60"/>
        <v>11</v>
      </c>
      <c r="V479">
        <f t="shared" si="61"/>
        <v>6</v>
      </c>
      <c r="W479" t="e">
        <f t="shared" si="62"/>
        <v>#N/A</v>
      </c>
      <c r="X479" t="e">
        <f t="shared" si="63"/>
        <v>#N/A</v>
      </c>
    </row>
    <row r="480" spans="1:24" x14ac:dyDescent="0.3">
      <c r="A480">
        <v>9.6</v>
      </c>
      <c r="B480">
        <v>0.68</v>
      </c>
      <c r="C480">
        <v>0.24</v>
      </c>
      <c r="D480">
        <v>2.2000000000000002</v>
      </c>
      <c r="E480">
        <v>8.6999999999999994E-2</v>
      </c>
      <c r="F480">
        <v>5</v>
      </c>
      <c r="G480">
        <v>28</v>
      </c>
      <c r="H480">
        <v>0.99880000000000002</v>
      </c>
      <c r="I480">
        <v>3.14</v>
      </c>
      <c r="J480">
        <v>0.6</v>
      </c>
      <c r="K480">
        <v>10.199999999999999</v>
      </c>
      <c r="L480">
        <v>5</v>
      </c>
      <c r="M480" t="str">
        <f t="shared" si="56"/>
        <v>Medium</v>
      </c>
      <c r="N480">
        <f>(winequality_red[[#This Row],[Updated Quality &amp; Alcohol Analysis]]+winequality_red[[#This Row],[volatile acidity]]+winequality_red[[#This Row],[citric acid]])</f>
        <v>10.52</v>
      </c>
      <c r="O480">
        <f t="shared" si="57"/>
        <v>4.0000000000000008E-2</v>
      </c>
      <c r="S480" t="e">
        <f t="shared" si="58"/>
        <v>#N/A</v>
      </c>
      <c r="T480" t="e">
        <f t="shared" si="59"/>
        <v>#N/A</v>
      </c>
      <c r="U480">
        <f t="shared" si="60"/>
        <v>10.199999999999999</v>
      </c>
      <c r="V480">
        <f t="shared" si="61"/>
        <v>5</v>
      </c>
      <c r="W480" t="e">
        <f t="shared" si="62"/>
        <v>#N/A</v>
      </c>
      <c r="X480" t="e">
        <f t="shared" si="63"/>
        <v>#N/A</v>
      </c>
    </row>
    <row r="481" spans="1:24" x14ac:dyDescent="0.3">
      <c r="A481">
        <v>9.4</v>
      </c>
      <c r="B481">
        <v>0.68500000000000005</v>
      </c>
      <c r="C481">
        <v>0.11</v>
      </c>
      <c r="D481">
        <v>2.7</v>
      </c>
      <c r="E481">
        <v>7.6999999999999999E-2</v>
      </c>
      <c r="F481">
        <v>6</v>
      </c>
      <c r="G481">
        <v>31</v>
      </c>
      <c r="H481">
        <v>0.99839999999999995</v>
      </c>
      <c r="I481">
        <v>3.19</v>
      </c>
      <c r="J481">
        <v>0.7</v>
      </c>
      <c r="K481">
        <v>10.1</v>
      </c>
      <c r="L481">
        <v>6</v>
      </c>
      <c r="M481" t="str">
        <f t="shared" si="56"/>
        <v>Medium</v>
      </c>
      <c r="N481">
        <f>(winequality_red[[#This Row],[Updated Quality &amp; Alcohol Analysis]]+winequality_red[[#This Row],[volatile acidity]]+winequality_red[[#This Row],[citric acid]])</f>
        <v>10.195</v>
      </c>
      <c r="O481">
        <f t="shared" si="57"/>
        <v>4.7475247524752476E-2</v>
      </c>
      <c r="S481" t="e">
        <f t="shared" si="58"/>
        <v>#N/A</v>
      </c>
      <c r="T481" t="e">
        <f t="shared" si="59"/>
        <v>#N/A</v>
      </c>
      <c r="U481">
        <f t="shared" si="60"/>
        <v>10.1</v>
      </c>
      <c r="V481">
        <f t="shared" si="61"/>
        <v>6</v>
      </c>
      <c r="W481" t="e">
        <f t="shared" si="62"/>
        <v>#N/A</v>
      </c>
      <c r="X481" t="e">
        <f t="shared" si="63"/>
        <v>#N/A</v>
      </c>
    </row>
    <row r="482" spans="1:24" x14ac:dyDescent="0.3">
      <c r="A482">
        <v>10.6</v>
      </c>
      <c r="B482">
        <v>0.28000000000000003</v>
      </c>
      <c r="C482">
        <v>0.39</v>
      </c>
      <c r="D482">
        <v>15.5</v>
      </c>
      <c r="E482">
        <v>6.9000000000000006E-2</v>
      </c>
      <c r="F482">
        <v>6</v>
      </c>
      <c r="G482">
        <v>23</v>
      </c>
      <c r="H482">
        <v>1.0025999999999999</v>
      </c>
      <c r="I482">
        <v>3.12</v>
      </c>
      <c r="J482">
        <v>0.66</v>
      </c>
      <c r="K482">
        <v>9.1999999999999993</v>
      </c>
      <c r="L482">
        <v>5</v>
      </c>
      <c r="M482" t="str">
        <f t="shared" si="56"/>
        <v>Medium</v>
      </c>
      <c r="N482">
        <f>(winequality_red[[#This Row],[Updated Quality &amp; Alcohol Analysis]]+winequality_red[[#This Row],[volatile acidity]]+winequality_red[[#This Row],[citric acid]])</f>
        <v>11.27</v>
      </c>
      <c r="O482">
        <f t="shared" si="57"/>
        <v>2.0086956521739134E-2</v>
      </c>
      <c r="S482" t="e">
        <f t="shared" si="58"/>
        <v>#N/A</v>
      </c>
      <c r="T482" t="e">
        <f t="shared" si="59"/>
        <v>#N/A</v>
      </c>
      <c r="U482">
        <f t="shared" si="60"/>
        <v>9.1999999999999993</v>
      </c>
      <c r="V482">
        <f t="shared" si="61"/>
        <v>5</v>
      </c>
      <c r="W482" t="e">
        <f t="shared" si="62"/>
        <v>#N/A</v>
      </c>
      <c r="X482" t="e">
        <f t="shared" si="63"/>
        <v>#N/A</v>
      </c>
    </row>
    <row r="483" spans="1:24" x14ac:dyDescent="0.3">
      <c r="A483">
        <v>9.4</v>
      </c>
      <c r="B483">
        <v>0.3</v>
      </c>
      <c r="C483">
        <v>0.56000000000000005</v>
      </c>
      <c r="D483">
        <v>2.8</v>
      </c>
      <c r="E483">
        <v>0.08</v>
      </c>
      <c r="F483">
        <v>6</v>
      </c>
      <c r="G483">
        <v>17</v>
      </c>
      <c r="H483">
        <v>0.99639999999999995</v>
      </c>
      <c r="I483">
        <v>3.15</v>
      </c>
      <c r="J483">
        <v>0.92</v>
      </c>
      <c r="K483">
        <v>11.7</v>
      </c>
      <c r="L483">
        <v>8</v>
      </c>
      <c r="M483" t="str">
        <f t="shared" si="56"/>
        <v>High</v>
      </c>
      <c r="N483">
        <f>(winequality_red[[#This Row],[Updated Quality &amp; Alcohol Analysis]]+winequality_red[[#This Row],[volatile acidity]]+winequality_red[[#This Row],[citric acid]])</f>
        <v>10.260000000000002</v>
      </c>
      <c r="O483">
        <f t="shared" si="57"/>
        <v>2.3589743589743594E-2</v>
      </c>
      <c r="S483" t="e">
        <f t="shared" si="58"/>
        <v>#N/A</v>
      </c>
      <c r="T483" t="e">
        <f t="shared" si="59"/>
        <v>#N/A</v>
      </c>
      <c r="U483" t="e">
        <f t="shared" si="60"/>
        <v>#N/A</v>
      </c>
      <c r="V483" t="e">
        <f t="shared" si="61"/>
        <v>#N/A</v>
      </c>
      <c r="W483">
        <f t="shared" si="62"/>
        <v>11.7</v>
      </c>
      <c r="X483">
        <f t="shared" si="63"/>
        <v>8</v>
      </c>
    </row>
    <row r="484" spans="1:24" x14ac:dyDescent="0.3">
      <c r="A484">
        <v>10.6</v>
      </c>
      <c r="B484">
        <v>0.36</v>
      </c>
      <c r="C484">
        <v>0.59</v>
      </c>
      <c r="D484">
        <v>2.2000000000000002</v>
      </c>
      <c r="E484">
        <v>0.152</v>
      </c>
      <c r="F484">
        <v>6</v>
      </c>
      <c r="G484">
        <v>18</v>
      </c>
      <c r="H484">
        <v>0.99860000000000004</v>
      </c>
      <c r="I484">
        <v>3.04</v>
      </c>
      <c r="J484">
        <v>1.05</v>
      </c>
      <c r="K484">
        <v>9.4</v>
      </c>
      <c r="L484">
        <v>5</v>
      </c>
      <c r="M484" t="str">
        <f t="shared" si="56"/>
        <v>Medium</v>
      </c>
      <c r="N484">
        <f>(winequality_red[[#This Row],[Updated Quality &amp; Alcohol Analysis]]+winequality_red[[#This Row],[volatile acidity]]+winequality_red[[#This Row],[citric acid]])</f>
        <v>11.549999999999999</v>
      </c>
      <c r="O484">
        <f t="shared" si="57"/>
        <v>4.0212765957446807E-2</v>
      </c>
      <c r="S484" t="e">
        <f t="shared" si="58"/>
        <v>#N/A</v>
      </c>
      <c r="T484" t="e">
        <f t="shared" si="59"/>
        <v>#N/A</v>
      </c>
      <c r="U484">
        <f t="shared" si="60"/>
        <v>9.4</v>
      </c>
      <c r="V484">
        <f t="shared" si="61"/>
        <v>5</v>
      </c>
      <c r="W484" t="e">
        <f t="shared" si="62"/>
        <v>#N/A</v>
      </c>
      <c r="X484" t="e">
        <f t="shared" si="63"/>
        <v>#N/A</v>
      </c>
    </row>
    <row r="485" spans="1:24" x14ac:dyDescent="0.3">
      <c r="A485">
        <v>10.6</v>
      </c>
      <c r="B485">
        <v>0.36</v>
      </c>
      <c r="C485">
        <v>0.6</v>
      </c>
      <c r="D485">
        <v>2.2000000000000002</v>
      </c>
      <c r="E485">
        <v>0.152</v>
      </c>
      <c r="F485">
        <v>7</v>
      </c>
      <c r="G485">
        <v>18</v>
      </c>
      <c r="H485">
        <v>0.99860000000000004</v>
      </c>
      <c r="I485">
        <v>3.04</v>
      </c>
      <c r="J485">
        <v>1.06</v>
      </c>
      <c r="K485">
        <v>9.4</v>
      </c>
      <c r="L485">
        <v>5</v>
      </c>
      <c r="M485" t="str">
        <f t="shared" si="56"/>
        <v>Medium</v>
      </c>
      <c r="N485">
        <f>(winequality_red[[#This Row],[Updated Quality &amp; Alcohol Analysis]]+winequality_red[[#This Row],[volatile acidity]]+winequality_red[[#This Row],[citric acid]])</f>
        <v>11.559999999999999</v>
      </c>
      <c r="O485">
        <f t="shared" si="57"/>
        <v>4.0595744680851059E-2</v>
      </c>
      <c r="S485" t="e">
        <f t="shared" si="58"/>
        <v>#N/A</v>
      </c>
      <c r="T485" t="e">
        <f t="shared" si="59"/>
        <v>#N/A</v>
      </c>
      <c r="U485">
        <f t="shared" si="60"/>
        <v>9.4</v>
      </c>
      <c r="V485">
        <f t="shared" si="61"/>
        <v>5</v>
      </c>
      <c r="W485" t="e">
        <f t="shared" si="62"/>
        <v>#N/A</v>
      </c>
      <c r="X485" t="e">
        <f t="shared" si="63"/>
        <v>#N/A</v>
      </c>
    </row>
    <row r="486" spans="1:24" x14ac:dyDescent="0.3">
      <c r="A486">
        <v>10.6</v>
      </c>
      <c r="B486">
        <v>0.44</v>
      </c>
      <c r="C486">
        <v>0.68</v>
      </c>
      <c r="D486">
        <v>4.0999999999999996</v>
      </c>
      <c r="E486">
        <v>0.114</v>
      </c>
      <c r="F486">
        <v>6</v>
      </c>
      <c r="G486">
        <v>24</v>
      </c>
      <c r="H486">
        <v>0.997</v>
      </c>
      <c r="I486">
        <v>3.06</v>
      </c>
      <c r="J486">
        <v>0.66</v>
      </c>
      <c r="K486">
        <v>13.4</v>
      </c>
      <c r="L486">
        <v>6</v>
      </c>
      <c r="M486" t="str">
        <f t="shared" si="56"/>
        <v>Medium</v>
      </c>
      <c r="N486">
        <f>(winequality_red[[#This Row],[Updated Quality &amp; Alcohol Analysis]]+winequality_red[[#This Row],[volatile acidity]]+winequality_red[[#This Row],[citric acid]])</f>
        <v>11.719999999999999</v>
      </c>
      <c r="O486">
        <f t="shared" si="57"/>
        <v>2.1671641791044773E-2</v>
      </c>
      <c r="S486" t="e">
        <f t="shared" si="58"/>
        <v>#N/A</v>
      </c>
      <c r="T486" t="e">
        <f t="shared" si="59"/>
        <v>#N/A</v>
      </c>
      <c r="U486">
        <f t="shared" si="60"/>
        <v>13.4</v>
      </c>
      <c r="V486">
        <f t="shared" si="61"/>
        <v>6</v>
      </c>
      <c r="W486" t="e">
        <f t="shared" si="62"/>
        <v>#N/A</v>
      </c>
      <c r="X486" t="e">
        <f t="shared" si="63"/>
        <v>#N/A</v>
      </c>
    </row>
    <row r="487" spans="1:24" x14ac:dyDescent="0.3">
      <c r="A487">
        <v>10.199999999999999</v>
      </c>
      <c r="B487">
        <v>0.67</v>
      </c>
      <c r="C487">
        <v>0.39</v>
      </c>
      <c r="D487">
        <v>1.9</v>
      </c>
      <c r="E487">
        <v>5.4000000000000006E-2</v>
      </c>
      <c r="F487">
        <v>6</v>
      </c>
      <c r="G487">
        <v>17</v>
      </c>
      <c r="H487">
        <v>0.99760000000000004</v>
      </c>
      <c r="I487">
        <v>3.17</v>
      </c>
      <c r="J487">
        <v>0.47</v>
      </c>
      <c r="K487">
        <v>10</v>
      </c>
      <c r="L487">
        <v>5</v>
      </c>
      <c r="M487" t="str">
        <f t="shared" si="56"/>
        <v>Medium</v>
      </c>
      <c r="N487">
        <f>(winequality_red[[#This Row],[Updated Quality &amp; Alcohol Analysis]]+winequality_red[[#This Row],[volatile acidity]]+winequality_red[[#This Row],[citric acid]])</f>
        <v>11.26</v>
      </c>
      <c r="O487">
        <f t="shared" si="57"/>
        <v>3.1490000000000004E-2</v>
      </c>
      <c r="S487" t="e">
        <f t="shared" si="58"/>
        <v>#N/A</v>
      </c>
      <c r="T487" t="e">
        <f t="shared" si="59"/>
        <v>#N/A</v>
      </c>
      <c r="U487">
        <f t="shared" si="60"/>
        <v>10</v>
      </c>
      <c r="V487">
        <f t="shared" si="61"/>
        <v>5</v>
      </c>
      <c r="W487" t="e">
        <f t="shared" si="62"/>
        <v>#N/A</v>
      </c>
      <c r="X487" t="e">
        <f t="shared" si="63"/>
        <v>#N/A</v>
      </c>
    </row>
    <row r="488" spans="1:24" x14ac:dyDescent="0.3">
      <c r="A488">
        <v>10.199999999999999</v>
      </c>
      <c r="B488">
        <v>0.67</v>
      </c>
      <c r="C488">
        <v>0.39</v>
      </c>
      <c r="D488">
        <v>1.9</v>
      </c>
      <c r="E488">
        <v>5.4000000000000006E-2</v>
      </c>
      <c r="F488">
        <v>6</v>
      </c>
      <c r="G488">
        <v>17</v>
      </c>
      <c r="H488">
        <v>0.99760000000000004</v>
      </c>
      <c r="I488">
        <v>3.17</v>
      </c>
      <c r="J488">
        <v>0.47</v>
      </c>
      <c r="K488">
        <v>10</v>
      </c>
      <c r="L488">
        <v>5</v>
      </c>
      <c r="M488" t="str">
        <f t="shared" si="56"/>
        <v>Medium</v>
      </c>
      <c r="N488">
        <f>(winequality_red[[#This Row],[Updated Quality &amp; Alcohol Analysis]]+winequality_red[[#This Row],[volatile acidity]]+winequality_red[[#This Row],[citric acid]])</f>
        <v>11.26</v>
      </c>
      <c r="O488">
        <f t="shared" si="57"/>
        <v>3.1490000000000004E-2</v>
      </c>
      <c r="S488" t="e">
        <f t="shared" si="58"/>
        <v>#N/A</v>
      </c>
      <c r="T488" t="e">
        <f t="shared" si="59"/>
        <v>#N/A</v>
      </c>
      <c r="U488">
        <f t="shared" si="60"/>
        <v>10</v>
      </c>
      <c r="V488">
        <f t="shared" si="61"/>
        <v>5</v>
      </c>
      <c r="W488" t="e">
        <f t="shared" si="62"/>
        <v>#N/A</v>
      </c>
      <c r="X488" t="e">
        <f t="shared" si="63"/>
        <v>#N/A</v>
      </c>
    </row>
    <row r="489" spans="1:24" x14ac:dyDescent="0.3">
      <c r="A489">
        <v>10.199999999999999</v>
      </c>
      <c r="B489">
        <v>0.64500000000000002</v>
      </c>
      <c r="C489">
        <v>0.36</v>
      </c>
      <c r="D489">
        <v>1.8</v>
      </c>
      <c r="E489">
        <v>5.2999999999999999E-2</v>
      </c>
      <c r="F489">
        <v>5</v>
      </c>
      <c r="G489">
        <v>14</v>
      </c>
      <c r="H489">
        <v>0.99819999999999998</v>
      </c>
      <c r="I489">
        <v>3.17</v>
      </c>
      <c r="J489">
        <v>0.42</v>
      </c>
      <c r="K489">
        <v>10</v>
      </c>
      <c r="L489">
        <v>6</v>
      </c>
      <c r="M489" t="str">
        <f t="shared" si="56"/>
        <v>Medium</v>
      </c>
      <c r="N489">
        <f>(winequality_red[[#This Row],[Updated Quality &amp; Alcohol Analysis]]+winequality_red[[#This Row],[volatile acidity]]+winequality_red[[#This Row],[citric acid]])</f>
        <v>11.204999999999998</v>
      </c>
      <c r="O489">
        <f t="shared" si="57"/>
        <v>2.7089999999999996E-2</v>
      </c>
      <c r="S489" t="e">
        <f t="shared" si="58"/>
        <v>#N/A</v>
      </c>
      <c r="T489" t="e">
        <f t="shared" si="59"/>
        <v>#N/A</v>
      </c>
      <c r="U489">
        <f t="shared" si="60"/>
        <v>10</v>
      </c>
      <c r="V489">
        <f t="shared" si="61"/>
        <v>6</v>
      </c>
      <c r="W489" t="e">
        <f t="shared" si="62"/>
        <v>#N/A</v>
      </c>
      <c r="X489" t="e">
        <f t="shared" si="63"/>
        <v>#N/A</v>
      </c>
    </row>
    <row r="490" spans="1:24" x14ac:dyDescent="0.3">
      <c r="A490">
        <v>11.6</v>
      </c>
      <c r="B490">
        <v>0.32</v>
      </c>
      <c r="C490">
        <v>0.55000000000000004</v>
      </c>
      <c r="D490">
        <v>2.8</v>
      </c>
      <c r="E490">
        <v>8.1000000000000003E-2</v>
      </c>
      <c r="F490">
        <v>35</v>
      </c>
      <c r="G490">
        <v>67</v>
      </c>
      <c r="H490">
        <v>1.0002</v>
      </c>
      <c r="I490">
        <v>3.32</v>
      </c>
      <c r="J490">
        <v>0.92</v>
      </c>
      <c r="K490">
        <v>10.8</v>
      </c>
      <c r="L490">
        <v>7</v>
      </c>
      <c r="M490" t="str">
        <f t="shared" si="56"/>
        <v>High</v>
      </c>
      <c r="N490">
        <f>(winequality_red[[#This Row],[Updated Quality &amp; Alcohol Analysis]]+winequality_red[[#This Row],[volatile acidity]]+winequality_red[[#This Row],[citric acid]])</f>
        <v>12.47</v>
      </c>
      <c r="O490">
        <f t="shared" si="57"/>
        <v>2.7259259259259257E-2</v>
      </c>
      <c r="S490" t="e">
        <f t="shared" si="58"/>
        <v>#N/A</v>
      </c>
      <c r="T490" t="e">
        <f t="shared" si="59"/>
        <v>#N/A</v>
      </c>
      <c r="U490" t="e">
        <f t="shared" si="60"/>
        <v>#N/A</v>
      </c>
      <c r="V490" t="e">
        <f t="shared" si="61"/>
        <v>#N/A</v>
      </c>
      <c r="W490">
        <f t="shared" si="62"/>
        <v>10.8</v>
      </c>
      <c r="X490">
        <f t="shared" si="63"/>
        <v>7</v>
      </c>
    </row>
    <row r="491" spans="1:24" x14ac:dyDescent="0.3">
      <c r="A491">
        <v>9.3000000000000007</v>
      </c>
      <c r="B491">
        <v>0.39</v>
      </c>
      <c r="C491">
        <v>0.4</v>
      </c>
      <c r="D491">
        <v>2.6</v>
      </c>
      <c r="E491">
        <v>7.2999999999999995E-2</v>
      </c>
      <c r="F491">
        <v>10</v>
      </c>
      <c r="G491">
        <v>26</v>
      </c>
      <c r="H491">
        <v>0.99839999999999995</v>
      </c>
      <c r="I491">
        <v>3.34</v>
      </c>
      <c r="J491">
        <v>0.75</v>
      </c>
      <c r="K491">
        <v>10.199999999999999</v>
      </c>
      <c r="L491">
        <v>6</v>
      </c>
      <c r="M491" t="str">
        <f t="shared" si="56"/>
        <v>Medium</v>
      </c>
      <c r="N491">
        <f>(winequality_red[[#This Row],[Updated Quality &amp; Alcohol Analysis]]+winequality_red[[#This Row],[volatile acidity]]+winequality_red[[#This Row],[citric acid]])</f>
        <v>10.090000000000002</v>
      </c>
      <c r="O491">
        <f t="shared" si="57"/>
        <v>2.8676470588235293E-2</v>
      </c>
      <c r="S491" t="e">
        <f t="shared" si="58"/>
        <v>#N/A</v>
      </c>
      <c r="T491" t="e">
        <f t="shared" si="59"/>
        <v>#N/A</v>
      </c>
      <c r="U491">
        <f t="shared" si="60"/>
        <v>10.199999999999999</v>
      </c>
      <c r="V491">
        <f t="shared" si="61"/>
        <v>6</v>
      </c>
      <c r="W491" t="e">
        <f t="shared" si="62"/>
        <v>#N/A</v>
      </c>
      <c r="X491" t="e">
        <f t="shared" si="63"/>
        <v>#N/A</v>
      </c>
    </row>
    <row r="492" spans="1:24" x14ac:dyDescent="0.3">
      <c r="A492">
        <v>9.3000000000000007</v>
      </c>
      <c r="B492">
        <v>0.77500000000000002</v>
      </c>
      <c r="C492">
        <v>0.27</v>
      </c>
      <c r="D492">
        <v>2.8</v>
      </c>
      <c r="E492">
        <v>7.8E-2</v>
      </c>
      <c r="F492">
        <v>24</v>
      </c>
      <c r="G492">
        <v>56</v>
      </c>
      <c r="H492">
        <v>0.99839999999999995</v>
      </c>
      <c r="I492">
        <v>3.31</v>
      </c>
      <c r="J492">
        <v>0.67</v>
      </c>
      <c r="K492">
        <v>10.6</v>
      </c>
      <c r="L492">
        <v>6</v>
      </c>
      <c r="M492" t="str">
        <f t="shared" si="56"/>
        <v>Medium</v>
      </c>
      <c r="N492">
        <f>(winequality_red[[#This Row],[Updated Quality &amp; Alcohol Analysis]]+winequality_red[[#This Row],[volatile acidity]]+winequality_red[[#This Row],[citric acid]])</f>
        <v>10.345000000000001</v>
      </c>
      <c r="O492">
        <f t="shared" si="57"/>
        <v>4.8985849056603782E-2</v>
      </c>
      <c r="S492" t="e">
        <f t="shared" si="58"/>
        <v>#N/A</v>
      </c>
      <c r="T492" t="e">
        <f t="shared" si="59"/>
        <v>#N/A</v>
      </c>
      <c r="U492">
        <f t="shared" si="60"/>
        <v>10.6</v>
      </c>
      <c r="V492">
        <f t="shared" si="61"/>
        <v>6</v>
      </c>
      <c r="W492" t="e">
        <f t="shared" si="62"/>
        <v>#N/A</v>
      </c>
      <c r="X492" t="e">
        <f t="shared" si="63"/>
        <v>#N/A</v>
      </c>
    </row>
    <row r="493" spans="1:24" x14ac:dyDescent="0.3">
      <c r="A493">
        <v>9.1999999999999993</v>
      </c>
      <c r="B493">
        <v>0.41</v>
      </c>
      <c r="C493">
        <v>0.5</v>
      </c>
      <c r="D493">
        <v>2.5</v>
      </c>
      <c r="E493">
        <v>5.5E-2</v>
      </c>
      <c r="F493">
        <v>12</v>
      </c>
      <c r="G493">
        <v>25</v>
      </c>
      <c r="H493">
        <v>0.99519999999999997</v>
      </c>
      <c r="I493">
        <v>3.34</v>
      </c>
      <c r="J493">
        <v>0.79</v>
      </c>
      <c r="K493">
        <v>13.3</v>
      </c>
      <c r="L493">
        <v>7</v>
      </c>
      <c r="M493" t="str">
        <f t="shared" si="56"/>
        <v>High</v>
      </c>
      <c r="N493">
        <f>(winequality_red[[#This Row],[Updated Quality &amp; Alcohol Analysis]]+winequality_red[[#This Row],[volatile acidity]]+winequality_red[[#This Row],[citric acid]])</f>
        <v>10.11</v>
      </c>
      <c r="O493">
        <f t="shared" si="57"/>
        <v>2.4353383458646616E-2</v>
      </c>
      <c r="S493" t="e">
        <f t="shared" si="58"/>
        <v>#N/A</v>
      </c>
      <c r="T493" t="e">
        <f t="shared" si="59"/>
        <v>#N/A</v>
      </c>
      <c r="U493" t="e">
        <f t="shared" si="60"/>
        <v>#N/A</v>
      </c>
      <c r="V493" t="e">
        <f t="shared" si="61"/>
        <v>#N/A</v>
      </c>
      <c r="W493">
        <f t="shared" si="62"/>
        <v>13.3</v>
      </c>
      <c r="X493">
        <f t="shared" si="63"/>
        <v>7</v>
      </c>
    </row>
    <row r="494" spans="1:24" x14ac:dyDescent="0.3">
      <c r="A494">
        <v>8.9</v>
      </c>
      <c r="B494">
        <v>0.4</v>
      </c>
      <c r="C494">
        <v>0.51</v>
      </c>
      <c r="D494">
        <v>2.6</v>
      </c>
      <c r="E494">
        <v>5.2000000000000005E-2</v>
      </c>
      <c r="F494">
        <v>13</v>
      </c>
      <c r="G494">
        <v>27</v>
      </c>
      <c r="H494">
        <v>0.995</v>
      </c>
      <c r="I494">
        <v>3.32</v>
      </c>
      <c r="J494">
        <v>0.9</v>
      </c>
      <c r="K494">
        <v>13.4</v>
      </c>
      <c r="L494">
        <v>7</v>
      </c>
      <c r="M494" t="str">
        <f t="shared" si="56"/>
        <v>High</v>
      </c>
      <c r="N494">
        <f>(winequality_red[[#This Row],[Updated Quality &amp; Alcohol Analysis]]+winequality_red[[#This Row],[volatile acidity]]+winequality_red[[#This Row],[citric acid]])</f>
        <v>9.81</v>
      </c>
      <c r="O494">
        <f t="shared" si="57"/>
        <v>2.6865671641791048E-2</v>
      </c>
      <c r="S494" t="e">
        <f t="shared" si="58"/>
        <v>#N/A</v>
      </c>
      <c r="T494" t="e">
        <f t="shared" si="59"/>
        <v>#N/A</v>
      </c>
      <c r="U494" t="e">
        <f t="shared" si="60"/>
        <v>#N/A</v>
      </c>
      <c r="V494" t="e">
        <f t="shared" si="61"/>
        <v>#N/A</v>
      </c>
      <c r="W494">
        <f t="shared" si="62"/>
        <v>13.4</v>
      </c>
      <c r="X494">
        <f t="shared" si="63"/>
        <v>7</v>
      </c>
    </row>
    <row r="495" spans="1:24" x14ac:dyDescent="0.3">
      <c r="A495">
        <v>8.6999999999999993</v>
      </c>
      <c r="B495">
        <v>0.69</v>
      </c>
      <c r="C495">
        <v>0.31</v>
      </c>
      <c r="D495">
        <v>3</v>
      </c>
      <c r="E495">
        <v>8.5999999999999993E-2</v>
      </c>
      <c r="F495">
        <v>23</v>
      </c>
      <c r="G495">
        <v>81</v>
      </c>
      <c r="H495">
        <v>1.0002</v>
      </c>
      <c r="I495">
        <v>3.48</v>
      </c>
      <c r="J495">
        <v>0.74</v>
      </c>
      <c r="K495">
        <v>11.6</v>
      </c>
      <c r="L495">
        <v>6</v>
      </c>
      <c r="M495" t="str">
        <f t="shared" si="56"/>
        <v>Medium</v>
      </c>
      <c r="N495">
        <f>(winequality_red[[#This Row],[Updated Quality &amp; Alcohol Analysis]]+winequality_red[[#This Row],[volatile acidity]]+winequality_red[[#This Row],[citric acid]])</f>
        <v>9.6999999999999993</v>
      </c>
      <c r="O495">
        <f t="shared" si="57"/>
        <v>4.4017241379310339E-2</v>
      </c>
      <c r="S495" t="e">
        <f t="shared" si="58"/>
        <v>#N/A</v>
      </c>
      <c r="T495" t="e">
        <f t="shared" si="59"/>
        <v>#N/A</v>
      </c>
      <c r="U495">
        <f t="shared" si="60"/>
        <v>11.6</v>
      </c>
      <c r="V495">
        <f t="shared" si="61"/>
        <v>6</v>
      </c>
      <c r="W495" t="e">
        <f t="shared" si="62"/>
        <v>#N/A</v>
      </c>
      <c r="X495" t="e">
        <f t="shared" si="63"/>
        <v>#N/A</v>
      </c>
    </row>
    <row r="496" spans="1:24" x14ac:dyDescent="0.3">
      <c r="A496">
        <v>6.5</v>
      </c>
      <c r="B496">
        <v>0.39</v>
      </c>
      <c r="C496">
        <v>0.23</v>
      </c>
      <c r="D496">
        <v>8.3000000000000007</v>
      </c>
      <c r="E496">
        <v>5.0999999999999997E-2</v>
      </c>
      <c r="F496">
        <v>28</v>
      </c>
      <c r="G496">
        <v>91</v>
      </c>
      <c r="H496">
        <v>0.99519999999999997</v>
      </c>
      <c r="I496">
        <v>3.44</v>
      </c>
      <c r="J496">
        <v>0.55000000000000004</v>
      </c>
      <c r="K496">
        <v>12.1</v>
      </c>
      <c r="L496">
        <v>6</v>
      </c>
      <c r="M496" t="str">
        <f t="shared" si="56"/>
        <v>Medium</v>
      </c>
      <c r="N496">
        <f>(winequality_red[[#This Row],[Updated Quality &amp; Alcohol Analysis]]+winequality_red[[#This Row],[volatile acidity]]+winequality_red[[#This Row],[citric acid]])</f>
        <v>7.12</v>
      </c>
      <c r="O496">
        <f t="shared" si="57"/>
        <v>1.772727272727273E-2</v>
      </c>
      <c r="S496" t="e">
        <f t="shared" si="58"/>
        <v>#N/A</v>
      </c>
      <c r="T496" t="e">
        <f t="shared" si="59"/>
        <v>#N/A</v>
      </c>
      <c r="U496">
        <f t="shared" si="60"/>
        <v>12.1</v>
      </c>
      <c r="V496">
        <f t="shared" si="61"/>
        <v>6</v>
      </c>
      <c r="W496" t="e">
        <f t="shared" si="62"/>
        <v>#N/A</v>
      </c>
      <c r="X496" t="e">
        <f t="shared" si="63"/>
        <v>#N/A</v>
      </c>
    </row>
    <row r="497" spans="1:24" x14ac:dyDescent="0.3">
      <c r="A497">
        <v>10.7</v>
      </c>
      <c r="B497">
        <v>0.35</v>
      </c>
      <c r="C497">
        <v>0.53</v>
      </c>
      <c r="D497">
        <v>2.6</v>
      </c>
      <c r="E497">
        <v>7.0000000000000007E-2</v>
      </c>
      <c r="F497">
        <v>5</v>
      </c>
      <c r="G497">
        <v>16</v>
      </c>
      <c r="H497">
        <v>0.99719999999999998</v>
      </c>
      <c r="I497">
        <v>3.15</v>
      </c>
      <c r="J497">
        <v>0.65</v>
      </c>
      <c r="K497">
        <v>11</v>
      </c>
      <c r="L497">
        <v>8</v>
      </c>
      <c r="M497" t="str">
        <f t="shared" si="56"/>
        <v>High</v>
      </c>
      <c r="N497">
        <f>(winequality_red[[#This Row],[Updated Quality &amp; Alcohol Analysis]]+winequality_red[[#This Row],[volatile acidity]]+winequality_red[[#This Row],[citric acid]])</f>
        <v>11.579999999999998</v>
      </c>
      <c r="O497">
        <f t="shared" si="57"/>
        <v>2.068181818181818E-2</v>
      </c>
      <c r="S497" t="e">
        <f t="shared" si="58"/>
        <v>#N/A</v>
      </c>
      <c r="T497" t="e">
        <f t="shared" si="59"/>
        <v>#N/A</v>
      </c>
      <c r="U497" t="e">
        <f t="shared" si="60"/>
        <v>#N/A</v>
      </c>
      <c r="V497" t="e">
        <f t="shared" si="61"/>
        <v>#N/A</v>
      </c>
      <c r="W497">
        <f t="shared" si="62"/>
        <v>11</v>
      </c>
      <c r="X497">
        <f t="shared" si="63"/>
        <v>8</v>
      </c>
    </row>
    <row r="498" spans="1:24" x14ac:dyDescent="0.3">
      <c r="A498">
        <v>7.8</v>
      </c>
      <c r="B498">
        <v>0.52</v>
      </c>
      <c r="C498">
        <v>0.25</v>
      </c>
      <c r="D498">
        <v>1.9</v>
      </c>
      <c r="E498">
        <v>8.1000000000000003E-2</v>
      </c>
      <c r="F498">
        <v>14</v>
      </c>
      <c r="G498">
        <v>38</v>
      </c>
      <c r="H498">
        <v>0.99839999999999995</v>
      </c>
      <c r="I498">
        <v>3.43</v>
      </c>
      <c r="J498">
        <v>0.65</v>
      </c>
      <c r="K498">
        <v>9</v>
      </c>
      <c r="L498">
        <v>6</v>
      </c>
      <c r="M498" t="str">
        <f t="shared" si="56"/>
        <v>Medium</v>
      </c>
      <c r="N498">
        <f>(winequality_red[[#This Row],[Updated Quality &amp; Alcohol Analysis]]+winequality_red[[#This Row],[volatile acidity]]+winequality_red[[#This Row],[citric acid]])</f>
        <v>8.57</v>
      </c>
      <c r="O498">
        <f t="shared" si="57"/>
        <v>3.7555555555555557E-2</v>
      </c>
      <c r="S498" t="e">
        <f t="shared" si="58"/>
        <v>#N/A</v>
      </c>
      <c r="T498" t="e">
        <f t="shared" si="59"/>
        <v>#N/A</v>
      </c>
      <c r="U498">
        <f t="shared" si="60"/>
        <v>9</v>
      </c>
      <c r="V498">
        <f t="shared" si="61"/>
        <v>6</v>
      </c>
      <c r="W498" t="e">
        <f t="shared" si="62"/>
        <v>#N/A</v>
      </c>
      <c r="X498" t="e">
        <f t="shared" si="63"/>
        <v>#N/A</v>
      </c>
    </row>
    <row r="499" spans="1:24" x14ac:dyDescent="0.3">
      <c r="A499">
        <v>7.2</v>
      </c>
      <c r="B499">
        <v>0.34</v>
      </c>
      <c r="C499">
        <v>0.32</v>
      </c>
      <c r="D499">
        <v>2.5</v>
      </c>
      <c r="E499">
        <v>0.09</v>
      </c>
      <c r="F499">
        <v>43</v>
      </c>
      <c r="G499">
        <v>113</v>
      </c>
      <c r="H499">
        <v>0.99660000000000004</v>
      </c>
      <c r="I499">
        <v>3.32</v>
      </c>
      <c r="J499">
        <v>0.79</v>
      </c>
      <c r="K499">
        <v>11.1</v>
      </c>
      <c r="L499">
        <v>5</v>
      </c>
      <c r="M499" t="str">
        <f t="shared" si="56"/>
        <v>Medium</v>
      </c>
      <c r="N499">
        <f>(winequality_red[[#This Row],[Updated Quality &amp; Alcohol Analysis]]+winequality_red[[#This Row],[volatile acidity]]+winequality_red[[#This Row],[citric acid]])</f>
        <v>7.86</v>
      </c>
      <c r="O499">
        <f t="shared" si="57"/>
        <v>2.4198198198198198E-2</v>
      </c>
      <c r="S499" t="e">
        <f t="shared" si="58"/>
        <v>#N/A</v>
      </c>
      <c r="T499" t="e">
        <f t="shared" si="59"/>
        <v>#N/A</v>
      </c>
      <c r="U499">
        <f t="shared" si="60"/>
        <v>11.1</v>
      </c>
      <c r="V499">
        <f t="shared" si="61"/>
        <v>5</v>
      </c>
      <c r="W499" t="e">
        <f t="shared" si="62"/>
        <v>#N/A</v>
      </c>
      <c r="X499" t="e">
        <f t="shared" si="63"/>
        <v>#N/A</v>
      </c>
    </row>
    <row r="500" spans="1:24" x14ac:dyDescent="0.3">
      <c r="A500">
        <v>10.7</v>
      </c>
      <c r="B500">
        <v>0.35</v>
      </c>
      <c r="C500">
        <v>0.53</v>
      </c>
      <c r="D500">
        <v>2.6</v>
      </c>
      <c r="E500">
        <v>7.0000000000000007E-2</v>
      </c>
      <c r="F500">
        <v>5</v>
      </c>
      <c r="G500">
        <v>16</v>
      </c>
      <c r="H500">
        <v>0.99719999999999998</v>
      </c>
      <c r="I500">
        <v>3.15</v>
      </c>
      <c r="J500">
        <v>0.65</v>
      </c>
      <c r="K500">
        <v>11</v>
      </c>
      <c r="L500">
        <v>8</v>
      </c>
      <c r="M500" t="str">
        <f t="shared" si="56"/>
        <v>High</v>
      </c>
      <c r="N500">
        <f>(winequality_red[[#This Row],[Updated Quality &amp; Alcohol Analysis]]+winequality_red[[#This Row],[volatile acidity]]+winequality_red[[#This Row],[citric acid]])</f>
        <v>11.579999999999998</v>
      </c>
      <c r="O500">
        <f t="shared" si="57"/>
        <v>2.068181818181818E-2</v>
      </c>
      <c r="S500" t="e">
        <f t="shared" si="58"/>
        <v>#N/A</v>
      </c>
      <c r="T500" t="e">
        <f t="shared" si="59"/>
        <v>#N/A</v>
      </c>
      <c r="U500" t="e">
        <f t="shared" si="60"/>
        <v>#N/A</v>
      </c>
      <c r="V500" t="e">
        <f t="shared" si="61"/>
        <v>#N/A</v>
      </c>
      <c r="W500">
        <f t="shared" si="62"/>
        <v>11</v>
      </c>
      <c r="X500">
        <f t="shared" si="63"/>
        <v>8</v>
      </c>
    </row>
    <row r="501" spans="1:24" x14ac:dyDescent="0.3">
      <c r="A501">
        <v>8.6999999999999993</v>
      </c>
      <c r="B501">
        <v>0.69</v>
      </c>
      <c r="C501">
        <v>0.31</v>
      </c>
      <c r="D501">
        <v>3</v>
      </c>
      <c r="E501">
        <v>8.5999999999999993E-2</v>
      </c>
      <c r="F501">
        <v>23</v>
      </c>
      <c r="G501">
        <v>81</v>
      </c>
      <c r="H501">
        <v>1.0002</v>
      </c>
      <c r="I501">
        <v>3.48</v>
      </c>
      <c r="J501">
        <v>0.74</v>
      </c>
      <c r="K501">
        <v>11.6</v>
      </c>
      <c r="L501">
        <v>6</v>
      </c>
      <c r="M501" t="str">
        <f t="shared" si="56"/>
        <v>Medium</v>
      </c>
      <c r="N501">
        <f>(winequality_red[[#This Row],[Updated Quality &amp; Alcohol Analysis]]+winequality_red[[#This Row],[volatile acidity]]+winequality_red[[#This Row],[citric acid]])</f>
        <v>9.6999999999999993</v>
      </c>
      <c r="O501">
        <f t="shared" si="57"/>
        <v>4.4017241379310339E-2</v>
      </c>
      <c r="S501" t="e">
        <f t="shared" si="58"/>
        <v>#N/A</v>
      </c>
      <c r="T501" t="e">
        <f t="shared" si="59"/>
        <v>#N/A</v>
      </c>
      <c r="U501">
        <f t="shared" si="60"/>
        <v>11.6</v>
      </c>
      <c r="V501">
        <f t="shared" si="61"/>
        <v>6</v>
      </c>
      <c r="W501" t="e">
        <f t="shared" si="62"/>
        <v>#N/A</v>
      </c>
      <c r="X501" t="e">
        <f t="shared" si="63"/>
        <v>#N/A</v>
      </c>
    </row>
    <row r="502" spans="1:24" x14ac:dyDescent="0.3">
      <c r="A502">
        <v>7.8</v>
      </c>
      <c r="B502">
        <v>0.52</v>
      </c>
      <c r="C502">
        <v>0.25</v>
      </c>
      <c r="D502">
        <v>1.9</v>
      </c>
      <c r="E502">
        <v>8.1000000000000003E-2</v>
      </c>
      <c r="F502">
        <v>14</v>
      </c>
      <c r="G502">
        <v>38</v>
      </c>
      <c r="H502">
        <v>0.99839999999999995</v>
      </c>
      <c r="I502">
        <v>3.43</v>
      </c>
      <c r="J502">
        <v>0.65</v>
      </c>
      <c r="K502">
        <v>9</v>
      </c>
      <c r="L502">
        <v>6</v>
      </c>
      <c r="M502" t="str">
        <f t="shared" si="56"/>
        <v>Medium</v>
      </c>
      <c r="N502">
        <f>(winequality_red[[#This Row],[Updated Quality &amp; Alcohol Analysis]]+winequality_red[[#This Row],[volatile acidity]]+winequality_red[[#This Row],[citric acid]])</f>
        <v>8.57</v>
      </c>
      <c r="O502">
        <f t="shared" si="57"/>
        <v>3.7555555555555557E-2</v>
      </c>
      <c r="S502" t="e">
        <f t="shared" si="58"/>
        <v>#N/A</v>
      </c>
      <c r="T502" t="e">
        <f t="shared" si="59"/>
        <v>#N/A</v>
      </c>
      <c r="U502">
        <f t="shared" si="60"/>
        <v>9</v>
      </c>
      <c r="V502">
        <f t="shared" si="61"/>
        <v>6</v>
      </c>
      <c r="W502" t="e">
        <f t="shared" si="62"/>
        <v>#N/A</v>
      </c>
      <c r="X502" t="e">
        <f t="shared" si="63"/>
        <v>#N/A</v>
      </c>
    </row>
    <row r="503" spans="1:24" x14ac:dyDescent="0.3">
      <c r="A503">
        <v>10.4</v>
      </c>
      <c r="B503">
        <v>0.44</v>
      </c>
      <c r="C503">
        <v>0.73</v>
      </c>
      <c r="D503">
        <v>6.55</v>
      </c>
      <c r="E503">
        <v>7.400000000000001E-2</v>
      </c>
      <c r="F503">
        <v>38</v>
      </c>
      <c r="G503">
        <v>76</v>
      </c>
      <c r="H503">
        <v>0.99900000000000011</v>
      </c>
      <c r="I503">
        <v>3.17</v>
      </c>
      <c r="J503">
        <v>0.85</v>
      </c>
      <c r="K503">
        <v>12</v>
      </c>
      <c r="L503">
        <v>7</v>
      </c>
      <c r="M503" t="str">
        <f t="shared" si="56"/>
        <v>High</v>
      </c>
      <c r="N503">
        <f>(winequality_red[[#This Row],[Updated Quality &amp; Alcohol Analysis]]+winequality_red[[#This Row],[volatile acidity]]+winequality_red[[#This Row],[citric acid]])</f>
        <v>11.57</v>
      </c>
      <c r="O503">
        <f t="shared" si="57"/>
        <v>3.1166666666666665E-2</v>
      </c>
      <c r="S503" t="e">
        <f t="shared" si="58"/>
        <v>#N/A</v>
      </c>
      <c r="T503" t="e">
        <f t="shared" si="59"/>
        <v>#N/A</v>
      </c>
      <c r="U503" t="e">
        <f t="shared" si="60"/>
        <v>#N/A</v>
      </c>
      <c r="V503" t="e">
        <f t="shared" si="61"/>
        <v>#N/A</v>
      </c>
      <c r="W503">
        <f t="shared" si="62"/>
        <v>12</v>
      </c>
      <c r="X503">
        <f t="shared" si="63"/>
        <v>7</v>
      </c>
    </row>
    <row r="504" spans="1:24" x14ac:dyDescent="0.3">
      <c r="A504">
        <v>10.4</v>
      </c>
      <c r="B504">
        <v>0.44</v>
      </c>
      <c r="C504">
        <v>0.73</v>
      </c>
      <c r="D504">
        <v>6.55</v>
      </c>
      <c r="E504">
        <v>7.400000000000001E-2</v>
      </c>
      <c r="F504">
        <v>38</v>
      </c>
      <c r="G504">
        <v>76</v>
      </c>
      <c r="H504">
        <v>0.99900000000000011</v>
      </c>
      <c r="I504">
        <v>3.17</v>
      </c>
      <c r="J504">
        <v>0.85</v>
      </c>
      <c r="K504">
        <v>12</v>
      </c>
      <c r="L504">
        <v>7</v>
      </c>
      <c r="M504" t="str">
        <f t="shared" si="56"/>
        <v>High</v>
      </c>
      <c r="N504">
        <f>(winequality_red[[#This Row],[Updated Quality &amp; Alcohol Analysis]]+winequality_red[[#This Row],[volatile acidity]]+winequality_red[[#This Row],[citric acid]])</f>
        <v>11.57</v>
      </c>
      <c r="O504">
        <f t="shared" si="57"/>
        <v>3.1166666666666665E-2</v>
      </c>
      <c r="S504" t="e">
        <f t="shared" si="58"/>
        <v>#N/A</v>
      </c>
      <c r="T504" t="e">
        <f t="shared" si="59"/>
        <v>#N/A</v>
      </c>
      <c r="U504" t="e">
        <f t="shared" si="60"/>
        <v>#N/A</v>
      </c>
      <c r="V504" t="e">
        <f t="shared" si="61"/>
        <v>#N/A</v>
      </c>
      <c r="W504">
        <f t="shared" si="62"/>
        <v>12</v>
      </c>
      <c r="X504">
        <f t="shared" si="63"/>
        <v>7</v>
      </c>
    </row>
    <row r="505" spans="1:24" x14ac:dyDescent="0.3">
      <c r="A505">
        <v>10.5</v>
      </c>
      <c r="B505">
        <v>0.26</v>
      </c>
      <c r="C505">
        <v>0.47</v>
      </c>
      <c r="D505">
        <v>1.9</v>
      </c>
      <c r="E505">
        <v>7.8E-2</v>
      </c>
      <c r="F505">
        <v>6</v>
      </c>
      <c r="G505">
        <v>24</v>
      </c>
      <c r="H505">
        <v>0.99760000000000004</v>
      </c>
      <c r="I505">
        <v>3.18</v>
      </c>
      <c r="J505">
        <v>1.04</v>
      </c>
      <c r="K505">
        <v>10.9</v>
      </c>
      <c r="L505">
        <v>7</v>
      </c>
      <c r="M505" t="str">
        <f t="shared" si="56"/>
        <v>High</v>
      </c>
      <c r="N505">
        <f>(winequality_red[[#This Row],[Updated Quality &amp; Alcohol Analysis]]+winequality_red[[#This Row],[volatile acidity]]+winequality_red[[#This Row],[citric acid]])</f>
        <v>11.23</v>
      </c>
      <c r="O505">
        <f t="shared" si="57"/>
        <v>2.4807339449541287E-2</v>
      </c>
      <c r="S505" t="e">
        <f t="shared" si="58"/>
        <v>#N/A</v>
      </c>
      <c r="T505" t="e">
        <f t="shared" si="59"/>
        <v>#N/A</v>
      </c>
      <c r="U505" t="e">
        <f t="shared" si="60"/>
        <v>#N/A</v>
      </c>
      <c r="V505" t="e">
        <f t="shared" si="61"/>
        <v>#N/A</v>
      </c>
      <c r="W505">
        <f t="shared" si="62"/>
        <v>10.9</v>
      </c>
      <c r="X505">
        <f t="shared" si="63"/>
        <v>7</v>
      </c>
    </row>
    <row r="506" spans="1:24" x14ac:dyDescent="0.3">
      <c r="A506">
        <v>10.5</v>
      </c>
      <c r="B506">
        <v>0.24</v>
      </c>
      <c r="C506">
        <v>0.42</v>
      </c>
      <c r="D506">
        <v>1.8</v>
      </c>
      <c r="E506">
        <v>7.6999999999999999E-2</v>
      </c>
      <c r="F506">
        <v>6</v>
      </c>
      <c r="G506">
        <v>22</v>
      </c>
      <c r="H506">
        <v>0.99760000000000004</v>
      </c>
      <c r="I506">
        <v>3.21</v>
      </c>
      <c r="J506">
        <v>1.05</v>
      </c>
      <c r="K506">
        <v>10.8</v>
      </c>
      <c r="L506">
        <v>7</v>
      </c>
      <c r="M506" t="str">
        <f t="shared" si="56"/>
        <v>High</v>
      </c>
      <c r="N506">
        <f>(winequality_red[[#This Row],[Updated Quality &amp; Alcohol Analysis]]+winequality_red[[#This Row],[volatile acidity]]+winequality_red[[#This Row],[citric acid]])</f>
        <v>11.16</v>
      </c>
      <c r="O506">
        <f t="shared" si="57"/>
        <v>2.3333333333333331E-2</v>
      </c>
      <c r="S506" t="e">
        <f t="shared" si="58"/>
        <v>#N/A</v>
      </c>
      <c r="T506" t="e">
        <f t="shared" si="59"/>
        <v>#N/A</v>
      </c>
      <c r="U506" t="e">
        <f t="shared" si="60"/>
        <v>#N/A</v>
      </c>
      <c r="V506" t="e">
        <f t="shared" si="61"/>
        <v>#N/A</v>
      </c>
      <c r="W506">
        <f t="shared" si="62"/>
        <v>10.8</v>
      </c>
      <c r="X506">
        <f t="shared" si="63"/>
        <v>7</v>
      </c>
    </row>
    <row r="507" spans="1:24" x14ac:dyDescent="0.3">
      <c r="A507">
        <v>10.199999999999999</v>
      </c>
      <c r="B507">
        <v>0.49</v>
      </c>
      <c r="C507">
        <v>0.63</v>
      </c>
      <c r="D507">
        <v>2.9</v>
      </c>
      <c r="E507">
        <v>7.2000000000000008E-2</v>
      </c>
      <c r="F507">
        <v>10</v>
      </c>
      <c r="G507">
        <v>26</v>
      </c>
      <c r="H507">
        <v>0.99680000000000002</v>
      </c>
      <c r="I507">
        <v>3.16</v>
      </c>
      <c r="J507">
        <v>0.78</v>
      </c>
      <c r="K507">
        <v>12.5</v>
      </c>
      <c r="L507">
        <v>7</v>
      </c>
      <c r="M507" t="str">
        <f t="shared" si="56"/>
        <v>High</v>
      </c>
      <c r="N507">
        <f>(winequality_red[[#This Row],[Updated Quality &amp; Alcohol Analysis]]+winequality_red[[#This Row],[volatile acidity]]+winequality_red[[#This Row],[citric acid]])</f>
        <v>11.32</v>
      </c>
      <c r="O507">
        <f t="shared" si="57"/>
        <v>3.0575999999999999E-2</v>
      </c>
      <c r="S507" t="e">
        <f t="shared" si="58"/>
        <v>#N/A</v>
      </c>
      <c r="T507" t="e">
        <f t="shared" si="59"/>
        <v>#N/A</v>
      </c>
      <c r="U507" t="e">
        <f t="shared" si="60"/>
        <v>#N/A</v>
      </c>
      <c r="V507" t="e">
        <f t="shared" si="61"/>
        <v>#N/A</v>
      </c>
      <c r="W507">
        <f t="shared" si="62"/>
        <v>12.5</v>
      </c>
      <c r="X507">
        <f t="shared" si="63"/>
        <v>7</v>
      </c>
    </row>
    <row r="508" spans="1:24" x14ac:dyDescent="0.3">
      <c r="A508">
        <v>10.4</v>
      </c>
      <c r="B508">
        <v>0.24</v>
      </c>
      <c r="C508">
        <v>0.46</v>
      </c>
      <c r="D508">
        <v>1.8</v>
      </c>
      <c r="E508">
        <v>7.4999999999999997E-2</v>
      </c>
      <c r="F508">
        <v>6</v>
      </c>
      <c r="G508">
        <v>21</v>
      </c>
      <c r="H508">
        <v>0.99760000000000004</v>
      </c>
      <c r="I508">
        <v>3.25</v>
      </c>
      <c r="J508">
        <v>1.02</v>
      </c>
      <c r="K508">
        <v>10.8</v>
      </c>
      <c r="L508">
        <v>7</v>
      </c>
      <c r="M508" t="str">
        <f t="shared" si="56"/>
        <v>High</v>
      </c>
      <c r="N508">
        <f>(winequality_red[[#This Row],[Updated Quality &amp; Alcohol Analysis]]+winequality_red[[#This Row],[volatile acidity]]+winequality_red[[#This Row],[citric acid]])</f>
        <v>11.100000000000001</v>
      </c>
      <c r="O508">
        <f t="shared" si="57"/>
        <v>2.2666666666666665E-2</v>
      </c>
      <c r="S508" t="e">
        <f t="shared" si="58"/>
        <v>#N/A</v>
      </c>
      <c r="T508" t="e">
        <f t="shared" si="59"/>
        <v>#N/A</v>
      </c>
      <c r="U508" t="e">
        <f t="shared" si="60"/>
        <v>#N/A</v>
      </c>
      <c r="V508" t="e">
        <f t="shared" si="61"/>
        <v>#N/A</v>
      </c>
      <c r="W508">
        <f t="shared" si="62"/>
        <v>10.8</v>
      </c>
      <c r="X508">
        <f t="shared" si="63"/>
        <v>7</v>
      </c>
    </row>
    <row r="509" spans="1:24" x14ac:dyDescent="0.3">
      <c r="A509">
        <v>11.2</v>
      </c>
      <c r="B509">
        <v>0.67</v>
      </c>
      <c r="C509">
        <v>0.55000000000000004</v>
      </c>
      <c r="D509">
        <v>2.2999999999999998</v>
      </c>
      <c r="E509">
        <v>8.4000000000000005E-2</v>
      </c>
      <c r="F509">
        <v>6</v>
      </c>
      <c r="G509">
        <v>13</v>
      </c>
      <c r="H509">
        <v>1</v>
      </c>
      <c r="I509">
        <v>3.17</v>
      </c>
      <c r="J509">
        <v>0.71</v>
      </c>
      <c r="K509">
        <v>9.5</v>
      </c>
      <c r="L509">
        <v>6</v>
      </c>
      <c r="M509" t="str">
        <f t="shared" si="56"/>
        <v>Medium</v>
      </c>
      <c r="N509">
        <f>(winequality_red[[#This Row],[Updated Quality &amp; Alcohol Analysis]]+winequality_red[[#This Row],[volatile acidity]]+winequality_red[[#This Row],[citric acid]])</f>
        <v>12.42</v>
      </c>
      <c r="O509">
        <f t="shared" si="57"/>
        <v>5.0073684210526319E-2</v>
      </c>
      <c r="S509" t="e">
        <f t="shared" si="58"/>
        <v>#N/A</v>
      </c>
      <c r="T509" t="e">
        <f t="shared" si="59"/>
        <v>#N/A</v>
      </c>
      <c r="U509">
        <f t="shared" si="60"/>
        <v>9.5</v>
      </c>
      <c r="V509">
        <f t="shared" si="61"/>
        <v>6</v>
      </c>
      <c r="W509" t="e">
        <f t="shared" si="62"/>
        <v>#N/A</v>
      </c>
      <c r="X509" t="e">
        <f t="shared" si="63"/>
        <v>#N/A</v>
      </c>
    </row>
    <row r="510" spans="1:24" x14ac:dyDescent="0.3">
      <c r="A510">
        <v>10</v>
      </c>
      <c r="B510">
        <v>0.59</v>
      </c>
      <c r="C510">
        <v>0.31</v>
      </c>
      <c r="D510">
        <v>2.2000000000000002</v>
      </c>
      <c r="E510">
        <v>0.09</v>
      </c>
      <c r="F510">
        <v>26</v>
      </c>
      <c r="G510">
        <v>62</v>
      </c>
      <c r="H510">
        <v>0.99939999999999996</v>
      </c>
      <c r="I510">
        <v>3.18</v>
      </c>
      <c r="J510">
        <v>0.63</v>
      </c>
      <c r="K510">
        <v>10.199999999999999</v>
      </c>
      <c r="L510">
        <v>6</v>
      </c>
      <c r="M510" t="str">
        <f t="shared" si="56"/>
        <v>Medium</v>
      </c>
      <c r="N510">
        <f>(winequality_red[[#This Row],[Updated Quality &amp; Alcohol Analysis]]+winequality_red[[#This Row],[volatile acidity]]+winequality_red[[#This Row],[citric acid]])</f>
        <v>10.9</v>
      </c>
      <c r="O510">
        <f t="shared" si="57"/>
        <v>3.6441176470588234E-2</v>
      </c>
      <c r="S510" t="e">
        <f t="shared" si="58"/>
        <v>#N/A</v>
      </c>
      <c r="T510" t="e">
        <f t="shared" si="59"/>
        <v>#N/A</v>
      </c>
      <c r="U510">
        <f t="shared" si="60"/>
        <v>10.199999999999999</v>
      </c>
      <c r="V510">
        <f t="shared" si="61"/>
        <v>6</v>
      </c>
      <c r="W510" t="e">
        <f t="shared" si="62"/>
        <v>#N/A</v>
      </c>
      <c r="X510" t="e">
        <f t="shared" si="63"/>
        <v>#N/A</v>
      </c>
    </row>
    <row r="511" spans="1:24" x14ac:dyDescent="0.3">
      <c r="A511">
        <v>13.3</v>
      </c>
      <c r="B511">
        <v>0.28999999999999998</v>
      </c>
      <c r="C511">
        <v>0.75</v>
      </c>
      <c r="D511">
        <v>2.8</v>
      </c>
      <c r="E511">
        <v>8.4000000000000005E-2</v>
      </c>
      <c r="F511">
        <v>23</v>
      </c>
      <c r="G511">
        <v>43</v>
      </c>
      <c r="H511">
        <v>0.99860000000000004</v>
      </c>
      <c r="I511">
        <v>3.04</v>
      </c>
      <c r="J511">
        <v>0.68</v>
      </c>
      <c r="K511">
        <v>11.4</v>
      </c>
      <c r="L511">
        <v>7</v>
      </c>
      <c r="M511" t="str">
        <f t="shared" si="56"/>
        <v>High</v>
      </c>
      <c r="N511">
        <f>(winequality_red[[#This Row],[Updated Quality &amp; Alcohol Analysis]]+winequality_red[[#This Row],[volatile acidity]]+winequality_red[[#This Row],[citric acid]])</f>
        <v>14.34</v>
      </c>
      <c r="O511">
        <f t="shared" si="57"/>
        <v>1.7298245614035087E-2</v>
      </c>
      <c r="S511" t="e">
        <f t="shared" si="58"/>
        <v>#N/A</v>
      </c>
      <c r="T511" t="e">
        <f t="shared" si="59"/>
        <v>#N/A</v>
      </c>
      <c r="U511" t="e">
        <f t="shared" si="60"/>
        <v>#N/A</v>
      </c>
      <c r="V511" t="e">
        <f t="shared" si="61"/>
        <v>#N/A</v>
      </c>
      <c r="W511">
        <f t="shared" si="62"/>
        <v>11.4</v>
      </c>
      <c r="X511">
        <f t="shared" si="63"/>
        <v>7</v>
      </c>
    </row>
    <row r="512" spans="1:24" x14ac:dyDescent="0.3">
      <c r="A512">
        <v>12.4</v>
      </c>
      <c r="B512">
        <v>0.42</v>
      </c>
      <c r="C512">
        <v>0.49</v>
      </c>
      <c r="D512">
        <v>4.5999999999999996</v>
      </c>
      <c r="E512">
        <v>7.2999999999999995E-2</v>
      </c>
      <c r="F512">
        <v>19</v>
      </c>
      <c r="G512">
        <v>43</v>
      </c>
      <c r="H512">
        <v>0.99780000000000002</v>
      </c>
      <c r="I512">
        <v>3.02</v>
      </c>
      <c r="J512">
        <v>0.61</v>
      </c>
      <c r="K512">
        <v>9.5</v>
      </c>
      <c r="L512">
        <v>5</v>
      </c>
      <c r="M512" t="str">
        <f t="shared" si="56"/>
        <v>Medium</v>
      </c>
      <c r="N512">
        <f>(winequality_red[[#This Row],[Updated Quality &amp; Alcohol Analysis]]+winequality_red[[#This Row],[volatile acidity]]+winequality_red[[#This Row],[citric acid]])</f>
        <v>13.31</v>
      </c>
      <c r="O512">
        <f t="shared" si="57"/>
        <v>2.6968421052631576E-2</v>
      </c>
      <c r="S512" t="e">
        <f t="shared" si="58"/>
        <v>#N/A</v>
      </c>
      <c r="T512" t="e">
        <f t="shared" si="59"/>
        <v>#N/A</v>
      </c>
      <c r="U512">
        <f t="shared" si="60"/>
        <v>9.5</v>
      </c>
      <c r="V512">
        <f t="shared" si="61"/>
        <v>5</v>
      </c>
      <c r="W512" t="e">
        <f t="shared" si="62"/>
        <v>#N/A</v>
      </c>
      <c r="X512" t="e">
        <f t="shared" si="63"/>
        <v>#N/A</v>
      </c>
    </row>
    <row r="513" spans="1:24" x14ac:dyDescent="0.3">
      <c r="A513">
        <v>10</v>
      </c>
      <c r="B513">
        <v>0.59</v>
      </c>
      <c r="C513">
        <v>0.31</v>
      </c>
      <c r="D513">
        <v>2.2000000000000002</v>
      </c>
      <c r="E513">
        <v>0.09</v>
      </c>
      <c r="F513">
        <v>26</v>
      </c>
      <c r="G513">
        <v>62</v>
      </c>
      <c r="H513">
        <v>0.99939999999999996</v>
      </c>
      <c r="I513">
        <v>3.18</v>
      </c>
      <c r="J513">
        <v>0.63</v>
      </c>
      <c r="K513">
        <v>10.199999999999999</v>
      </c>
      <c r="L513">
        <v>6</v>
      </c>
      <c r="M513" t="str">
        <f t="shared" si="56"/>
        <v>Medium</v>
      </c>
      <c r="N513">
        <f>(winequality_red[[#This Row],[Updated Quality &amp; Alcohol Analysis]]+winequality_red[[#This Row],[volatile acidity]]+winequality_red[[#This Row],[citric acid]])</f>
        <v>10.9</v>
      </c>
      <c r="O513">
        <f t="shared" si="57"/>
        <v>3.6441176470588234E-2</v>
      </c>
      <c r="S513" t="e">
        <f t="shared" si="58"/>
        <v>#N/A</v>
      </c>
      <c r="T513" t="e">
        <f t="shared" si="59"/>
        <v>#N/A</v>
      </c>
      <c r="U513">
        <f t="shared" si="60"/>
        <v>10.199999999999999</v>
      </c>
      <c r="V513">
        <f t="shared" si="61"/>
        <v>6</v>
      </c>
      <c r="W513" t="e">
        <f t="shared" si="62"/>
        <v>#N/A</v>
      </c>
      <c r="X513" t="e">
        <f t="shared" si="63"/>
        <v>#N/A</v>
      </c>
    </row>
    <row r="514" spans="1:24" x14ac:dyDescent="0.3">
      <c r="A514">
        <v>10.7</v>
      </c>
      <c r="B514">
        <v>0.4</v>
      </c>
      <c r="C514">
        <v>0.48</v>
      </c>
      <c r="D514">
        <v>2.1</v>
      </c>
      <c r="E514">
        <v>0.125</v>
      </c>
      <c r="F514">
        <v>15</v>
      </c>
      <c r="G514">
        <v>49</v>
      </c>
      <c r="H514">
        <v>0.998</v>
      </c>
      <c r="I514">
        <v>3.03</v>
      </c>
      <c r="J514">
        <v>0.81</v>
      </c>
      <c r="K514">
        <v>9.6999999999999993</v>
      </c>
      <c r="L514">
        <v>6</v>
      </c>
      <c r="M514" t="str">
        <f t="shared" ref="M514:M577" si="64">IF($L514&gt;=7,"High",IF($L514&gt;=5,"Medium","Low"))</f>
        <v>Medium</v>
      </c>
      <c r="N514">
        <f>(winequality_red[[#This Row],[Updated Quality &amp; Alcohol Analysis]]+winequality_red[[#This Row],[volatile acidity]]+winequality_red[[#This Row],[citric acid]])</f>
        <v>11.58</v>
      </c>
      <c r="O514">
        <f t="shared" ref="O514:O577" si="65">($B514*$J514)/$K514</f>
        <v>3.3402061855670115E-2</v>
      </c>
      <c r="S514" t="e">
        <f t="shared" si="58"/>
        <v>#N/A</v>
      </c>
      <c r="T514" t="e">
        <f t="shared" si="59"/>
        <v>#N/A</v>
      </c>
      <c r="U514">
        <f t="shared" si="60"/>
        <v>9.6999999999999993</v>
      </c>
      <c r="V514">
        <f t="shared" si="61"/>
        <v>6</v>
      </c>
      <c r="W514" t="e">
        <f t="shared" si="62"/>
        <v>#N/A</v>
      </c>
      <c r="X514" t="e">
        <f t="shared" si="63"/>
        <v>#N/A</v>
      </c>
    </row>
    <row r="515" spans="1:24" x14ac:dyDescent="0.3">
      <c r="A515">
        <v>10.5</v>
      </c>
      <c r="B515">
        <v>0.51</v>
      </c>
      <c r="C515">
        <v>0.64</v>
      </c>
      <c r="D515">
        <v>2.4</v>
      </c>
      <c r="E515">
        <v>0.107</v>
      </c>
      <c r="F515">
        <v>6</v>
      </c>
      <c r="G515">
        <v>15</v>
      </c>
      <c r="H515">
        <v>0.99729999999999996</v>
      </c>
      <c r="I515">
        <v>3.09</v>
      </c>
      <c r="J515">
        <v>0.66</v>
      </c>
      <c r="K515">
        <v>11.8</v>
      </c>
      <c r="L515">
        <v>7</v>
      </c>
      <c r="M515" t="str">
        <f t="shared" si="64"/>
        <v>High</v>
      </c>
      <c r="N515">
        <f>(winequality_red[[#This Row],[Updated Quality &amp; Alcohol Analysis]]+winequality_red[[#This Row],[volatile acidity]]+winequality_red[[#This Row],[citric acid]])</f>
        <v>11.65</v>
      </c>
      <c r="O515">
        <f t="shared" si="65"/>
        <v>2.8525423728813559E-2</v>
      </c>
      <c r="S515" t="e">
        <f t="shared" ref="S515:S578" si="66">IF($M515="Low",$K515,NA())</f>
        <v>#N/A</v>
      </c>
      <c r="T515" t="e">
        <f t="shared" ref="T515:T578" si="67">IF($M515="Low",$L515,NA())</f>
        <v>#N/A</v>
      </c>
      <c r="U515" t="e">
        <f t="shared" ref="U515:U578" si="68">IF($M515="Medium",$K515,NA())</f>
        <v>#N/A</v>
      </c>
      <c r="V515" t="e">
        <f t="shared" ref="V515:V578" si="69">IF($M515="Medium",$L515,NA())</f>
        <v>#N/A</v>
      </c>
      <c r="W515">
        <f t="shared" ref="W515:W578" si="70">IF($M515="High",$K515,NA())</f>
        <v>11.8</v>
      </c>
      <c r="X515">
        <f t="shared" ref="X515:X578" si="71">IF($M515="High",$L515,NA())</f>
        <v>7</v>
      </c>
    </row>
    <row r="516" spans="1:24" x14ac:dyDescent="0.3">
      <c r="A516">
        <v>10.5</v>
      </c>
      <c r="B516">
        <v>0.51</v>
      </c>
      <c r="C516">
        <v>0.64</v>
      </c>
      <c r="D516">
        <v>2.4</v>
      </c>
      <c r="E516">
        <v>0.107</v>
      </c>
      <c r="F516">
        <v>6</v>
      </c>
      <c r="G516">
        <v>15</v>
      </c>
      <c r="H516">
        <v>0.99729999999999996</v>
      </c>
      <c r="I516">
        <v>3.09</v>
      </c>
      <c r="J516">
        <v>0.66</v>
      </c>
      <c r="K516">
        <v>11.8</v>
      </c>
      <c r="L516">
        <v>7</v>
      </c>
      <c r="M516" t="str">
        <f t="shared" si="64"/>
        <v>High</v>
      </c>
      <c r="N516">
        <f>(winequality_red[[#This Row],[Updated Quality &amp; Alcohol Analysis]]+winequality_red[[#This Row],[volatile acidity]]+winequality_red[[#This Row],[citric acid]])</f>
        <v>11.65</v>
      </c>
      <c r="O516">
        <f t="shared" si="65"/>
        <v>2.8525423728813559E-2</v>
      </c>
      <c r="S516" t="e">
        <f t="shared" si="66"/>
        <v>#N/A</v>
      </c>
      <c r="T516" t="e">
        <f t="shared" si="67"/>
        <v>#N/A</v>
      </c>
      <c r="U516" t="e">
        <f t="shared" si="68"/>
        <v>#N/A</v>
      </c>
      <c r="V516" t="e">
        <f t="shared" si="69"/>
        <v>#N/A</v>
      </c>
      <c r="W516">
        <f t="shared" si="70"/>
        <v>11.8</v>
      </c>
      <c r="X516">
        <f t="shared" si="71"/>
        <v>7</v>
      </c>
    </row>
    <row r="517" spans="1:24" x14ac:dyDescent="0.3">
      <c r="A517">
        <v>8.5</v>
      </c>
      <c r="B517">
        <v>0.65500000000000003</v>
      </c>
      <c r="C517">
        <v>0.49</v>
      </c>
      <c r="D517">
        <v>6.1</v>
      </c>
      <c r="E517">
        <v>0.122</v>
      </c>
      <c r="F517">
        <v>34</v>
      </c>
      <c r="G517">
        <v>151</v>
      </c>
      <c r="H517">
        <v>1.0009999999999999</v>
      </c>
      <c r="I517">
        <v>3.31</v>
      </c>
      <c r="J517">
        <v>1.1399999999999999</v>
      </c>
      <c r="K517">
        <v>9.3000000000000007</v>
      </c>
      <c r="L517">
        <v>5</v>
      </c>
      <c r="M517" t="str">
        <f t="shared" si="64"/>
        <v>Medium</v>
      </c>
      <c r="N517">
        <f>(winequality_red[[#This Row],[Updated Quality &amp; Alcohol Analysis]]+winequality_red[[#This Row],[volatile acidity]]+winequality_red[[#This Row],[citric acid]])</f>
        <v>9.6449999999999996</v>
      </c>
      <c r="O517">
        <f t="shared" si="65"/>
        <v>8.029032258064514E-2</v>
      </c>
      <c r="S517" t="e">
        <f t="shared" si="66"/>
        <v>#N/A</v>
      </c>
      <c r="T517" t="e">
        <f t="shared" si="67"/>
        <v>#N/A</v>
      </c>
      <c r="U517">
        <f t="shared" si="68"/>
        <v>9.3000000000000007</v>
      </c>
      <c r="V517">
        <f t="shared" si="69"/>
        <v>5</v>
      </c>
      <c r="W517" t="e">
        <f t="shared" si="70"/>
        <v>#N/A</v>
      </c>
      <c r="X517" t="e">
        <f t="shared" si="71"/>
        <v>#N/A</v>
      </c>
    </row>
    <row r="518" spans="1:24" x14ac:dyDescent="0.3">
      <c r="A518">
        <v>12.5</v>
      </c>
      <c r="B518">
        <v>0.6</v>
      </c>
      <c r="C518">
        <v>0.49</v>
      </c>
      <c r="D518">
        <v>4.3</v>
      </c>
      <c r="E518">
        <v>0.1</v>
      </c>
      <c r="F518">
        <v>5</v>
      </c>
      <c r="G518">
        <v>14</v>
      </c>
      <c r="H518">
        <v>1.0009999999999999</v>
      </c>
      <c r="I518">
        <v>3.25</v>
      </c>
      <c r="J518">
        <v>0.74</v>
      </c>
      <c r="K518">
        <v>11.9</v>
      </c>
      <c r="L518">
        <v>6</v>
      </c>
      <c r="M518" t="str">
        <f t="shared" si="64"/>
        <v>Medium</v>
      </c>
      <c r="N518">
        <f>(winequality_red[[#This Row],[Updated Quality &amp; Alcohol Analysis]]+winequality_red[[#This Row],[volatile acidity]]+winequality_red[[#This Row],[citric acid]])</f>
        <v>13.59</v>
      </c>
      <c r="O518">
        <f t="shared" si="65"/>
        <v>3.7310924369747901E-2</v>
      </c>
      <c r="S518" t="e">
        <f t="shared" si="66"/>
        <v>#N/A</v>
      </c>
      <c r="T518" t="e">
        <f t="shared" si="67"/>
        <v>#N/A</v>
      </c>
      <c r="U518">
        <f t="shared" si="68"/>
        <v>11.9</v>
      </c>
      <c r="V518">
        <f t="shared" si="69"/>
        <v>6</v>
      </c>
      <c r="W518" t="e">
        <f t="shared" si="70"/>
        <v>#N/A</v>
      </c>
      <c r="X518" t="e">
        <f t="shared" si="71"/>
        <v>#N/A</v>
      </c>
    </row>
    <row r="519" spans="1:24" x14ac:dyDescent="0.3">
      <c r="A519">
        <v>10.4</v>
      </c>
      <c r="B519">
        <v>0.61</v>
      </c>
      <c r="C519">
        <v>0.49</v>
      </c>
      <c r="D519">
        <v>2.1</v>
      </c>
      <c r="E519">
        <v>0.2</v>
      </c>
      <c r="F519">
        <v>5</v>
      </c>
      <c r="G519">
        <v>16</v>
      </c>
      <c r="H519">
        <v>0.99939999999999996</v>
      </c>
      <c r="I519">
        <v>3.16</v>
      </c>
      <c r="J519">
        <v>0.63</v>
      </c>
      <c r="K519">
        <v>8.4</v>
      </c>
      <c r="L519">
        <v>3</v>
      </c>
      <c r="M519" t="str">
        <f t="shared" si="64"/>
        <v>Low</v>
      </c>
      <c r="N519">
        <f>(winequality_red[[#This Row],[Updated Quality &amp; Alcohol Analysis]]+winequality_red[[#This Row],[volatile acidity]]+winequality_red[[#This Row],[citric acid]])</f>
        <v>11.5</v>
      </c>
      <c r="O519">
        <f t="shared" si="65"/>
        <v>4.5749999999999992E-2</v>
      </c>
      <c r="S519">
        <f t="shared" si="66"/>
        <v>8.4</v>
      </c>
      <c r="T519">
        <f t="shared" si="67"/>
        <v>3</v>
      </c>
      <c r="U519" t="e">
        <f t="shared" si="68"/>
        <v>#N/A</v>
      </c>
      <c r="V519" t="e">
        <f t="shared" si="69"/>
        <v>#N/A</v>
      </c>
      <c r="W519" t="e">
        <f t="shared" si="70"/>
        <v>#N/A</v>
      </c>
      <c r="X519" t="e">
        <f t="shared" si="71"/>
        <v>#N/A</v>
      </c>
    </row>
    <row r="520" spans="1:24" x14ac:dyDescent="0.3">
      <c r="A520">
        <v>10.9</v>
      </c>
      <c r="B520">
        <v>0.21</v>
      </c>
      <c r="C520">
        <v>0.49</v>
      </c>
      <c r="D520">
        <v>2.8</v>
      </c>
      <c r="E520">
        <v>8.8000000000000009E-2</v>
      </c>
      <c r="F520">
        <v>11</v>
      </c>
      <c r="G520">
        <v>32</v>
      </c>
      <c r="H520">
        <v>0.99719999999999998</v>
      </c>
      <c r="I520">
        <v>3.22</v>
      </c>
      <c r="J520">
        <v>0.68</v>
      </c>
      <c r="K520">
        <v>11.7</v>
      </c>
      <c r="L520">
        <v>6</v>
      </c>
      <c r="M520" t="str">
        <f t="shared" si="64"/>
        <v>Medium</v>
      </c>
      <c r="N520">
        <f>(winequality_red[[#This Row],[Updated Quality &amp; Alcohol Analysis]]+winequality_red[[#This Row],[volatile acidity]]+winequality_red[[#This Row],[citric acid]])</f>
        <v>11.600000000000001</v>
      </c>
      <c r="O520">
        <f t="shared" si="65"/>
        <v>1.2205128205128207E-2</v>
      </c>
      <c r="S520" t="e">
        <f t="shared" si="66"/>
        <v>#N/A</v>
      </c>
      <c r="T520" t="e">
        <f t="shared" si="67"/>
        <v>#N/A</v>
      </c>
      <c r="U520">
        <f t="shared" si="68"/>
        <v>11.7</v>
      </c>
      <c r="V520">
        <f t="shared" si="69"/>
        <v>6</v>
      </c>
      <c r="W520" t="e">
        <f t="shared" si="70"/>
        <v>#N/A</v>
      </c>
      <c r="X520" t="e">
        <f t="shared" si="71"/>
        <v>#N/A</v>
      </c>
    </row>
    <row r="521" spans="1:24" x14ac:dyDescent="0.3">
      <c r="A521">
        <v>7.3</v>
      </c>
      <c r="B521">
        <v>0.36499999999999999</v>
      </c>
      <c r="C521">
        <v>0.49</v>
      </c>
      <c r="D521">
        <v>2.5</v>
      </c>
      <c r="E521">
        <v>8.8000000000000009E-2</v>
      </c>
      <c r="F521">
        <v>39</v>
      </c>
      <c r="G521">
        <v>106</v>
      </c>
      <c r="H521">
        <v>0.99660000000000004</v>
      </c>
      <c r="I521">
        <v>3.36</v>
      </c>
      <c r="J521">
        <v>0.78</v>
      </c>
      <c r="K521">
        <v>11</v>
      </c>
      <c r="L521">
        <v>5</v>
      </c>
      <c r="M521" t="str">
        <f t="shared" si="64"/>
        <v>Medium</v>
      </c>
      <c r="N521">
        <f>(winequality_red[[#This Row],[Updated Quality &amp; Alcohol Analysis]]+winequality_red[[#This Row],[volatile acidity]]+winequality_red[[#This Row],[citric acid]])</f>
        <v>8.1549999999999994</v>
      </c>
      <c r="O521">
        <f t="shared" si="65"/>
        <v>2.5881818181818183E-2</v>
      </c>
      <c r="S521" t="e">
        <f t="shared" si="66"/>
        <v>#N/A</v>
      </c>
      <c r="T521" t="e">
        <f t="shared" si="67"/>
        <v>#N/A</v>
      </c>
      <c r="U521">
        <f t="shared" si="68"/>
        <v>11</v>
      </c>
      <c r="V521">
        <f t="shared" si="69"/>
        <v>5</v>
      </c>
      <c r="W521" t="e">
        <f t="shared" si="70"/>
        <v>#N/A</v>
      </c>
      <c r="X521" t="e">
        <f t="shared" si="71"/>
        <v>#N/A</v>
      </c>
    </row>
    <row r="522" spans="1:24" x14ac:dyDescent="0.3">
      <c r="A522">
        <v>9.8000000000000007</v>
      </c>
      <c r="B522">
        <v>0.25</v>
      </c>
      <c r="C522">
        <v>0.49</v>
      </c>
      <c r="D522">
        <v>2.7</v>
      </c>
      <c r="E522">
        <v>8.8000000000000009E-2</v>
      </c>
      <c r="F522">
        <v>15</v>
      </c>
      <c r="G522">
        <v>33</v>
      </c>
      <c r="H522">
        <v>0.99819999999999998</v>
      </c>
      <c r="I522">
        <v>3.42</v>
      </c>
      <c r="J522">
        <v>0.9</v>
      </c>
      <c r="K522">
        <v>10</v>
      </c>
      <c r="L522">
        <v>6</v>
      </c>
      <c r="M522" t="str">
        <f t="shared" si="64"/>
        <v>Medium</v>
      </c>
      <c r="N522">
        <f>(winequality_red[[#This Row],[Updated Quality &amp; Alcohol Analysis]]+winequality_red[[#This Row],[volatile acidity]]+winequality_red[[#This Row],[citric acid]])</f>
        <v>10.540000000000001</v>
      </c>
      <c r="O522">
        <f t="shared" si="65"/>
        <v>2.2499999999999999E-2</v>
      </c>
      <c r="S522" t="e">
        <f t="shared" si="66"/>
        <v>#N/A</v>
      </c>
      <c r="T522" t="e">
        <f t="shared" si="67"/>
        <v>#N/A</v>
      </c>
      <c r="U522">
        <f t="shared" si="68"/>
        <v>10</v>
      </c>
      <c r="V522">
        <f t="shared" si="69"/>
        <v>6</v>
      </c>
      <c r="W522" t="e">
        <f t="shared" si="70"/>
        <v>#N/A</v>
      </c>
      <c r="X522" t="e">
        <f t="shared" si="71"/>
        <v>#N/A</v>
      </c>
    </row>
    <row r="523" spans="1:24" x14ac:dyDescent="0.3">
      <c r="A523">
        <v>7.6</v>
      </c>
      <c r="B523">
        <v>0.41</v>
      </c>
      <c r="C523">
        <v>0.49</v>
      </c>
      <c r="D523">
        <v>2</v>
      </c>
      <c r="E523">
        <v>8.8000000000000009E-2</v>
      </c>
      <c r="F523">
        <v>16</v>
      </c>
      <c r="G523">
        <v>43</v>
      </c>
      <c r="H523">
        <v>0.998</v>
      </c>
      <c r="I523">
        <v>3.48</v>
      </c>
      <c r="J523">
        <v>0.64</v>
      </c>
      <c r="K523">
        <v>9.1</v>
      </c>
      <c r="L523">
        <v>5</v>
      </c>
      <c r="M523" t="str">
        <f t="shared" si="64"/>
        <v>Medium</v>
      </c>
      <c r="N523">
        <f>(winequality_red[[#This Row],[Updated Quality &amp; Alcohol Analysis]]+winequality_red[[#This Row],[volatile acidity]]+winequality_red[[#This Row],[citric acid]])</f>
        <v>8.5</v>
      </c>
      <c r="O523">
        <f t="shared" si="65"/>
        <v>2.8835164835164833E-2</v>
      </c>
      <c r="S523" t="e">
        <f t="shared" si="66"/>
        <v>#N/A</v>
      </c>
      <c r="T523" t="e">
        <f t="shared" si="67"/>
        <v>#N/A</v>
      </c>
      <c r="U523">
        <f t="shared" si="68"/>
        <v>9.1</v>
      </c>
      <c r="V523">
        <f t="shared" si="69"/>
        <v>5</v>
      </c>
      <c r="W523" t="e">
        <f t="shared" si="70"/>
        <v>#N/A</v>
      </c>
      <c r="X523" t="e">
        <f t="shared" si="71"/>
        <v>#N/A</v>
      </c>
    </row>
    <row r="524" spans="1:24" x14ac:dyDescent="0.3">
      <c r="A524">
        <v>8.1999999999999993</v>
      </c>
      <c r="B524">
        <v>0.39</v>
      </c>
      <c r="C524">
        <v>0.49</v>
      </c>
      <c r="D524">
        <v>2.2999999999999998</v>
      </c>
      <c r="E524">
        <v>9.9000000000000005E-2</v>
      </c>
      <c r="F524">
        <v>47</v>
      </c>
      <c r="G524">
        <v>133</v>
      </c>
      <c r="H524">
        <v>0.99790000000000001</v>
      </c>
      <c r="I524">
        <v>3.38</v>
      </c>
      <c r="J524">
        <v>0.99</v>
      </c>
      <c r="K524">
        <v>9.8000000000000007</v>
      </c>
      <c r="L524">
        <v>5</v>
      </c>
      <c r="M524" t="str">
        <f t="shared" si="64"/>
        <v>Medium</v>
      </c>
      <c r="N524">
        <f>(winequality_red[[#This Row],[Updated Quality &amp; Alcohol Analysis]]+winequality_red[[#This Row],[volatile acidity]]+winequality_red[[#This Row],[citric acid]])</f>
        <v>9.08</v>
      </c>
      <c r="O524">
        <f t="shared" si="65"/>
        <v>3.9397959183673469E-2</v>
      </c>
      <c r="S524" t="e">
        <f t="shared" si="66"/>
        <v>#N/A</v>
      </c>
      <c r="T524" t="e">
        <f t="shared" si="67"/>
        <v>#N/A</v>
      </c>
      <c r="U524">
        <f t="shared" si="68"/>
        <v>9.8000000000000007</v>
      </c>
      <c r="V524">
        <f t="shared" si="69"/>
        <v>5</v>
      </c>
      <c r="W524" t="e">
        <f t="shared" si="70"/>
        <v>#N/A</v>
      </c>
      <c r="X524" t="e">
        <f t="shared" si="71"/>
        <v>#N/A</v>
      </c>
    </row>
    <row r="525" spans="1:24" x14ac:dyDescent="0.3">
      <c r="A525">
        <v>9.3000000000000007</v>
      </c>
      <c r="B525">
        <v>0.4</v>
      </c>
      <c r="C525">
        <v>0.49</v>
      </c>
      <c r="D525">
        <v>2.5</v>
      </c>
      <c r="E525">
        <v>8.5000000000000006E-2</v>
      </c>
      <c r="F525">
        <v>38</v>
      </c>
      <c r="G525">
        <v>142</v>
      </c>
      <c r="H525">
        <v>0.99780000000000002</v>
      </c>
      <c r="I525">
        <v>3.22</v>
      </c>
      <c r="J525">
        <v>0.55000000000000004</v>
      </c>
      <c r="K525">
        <v>9.4</v>
      </c>
      <c r="L525">
        <v>5</v>
      </c>
      <c r="M525" t="str">
        <f t="shared" si="64"/>
        <v>Medium</v>
      </c>
      <c r="N525">
        <f>(winequality_red[[#This Row],[Updated Quality &amp; Alcohol Analysis]]+winequality_red[[#This Row],[volatile acidity]]+winequality_red[[#This Row],[citric acid]])</f>
        <v>10.190000000000001</v>
      </c>
      <c r="O525">
        <f t="shared" si="65"/>
        <v>2.3404255319148939E-2</v>
      </c>
      <c r="S525" t="e">
        <f t="shared" si="66"/>
        <v>#N/A</v>
      </c>
      <c r="T525" t="e">
        <f t="shared" si="67"/>
        <v>#N/A</v>
      </c>
      <c r="U525">
        <f t="shared" si="68"/>
        <v>9.4</v>
      </c>
      <c r="V525">
        <f t="shared" si="69"/>
        <v>5</v>
      </c>
      <c r="W525" t="e">
        <f t="shared" si="70"/>
        <v>#N/A</v>
      </c>
      <c r="X525" t="e">
        <f t="shared" si="71"/>
        <v>#N/A</v>
      </c>
    </row>
    <row r="526" spans="1:24" x14ac:dyDescent="0.3">
      <c r="A526">
        <v>9.1999999999999993</v>
      </c>
      <c r="B526">
        <v>0.43</v>
      </c>
      <c r="C526">
        <v>0.49</v>
      </c>
      <c r="D526">
        <v>2.4</v>
      </c>
      <c r="E526">
        <v>8.5999999999999993E-2</v>
      </c>
      <c r="F526">
        <v>23</v>
      </c>
      <c r="G526">
        <v>116</v>
      </c>
      <c r="H526">
        <v>0.99760000000000004</v>
      </c>
      <c r="I526">
        <v>3.23</v>
      </c>
      <c r="J526">
        <v>0.64</v>
      </c>
      <c r="K526">
        <v>9.5</v>
      </c>
      <c r="L526">
        <v>5</v>
      </c>
      <c r="M526" t="str">
        <f t="shared" si="64"/>
        <v>Medium</v>
      </c>
      <c r="N526">
        <f>(winequality_red[[#This Row],[Updated Quality &amp; Alcohol Analysis]]+winequality_red[[#This Row],[volatile acidity]]+winequality_red[[#This Row],[citric acid]])</f>
        <v>10.119999999999999</v>
      </c>
      <c r="O526">
        <f t="shared" si="65"/>
        <v>2.8968421052631577E-2</v>
      </c>
      <c r="S526" t="e">
        <f t="shared" si="66"/>
        <v>#N/A</v>
      </c>
      <c r="T526" t="e">
        <f t="shared" si="67"/>
        <v>#N/A</v>
      </c>
      <c r="U526">
        <f t="shared" si="68"/>
        <v>9.5</v>
      </c>
      <c r="V526">
        <f t="shared" si="69"/>
        <v>5</v>
      </c>
      <c r="W526" t="e">
        <f t="shared" si="70"/>
        <v>#N/A</v>
      </c>
      <c r="X526" t="e">
        <f t="shared" si="71"/>
        <v>#N/A</v>
      </c>
    </row>
    <row r="527" spans="1:24" x14ac:dyDescent="0.3">
      <c r="A527">
        <v>10.4</v>
      </c>
      <c r="B527">
        <v>0.64</v>
      </c>
      <c r="C527">
        <v>0.24</v>
      </c>
      <c r="D527">
        <v>2.8</v>
      </c>
      <c r="E527">
        <v>0.105</v>
      </c>
      <c r="F527">
        <v>29</v>
      </c>
      <c r="G527">
        <v>53</v>
      </c>
      <c r="H527">
        <v>0.99980000000000002</v>
      </c>
      <c r="I527">
        <v>3.24</v>
      </c>
      <c r="J527">
        <v>0.67</v>
      </c>
      <c r="K527">
        <v>9.9</v>
      </c>
      <c r="L527">
        <v>5</v>
      </c>
      <c r="M527" t="str">
        <f t="shared" si="64"/>
        <v>Medium</v>
      </c>
      <c r="N527">
        <f>(winequality_red[[#This Row],[Updated Quality &amp; Alcohol Analysis]]+winequality_red[[#This Row],[volatile acidity]]+winequality_red[[#This Row],[citric acid]])</f>
        <v>11.280000000000001</v>
      </c>
      <c r="O527">
        <f t="shared" si="65"/>
        <v>4.331313131313131E-2</v>
      </c>
      <c r="S527" t="e">
        <f t="shared" si="66"/>
        <v>#N/A</v>
      </c>
      <c r="T527" t="e">
        <f t="shared" si="67"/>
        <v>#N/A</v>
      </c>
      <c r="U527">
        <f t="shared" si="68"/>
        <v>9.9</v>
      </c>
      <c r="V527">
        <f t="shared" si="69"/>
        <v>5</v>
      </c>
      <c r="W527" t="e">
        <f t="shared" si="70"/>
        <v>#N/A</v>
      </c>
      <c r="X527" t="e">
        <f t="shared" si="71"/>
        <v>#N/A</v>
      </c>
    </row>
    <row r="528" spans="1:24" x14ac:dyDescent="0.3">
      <c r="A528">
        <v>7.3</v>
      </c>
      <c r="B528">
        <v>0.36499999999999999</v>
      </c>
      <c r="C528">
        <v>0.49</v>
      </c>
      <c r="D528">
        <v>2.5</v>
      </c>
      <c r="E528">
        <v>8.8000000000000009E-2</v>
      </c>
      <c r="F528">
        <v>39</v>
      </c>
      <c r="G528">
        <v>106</v>
      </c>
      <c r="H528">
        <v>0.99660000000000004</v>
      </c>
      <c r="I528">
        <v>3.36</v>
      </c>
      <c r="J528">
        <v>0.78</v>
      </c>
      <c r="K528">
        <v>11</v>
      </c>
      <c r="L528">
        <v>5</v>
      </c>
      <c r="M528" t="str">
        <f t="shared" si="64"/>
        <v>Medium</v>
      </c>
      <c r="N528">
        <f>(winequality_red[[#This Row],[Updated Quality &amp; Alcohol Analysis]]+winequality_red[[#This Row],[volatile acidity]]+winequality_red[[#This Row],[citric acid]])</f>
        <v>8.1549999999999994</v>
      </c>
      <c r="O528">
        <f t="shared" si="65"/>
        <v>2.5881818181818183E-2</v>
      </c>
      <c r="S528" t="e">
        <f t="shared" si="66"/>
        <v>#N/A</v>
      </c>
      <c r="T528" t="e">
        <f t="shared" si="67"/>
        <v>#N/A</v>
      </c>
      <c r="U528">
        <f t="shared" si="68"/>
        <v>11</v>
      </c>
      <c r="V528">
        <f t="shared" si="69"/>
        <v>5</v>
      </c>
      <c r="W528" t="e">
        <f t="shared" si="70"/>
        <v>#N/A</v>
      </c>
      <c r="X528" t="e">
        <f t="shared" si="71"/>
        <v>#N/A</v>
      </c>
    </row>
    <row r="529" spans="1:24" x14ac:dyDescent="0.3">
      <c r="A529">
        <v>7</v>
      </c>
      <c r="B529">
        <v>0.38</v>
      </c>
      <c r="C529">
        <v>0.49</v>
      </c>
      <c r="D529">
        <v>2.5</v>
      </c>
      <c r="E529">
        <v>9.6999999999999989E-2</v>
      </c>
      <c r="F529">
        <v>33</v>
      </c>
      <c r="G529">
        <v>85</v>
      </c>
      <c r="H529">
        <v>0.99619999999999997</v>
      </c>
      <c r="I529">
        <v>3.39</v>
      </c>
      <c r="J529">
        <v>0.77</v>
      </c>
      <c r="K529">
        <v>11.4</v>
      </c>
      <c r="L529">
        <v>6</v>
      </c>
      <c r="M529" t="str">
        <f t="shared" si="64"/>
        <v>Medium</v>
      </c>
      <c r="N529">
        <f>(winequality_red[[#This Row],[Updated Quality &amp; Alcohol Analysis]]+winequality_red[[#This Row],[volatile acidity]]+winequality_red[[#This Row],[citric acid]])</f>
        <v>7.87</v>
      </c>
      <c r="O529">
        <f t="shared" si="65"/>
        <v>2.5666666666666667E-2</v>
      </c>
      <c r="S529" t="e">
        <f t="shared" si="66"/>
        <v>#N/A</v>
      </c>
      <c r="T529" t="e">
        <f t="shared" si="67"/>
        <v>#N/A</v>
      </c>
      <c r="U529">
        <f t="shared" si="68"/>
        <v>11.4</v>
      </c>
      <c r="V529">
        <f t="shared" si="69"/>
        <v>6</v>
      </c>
      <c r="W529" t="e">
        <f t="shared" si="70"/>
        <v>#N/A</v>
      </c>
      <c r="X529" t="e">
        <f t="shared" si="71"/>
        <v>#N/A</v>
      </c>
    </row>
    <row r="530" spans="1:24" x14ac:dyDescent="0.3">
      <c r="A530">
        <v>8.1999999999999993</v>
      </c>
      <c r="B530">
        <v>0.42</v>
      </c>
      <c r="C530">
        <v>0.49</v>
      </c>
      <c r="D530">
        <v>2.6</v>
      </c>
      <c r="E530">
        <v>8.4000000000000005E-2</v>
      </c>
      <c r="F530">
        <v>32</v>
      </c>
      <c r="G530">
        <v>55</v>
      </c>
      <c r="H530">
        <v>0.99880000000000002</v>
      </c>
      <c r="I530">
        <v>3.34</v>
      </c>
      <c r="J530">
        <v>0.75</v>
      </c>
      <c r="K530">
        <v>8.6999999999999993</v>
      </c>
      <c r="L530">
        <v>6</v>
      </c>
      <c r="M530" t="str">
        <f t="shared" si="64"/>
        <v>Medium</v>
      </c>
      <c r="N530">
        <f>(winequality_red[[#This Row],[Updated Quality &amp; Alcohol Analysis]]+winequality_red[[#This Row],[volatile acidity]]+winequality_red[[#This Row],[citric acid]])</f>
        <v>9.11</v>
      </c>
      <c r="O530">
        <f t="shared" si="65"/>
        <v>3.6206896551724141E-2</v>
      </c>
      <c r="S530" t="e">
        <f t="shared" si="66"/>
        <v>#N/A</v>
      </c>
      <c r="T530" t="e">
        <f t="shared" si="67"/>
        <v>#N/A</v>
      </c>
      <c r="U530">
        <f t="shared" si="68"/>
        <v>8.6999999999999993</v>
      </c>
      <c r="V530">
        <f t="shared" si="69"/>
        <v>6</v>
      </c>
      <c r="W530" t="e">
        <f t="shared" si="70"/>
        <v>#N/A</v>
      </c>
      <c r="X530" t="e">
        <f t="shared" si="71"/>
        <v>#N/A</v>
      </c>
    </row>
    <row r="531" spans="1:24" x14ac:dyDescent="0.3">
      <c r="A531">
        <v>9.9</v>
      </c>
      <c r="B531">
        <v>0.63</v>
      </c>
      <c r="C531">
        <v>0.24</v>
      </c>
      <c r="D531">
        <v>2.4</v>
      </c>
      <c r="E531">
        <v>7.6999999999999999E-2</v>
      </c>
      <c r="F531">
        <v>6</v>
      </c>
      <c r="G531">
        <v>33</v>
      </c>
      <c r="H531">
        <v>0.99739999999999995</v>
      </c>
      <c r="I531">
        <v>3.09</v>
      </c>
      <c r="J531">
        <v>0.56999999999999995</v>
      </c>
      <c r="K531">
        <v>9.4</v>
      </c>
      <c r="L531">
        <v>5</v>
      </c>
      <c r="M531" t="str">
        <f t="shared" si="64"/>
        <v>Medium</v>
      </c>
      <c r="N531">
        <f>(winequality_red[[#This Row],[Updated Quality &amp; Alcohol Analysis]]+winequality_red[[#This Row],[volatile acidity]]+winequality_red[[#This Row],[citric acid]])</f>
        <v>10.770000000000001</v>
      </c>
      <c r="O531">
        <f t="shared" si="65"/>
        <v>3.8202127659574467E-2</v>
      </c>
      <c r="S531" t="e">
        <f t="shared" si="66"/>
        <v>#N/A</v>
      </c>
      <c r="T531" t="e">
        <f t="shared" si="67"/>
        <v>#N/A</v>
      </c>
      <c r="U531">
        <f t="shared" si="68"/>
        <v>9.4</v>
      </c>
      <c r="V531">
        <f t="shared" si="69"/>
        <v>5</v>
      </c>
      <c r="W531" t="e">
        <f t="shared" si="70"/>
        <v>#N/A</v>
      </c>
      <c r="X531" t="e">
        <f t="shared" si="71"/>
        <v>#N/A</v>
      </c>
    </row>
    <row r="532" spans="1:24" x14ac:dyDescent="0.3">
      <c r="A532">
        <v>9.1</v>
      </c>
      <c r="B532">
        <v>0.22</v>
      </c>
      <c r="C532">
        <v>0.24</v>
      </c>
      <c r="D532">
        <v>2.1</v>
      </c>
      <c r="E532">
        <v>7.8E-2</v>
      </c>
      <c r="F532">
        <v>1</v>
      </c>
      <c r="G532">
        <v>28</v>
      </c>
      <c r="H532">
        <v>0.99900000000000011</v>
      </c>
      <c r="I532">
        <v>3.41</v>
      </c>
      <c r="J532">
        <v>0.87</v>
      </c>
      <c r="K532">
        <v>10.3</v>
      </c>
      <c r="L532">
        <v>6</v>
      </c>
      <c r="M532" t="str">
        <f t="shared" si="64"/>
        <v>Medium</v>
      </c>
      <c r="N532">
        <f>(winequality_red[[#This Row],[Updated Quality &amp; Alcohol Analysis]]+winequality_red[[#This Row],[volatile acidity]]+winequality_red[[#This Row],[citric acid]])</f>
        <v>9.56</v>
      </c>
      <c r="O532">
        <f t="shared" si="65"/>
        <v>1.8582524271844657E-2</v>
      </c>
      <c r="S532" t="e">
        <f t="shared" si="66"/>
        <v>#N/A</v>
      </c>
      <c r="T532" t="e">
        <f t="shared" si="67"/>
        <v>#N/A</v>
      </c>
      <c r="U532">
        <f t="shared" si="68"/>
        <v>10.3</v>
      </c>
      <c r="V532">
        <f t="shared" si="69"/>
        <v>6</v>
      </c>
      <c r="W532" t="e">
        <f t="shared" si="70"/>
        <v>#N/A</v>
      </c>
      <c r="X532" t="e">
        <f t="shared" si="71"/>
        <v>#N/A</v>
      </c>
    </row>
    <row r="533" spans="1:24" x14ac:dyDescent="0.3">
      <c r="A533">
        <v>11.9</v>
      </c>
      <c r="B533">
        <v>0.38</v>
      </c>
      <c r="C533">
        <v>0.49</v>
      </c>
      <c r="D533">
        <v>2.7</v>
      </c>
      <c r="E533">
        <v>9.8000000000000004E-2</v>
      </c>
      <c r="F533">
        <v>12</v>
      </c>
      <c r="G533">
        <v>42</v>
      </c>
      <c r="H533">
        <v>1.0004</v>
      </c>
      <c r="I533">
        <v>3.16</v>
      </c>
      <c r="J533">
        <v>0.61</v>
      </c>
      <c r="K533">
        <v>10.3</v>
      </c>
      <c r="L533">
        <v>5</v>
      </c>
      <c r="M533" t="str">
        <f t="shared" si="64"/>
        <v>Medium</v>
      </c>
      <c r="N533">
        <f>(winequality_red[[#This Row],[Updated Quality &amp; Alcohol Analysis]]+winequality_red[[#This Row],[volatile acidity]]+winequality_red[[#This Row],[citric acid]])</f>
        <v>12.770000000000001</v>
      </c>
      <c r="O533">
        <f t="shared" si="65"/>
        <v>2.2504854368932039E-2</v>
      </c>
      <c r="S533" t="e">
        <f t="shared" si="66"/>
        <v>#N/A</v>
      </c>
      <c r="T533" t="e">
        <f t="shared" si="67"/>
        <v>#N/A</v>
      </c>
      <c r="U533">
        <f t="shared" si="68"/>
        <v>10.3</v>
      </c>
      <c r="V533">
        <f t="shared" si="69"/>
        <v>5</v>
      </c>
      <c r="W533" t="e">
        <f t="shared" si="70"/>
        <v>#N/A</v>
      </c>
      <c r="X533" t="e">
        <f t="shared" si="71"/>
        <v>#N/A</v>
      </c>
    </row>
    <row r="534" spans="1:24" x14ac:dyDescent="0.3">
      <c r="A534">
        <v>11.9</v>
      </c>
      <c r="B534">
        <v>0.38</v>
      </c>
      <c r="C534">
        <v>0.49</v>
      </c>
      <c r="D534">
        <v>2.7</v>
      </c>
      <c r="E534">
        <v>9.8000000000000004E-2</v>
      </c>
      <c r="F534">
        <v>12</v>
      </c>
      <c r="G534">
        <v>42</v>
      </c>
      <c r="H534">
        <v>1.0004</v>
      </c>
      <c r="I534">
        <v>3.16</v>
      </c>
      <c r="J534">
        <v>0.61</v>
      </c>
      <c r="K534">
        <v>10.3</v>
      </c>
      <c r="L534">
        <v>5</v>
      </c>
      <c r="M534" t="str">
        <f t="shared" si="64"/>
        <v>Medium</v>
      </c>
      <c r="N534">
        <f>(winequality_red[[#This Row],[Updated Quality &amp; Alcohol Analysis]]+winequality_red[[#This Row],[volatile acidity]]+winequality_red[[#This Row],[citric acid]])</f>
        <v>12.770000000000001</v>
      </c>
      <c r="O534">
        <f t="shared" si="65"/>
        <v>2.2504854368932039E-2</v>
      </c>
      <c r="S534" t="e">
        <f t="shared" si="66"/>
        <v>#N/A</v>
      </c>
      <c r="T534" t="e">
        <f t="shared" si="67"/>
        <v>#N/A</v>
      </c>
      <c r="U534">
        <f t="shared" si="68"/>
        <v>10.3</v>
      </c>
      <c r="V534">
        <f t="shared" si="69"/>
        <v>5</v>
      </c>
      <c r="W534" t="e">
        <f t="shared" si="70"/>
        <v>#N/A</v>
      </c>
      <c r="X534" t="e">
        <f t="shared" si="71"/>
        <v>#N/A</v>
      </c>
    </row>
    <row r="535" spans="1:24" x14ac:dyDescent="0.3">
      <c r="A535">
        <v>10.3</v>
      </c>
      <c r="B535">
        <v>0.27</v>
      </c>
      <c r="C535">
        <v>0.24</v>
      </c>
      <c r="D535">
        <v>2.1</v>
      </c>
      <c r="E535">
        <v>7.2000000000000008E-2</v>
      </c>
      <c r="F535">
        <v>15</v>
      </c>
      <c r="G535">
        <v>33</v>
      </c>
      <c r="H535">
        <v>0.99560000000000004</v>
      </c>
      <c r="I535">
        <v>3.22</v>
      </c>
      <c r="J535">
        <v>0.66</v>
      </c>
      <c r="K535">
        <v>12.8</v>
      </c>
      <c r="L535">
        <v>6</v>
      </c>
      <c r="M535" t="str">
        <f t="shared" si="64"/>
        <v>Medium</v>
      </c>
      <c r="N535">
        <f>(winequality_red[[#This Row],[Updated Quality &amp; Alcohol Analysis]]+winequality_red[[#This Row],[volatile acidity]]+winequality_red[[#This Row],[citric acid]])</f>
        <v>10.81</v>
      </c>
      <c r="O535">
        <f t="shared" si="65"/>
        <v>1.3921875000000002E-2</v>
      </c>
      <c r="S535" t="e">
        <f t="shared" si="66"/>
        <v>#N/A</v>
      </c>
      <c r="T535" t="e">
        <f t="shared" si="67"/>
        <v>#N/A</v>
      </c>
      <c r="U535">
        <f t="shared" si="68"/>
        <v>12.8</v>
      </c>
      <c r="V535">
        <f t="shared" si="69"/>
        <v>6</v>
      </c>
      <c r="W535" t="e">
        <f t="shared" si="70"/>
        <v>#N/A</v>
      </c>
      <c r="X535" t="e">
        <f t="shared" si="71"/>
        <v>#N/A</v>
      </c>
    </row>
    <row r="536" spans="1:24" x14ac:dyDescent="0.3">
      <c r="A536">
        <v>10</v>
      </c>
      <c r="B536">
        <v>0.48</v>
      </c>
      <c r="C536">
        <v>0.24</v>
      </c>
      <c r="D536">
        <v>2.7</v>
      </c>
      <c r="E536">
        <v>0.10199999999999999</v>
      </c>
      <c r="F536">
        <v>13</v>
      </c>
      <c r="G536">
        <v>32</v>
      </c>
      <c r="H536">
        <v>1</v>
      </c>
      <c r="I536">
        <v>3.28</v>
      </c>
      <c r="J536">
        <v>0.56000000000000005</v>
      </c>
      <c r="K536">
        <v>10</v>
      </c>
      <c r="L536">
        <v>6</v>
      </c>
      <c r="M536" t="str">
        <f t="shared" si="64"/>
        <v>Medium</v>
      </c>
      <c r="N536">
        <f>(winequality_red[[#This Row],[Updated Quality &amp; Alcohol Analysis]]+winequality_red[[#This Row],[volatile acidity]]+winequality_red[[#This Row],[citric acid]])</f>
        <v>10.72</v>
      </c>
      <c r="O536">
        <f t="shared" si="65"/>
        <v>2.6880000000000005E-2</v>
      </c>
      <c r="S536" t="e">
        <f t="shared" si="66"/>
        <v>#N/A</v>
      </c>
      <c r="T536" t="e">
        <f t="shared" si="67"/>
        <v>#N/A</v>
      </c>
      <c r="U536">
        <f t="shared" si="68"/>
        <v>10</v>
      </c>
      <c r="V536">
        <f t="shared" si="69"/>
        <v>6</v>
      </c>
      <c r="W536" t="e">
        <f t="shared" si="70"/>
        <v>#N/A</v>
      </c>
      <c r="X536" t="e">
        <f t="shared" si="71"/>
        <v>#N/A</v>
      </c>
    </row>
    <row r="537" spans="1:24" x14ac:dyDescent="0.3">
      <c r="A537">
        <v>9.1</v>
      </c>
      <c r="B537">
        <v>0.22</v>
      </c>
      <c r="C537">
        <v>0.24</v>
      </c>
      <c r="D537">
        <v>2.1</v>
      </c>
      <c r="E537">
        <v>7.8E-2</v>
      </c>
      <c r="F537">
        <v>1</v>
      </c>
      <c r="G537">
        <v>28</v>
      </c>
      <c r="H537">
        <v>0.99900000000000011</v>
      </c>
      <c r="I537">
        <v>3.41</v>
      </c>
      <c r="J537">
        <v>0.87</v>
      </c>
      <c r="K537">
        <v>10.3</v>
      </c>
      <c r="L537">
        <v>6</v>
      </c>
      <c r="M537" t="str">
        <f t="shared" si="64"/>
        <v>Medium</v>
      </c>
      <c r="N537">
        <f>(winequality_red[[#This Row],[Updated Quality &amp; Alcohol Analysis]]+winequality_red[[#This Row],[volatile acidity]]+winequality_red[[#This Row],[citric acid]])</f>
        <v>9.56</v>
      </c>
      <c r="O537">
        <f t="shared" si="65"/>
        <v>1.8582524271844657E-2</v>
      </c>
      <c r="S537" t="e">
        <f t="shared" si="66"/>
        <v>#N/A</v>
      </c>
      <c r="T537" t="e">
        <f t="shared" si="67"/>
        <v>#N/A</v>
      </c>
      <c r="U537">
        <f t="shared" si="68"/>
        <v>10.3</v>
      </c>
      <c r="V537">
        <f t="shared" si="69"/>
        <v>6</v>
      </c>
      <c r="W537" t="e">
        <f t="shared" si="70"/>
        <v>#N/A</v>
      </c>
      <c r="X537" t="e">
        <f t="shared" si="71"/>
        <v>#N/A</v>
      </c>
    </row>
    <row r="538" spans="1:24" x14ac:dyDescent="0.3">
      <c r="A538">
        <v>9.9</v>
      </c>
      <c r="B538">
        <v>0.63</v>
      </c>
      <c r="C538">
        <v>0.24</v>
      </c>
      <c r="D538">
        <v>2.4</v>
      </c>
      <c r="E538">
        <v>7.6999999999999999E-2</v>
      </c>
      <c r="F538">
        <v>6</v>
      </c>
      <c r="G538">
        <v>33</v>
      </c>
      <c r="H538">
        <v>0.99739999999999995</v>
      </c>
      <c r="I538">
        <v>3.09</v>
      </c>
      <c r="J538">
        <v>0.56999999999999995</v>
      </c>
      <c r="K538">
        <v>9.4</v>
      </c>
      <c r="L538">
        <v>5</v>
      </c>
      <c r="M538" t="str">
        <f t="shared" si="64"/>
        <v>Medium</v>
      </c>
      <c r="N538">
        <f>(winequality_red[[#This Row],[Updated Quality &amp; Alcohol Analysis]]+winequality_red[[#This Row],[volatile acidity]]+winequality_red[[#This Row],[citric acid]])</f>
        <v>10.770000000000001</v>
      </c>
      <c r="O538">
        <f t="shared" si="65"/>
        <v>3.8202127659574467E-2</v>
      </c>
      <c r="S538" t="e">
        <f t="shared" si="66"/>
        <v>#N/A</v>
      </c>
      <c r="T538" t="e">
        <f t="shared" si="67"/>
        <v>#N/A</v>
      </c>
      <c r="U538">
        <f t="shared" si="68"/>
        <v>9.4</v>
      </c>
      <c r="V538">
        <f t="shared" si="69"/>
        <v>5</v>
      </c>
      <c r="W538" t="e">
        <f t="shared" si="70"/>
        <v>#N/A</v>
      </c>
      <c r="X538" t="e">
        <f t="shared" si="71"/>
        <v>#N/A</v>
      </c>
    </row>
    <row r="539" spans="1:24" x14ac:dyDescent="0.3">
      <c r="A539">
        <v>8.1</v>
      </c>
      <c r="B539">
        <v>0.82499999999999996</v>
      </c>
      <c r="C539">
        <v>0.24</v>
      </c>
      <c r="D539">
        <v>2.1</v>
      </c>
      <c r="E539">
        <v>8.4000000000000005E-2</v>
      </c>
      <c r="F539">
        <v>5</v>
      </c>
      <c r="G539">
        <v>13</v>
      </c>
      <c r="H539">
        <v>0.99719999999999998</v>
      </c>
      <c r="I539">
        <v>3.37</v>
      </c>
      <c r="J539">
        <v>0.77</v>
      </c>
      <c r="K539">
        <v>10.7</v>
      </c>
      <c r="L539">
        <v>6</v>
      </c>
      <c r="M539" t="str">
        <f t="shared" si="64"/>
        <v>Medium</v>
      </c>
      <c r="N539">
        <f>(winequality_red[[#This Row],[Updated Quality &amp; Alcohol Analysis]]+winequality_red[[#This Row],[volatile acidity]]+winequality_red[[#This Row],[citric acid]])</f>
        <v>9.1649999999999991</v>
      </c>
      <c r="O539">
        <f t="shared" si="65"/>
        <v>5.9369158878504677E-2</v>
      </c>
      <c r="S539" t="e">
        <f t="shared" si="66"/>
        <v>#N/A</v>
      </c>
      <c r="T539" t="e">
        <f t="shared" si="67"/>
        <v>#N/A</v>
      </c>
      <c r="U539">
        <f t="shared" si="68"/>
        <v>10.7</v>
      </c>
      <c r="V539">
        <f t="shared" si="69"/>
        <v>6</v>
      </c>
      <c r="W539" t="e">
        <f t="shared" si="70"/>
        <v>#N/A</v>
      </c>
      <c r="X539" t="e">
        <f t="shared" si="71"/>
        <v>#N/A</v>
      </c>
    </row>
    <row r="540" spans="1:24" x14ac:dyDescent="0.3">
      <c r="A540">
        <v>12.9</v>
      </c>
      <c r="B540">
        <v>0.35</v>
      </c>
      <c r="C540">
        <v>0.49</v>
      </c>
      <c r="D540">
        <v>5.8</v>
      </c>
      <c r="E540">
        <v>6.6000000000000003E-2</v>
      </c>
      <c r="F540">
        <v>5</v>
      </c>
      <c r="G540">
        <v>35</v>
      </c>
      <c r="H540">
        <v>1.0014000000000001</v>
      </c>
      <c r="I540">
        <v>3.2</v>
      </c>
      <c r="J540">
        <v>0.66</v>
      </c>
      <c r="K540">
        <v>12</v>
      </c>
      <c r="L540">
        <v>7</v>
      </c>
      <c r="M540" t="str">
        <f t="shared" si="64"/>
        <v>High</v>
      </c>
      <c r="N540">
        <f>(winequality_red[[#This Row],[Updated Quality &amp; Alcohol Analysis]]+winequality_red[[#This Row],[volatile acidity]]+winequality_red[[#This Row],[citric acid]])</f>
        <v>13.74</v>
      </c>
      <c r="O540">
        <f t="shared" si="65"/>
        <v>1.925E-2</v>
      </c>
      <c r="S540" t="e">
        <f t="shared" si="66"/>
        <v>#N/A</v>
      </c>
      <c r="T540" t="e">
        <f t="shared" si="67"/>
        <v>#N/A</v>
      </c>
      <c r="U540" t="e">
        <f t="shared" si="68"/>
        <v>#N/A</v>
      </c>
      <c r="V540" t="e">
        <f t="shared" si="69"/>
        <v>#N/A</v>
      </c>
      <c r="W540">
        <f t="shared" si="70"/>
        <v>12</v>
      </c>
      <c r="X540">
        <f t="shared" si="71"/>
        <v>7</v>
      </c>
    </row>
    <row r="541" spans="1:24" x14ac:dyDescent="0.3">
      <c r="A541">
        <v>11.2</v>
      </c>
      <c r="B541">
        <v>0.5</v>
      </c>
      <c r="C541">
        <v>0.74</v>
      </c>
      <c r="D541">
        <v>5.15</v>
      </c>
      <c r="E541">
        <v>0.1</v>
      </c>
      <c r="F541">
        <v>5</v>
      </c>
      <c r="G541">
        <v>17</v>
      </c>
      <c r="H541">
        <v>0.99960000000000004</v>
      </c>
      <c r="I541">
        <v>3.22</v>
      </c>
      <c r="J541">
        <v>0.62</v>
      </c>
      <c r="K541">
        <v>11.2</v>
      </c>
      <c r="L541">
        <v>5</v>
      </c>
      <c r="M541" t="str">
        <f t="shared" si="64"/>
        <v>Medium</v>
      </c>
      <c r="N541">
        <f>(winequality_red[[#This Row],[Updated Quality &amp; Alcohol Analysis]]+winequality_red[[#This Row],[volatile acidity]]+winequality_red[[#This Row],[citric acid]])</f>
        <v>12.44</v>
      </c>
      <c r="O541">
        <f t="shared" si="65"/>
        <v>2.7678571428571431E-2</v>
      </c>
      <c r="S541" t="e">
        <f t="shared" si="66"/>
        <v>#N/A</v>
      </c>
      <c r="T541" t="e">
        <f t="shared" si="67"/>
        <v>#N/A</v>
      </c>
      <c r="U541">
        <f t="shared" si="68"/>
        <v>11.2</v>
      </c>
      <c r="V541">
        <f t="shared" si="69"/>
        <v>5</v>
      </c>
      <c r="W541" t="e">
        <f t="shared" si="70"/>
        <v>#N/A</v>
      </c>
      <c r="X541" t="e">
        <f t="shared" si="71"/>
        <v>#N/A</v>
      </c>
    </row>
    <row r="542" spans="1:24" x14ac:dyDescent="0.3">
      <c r="A542">
        <v>9.1999999999999993</v>
      </c>
      <c r="B542">
        <v>0.59</v>
      </c>
      <c r="C542">
        <v>0.24</v>
      </c>
      <c r="D542">
        <v>3.3</v>
      </c>
      <c r="E542">
        <v>0.10099999999999999</v>
      </c>
      <c r="F542">
        <v>20</v>
      </c>
      <c r="G542">
        <v>47</v>
      </c>
      <c r="H542">
        <v>0.99880000000000002</v>
      </c>
      <c r="I542">
        <v>3.26</v>
      </c>
      <c r="J542">
        <v>0.67</v>
      </c>
      <c r="K542">
        <v>9.6</v>
      </c>
      <c r="L542">
        <v>5</v>
      </c>
      <c r="M542" t="str">
        <f t="shared" si="64"/>
        <v>Medium</v>
      </c>
      <c r="N542">
        <f>(winequality_red[[#This Row],[Updated Quality &amp; Alcohol Analysis]]+winequality_red[[#This Row],[volatile acidity]]+winequality_red[[#This Row],[citric acid]])</f>
        <v>10.029999999999999</v>
      </c>
      <c r="O542">
        <f t="shared" si="65"/>
        <v>4.1177083333333336E-2</v>
      </c>
      <c r="S542" t="e">
        <f t="shared" si="66"/>
        <v>#N/A</v>
      </c>
      <c r="T542" t="e">
        <f t="shared" si="67"/>
        <v>#N/A</v>
      </c>
      <c r="U542">
        <f t="shared" si="68"/>
        <v>9.6</v>
      </c>
      <c r="V542">
        <f t="shared" si="69"/>
        <v>5</v>
      </c>
      <c r="W542" t="e">
        <f t="shared" si="70"/>
        <v>#N/A</v>
      </c>
      <c r="X542" t="e">
        <f t="shared" si="71"/>
        <v>#N/A</v>
      </c>
    </row>
    <row r="543" spans="1:24" x14ac:dyDescent="0.3">
      <c r="A543">
        <v>9.5</v>
      </c>
      <c r="B543">
        <v>0.46</v>
      </c>
      <c r="C543">
        <v>0.49</v>
      </c>
      <c r="D543">
        <v>6.3</v>
      </c>
      <c r="E543">
        <v>6.4000000000000001E-2</v>
      </c>
      <c r="F543">
        <v>5</v>
      </c>
      <c r="G543">
        <v>17</v>
      </c>
      <c r="H543">
        <v>0.99880000000000002</v>
      </c>
      <c r="I543">
        <v>3.21</v>
      </c>
      <c r="J543">
        <v>0.73</v>
      </c>
      <c r="K543">
        <v>11</v>
      </c>
      <c r="L543">
        <v>6</v>
      </c>
      <c r="M543" t="str">
        <f t="shared" si="64"/>
        <v>Medium</v>
      </c>
      <c r="N543">
        <f>(winequality_red[[#This Row],[Updated Quality &amp; Alcohol Analysis]]+winequality_red[[#This Row],[volatile acidity]]+winequality_red[[#This Row],[citric acid]])</f>
        <v>10.450000000000001</v>
      </c>
      <c r="O543">
        <f t="shared" si="65"/>
        <v>3.0527272727272726E-2</v>
      </c>
      <c r="S543" t="e">
        <f t="shared" si="66"/>
        <v>#N/A</v>
      </c>
      <c r="T543" t="e">
        <f t="shared" si="67"/>
        <v>#N/A</v>
      </c>
      <c r="U543">
        <f t="shared" si="68"/>
        <v>11</v>
      </c>
      <c r="V543">
        <f t="shared" si="69"/>
        <v>6</v>
      </c>
      <c r="W543" t="e">
        <f t="shared" si="70"/>
        <v>#N/A</v>
      </c>
      <c r="X543" t="e">
        <f t="shared" si="71"/>
        <v>#N/A</v>
      </c>
    </row>
    <row r="544" spans="1:24" x14ac:dyDescent="0.3">
      <c r="A544">
        <v>9.3000000000000007</v>
      </c>
      <c r="B544">
        <v>0.71499999999999997</v>
      </c>
      <c r="C544">
        <v>0.24</v>
      </c>
      <c r="D544">
        <v>2.1</v>
      </c>
      <c r="E544">
        <v>7.0000000000000007E-2</v>
      </c>
      <c r="F544">
        <v>5</v>
      </c>
      <c r="G544">
        <v>20</v>
      </c>
      <c r="H544">
        <v>0.99660000000000004</v>
      </c>
      <c r="I544">
        <v>3.12</v>
      </c>
      <c r="J544">
        <v>0.59</v>
      </c>
      <c r="K544">
        <v>9.9</v>
      </c>
      <c r="L544">
        <v>5</v>
      </c>
      <c r="M544" t="str">
        <f t="shared" si="64"/>
        <v>Medium</v>
      </c>
      <c r="N544">
        <f>(winequality_red[[#This Row],[Updated Quality &amp; Alcohol Analysis]]+winequality_red[[#This Row],[volatile acidity]]+winequality_red[[#This Row],[citric acid]])</f>
        <v>10.255000000000001</v>
      </c>
      <c r="O544">
        <f t="shared" si="65"/>
        <v>4.2611111111111107E-2</v>
      </c>
      <c r="S544" t="e">
        <f t="shared" si="66"/>
        <v>#N/A</v>
      </c>
      <c r="T544" t="e">
        <f t="shared" si="67"/>
        <v>#N/A</v>
      </c>
      <c r="U544">
        <f t="shared" si="68"/>
        <v>9.9</v>
      </c>
      <c r="V544">
        <f t="shared" si="69"/>
        <v>5</v>
      </c>
      <c r="W544" t="e">
        <f t="shared" si="70"/>
        <v>#N/A</v>
      </c>
      <c r="X544" t="e">
        <f t="shared" si="71"/>
        <v>#N/A</v>
      </c>
    </row>
    <row r="545" spans="1:24" x14ac:dyDescent="0.3">
      <c r="A545">
        <v>11.2</v>
      </c>
      <c r="B545">
        <v>0.66</v>
      </c>
      <c r="C545">
        <v>0.24</v>
      </c>
      <c r="D545">
        <v>2.5</v>
      </c>
      <c r="E545">
        <v>8.5000000000000006E-2</v>
      </c>
      <c r="F545">
        <v>16</v>
      </c>
      <c r="G545">
        <v>53</v>
      </c>
      <c r="H545">
        <v>0.99929999999999997</v>
      </c>
      <c r="I545">
        <v>3.06</v>
      </c>
      <c r="J545">
        <v>0.72</v>
      </c>
      <c r="K545">
        <v>11</v>
      </c>
      <c r="L545">
        <v>6</v>
      </c>
      <c r="M545" t="str">
        <f t="shared" si="64"/>
        <v>Medium</v>
      </c>
      <c r="N545">
        <f>(winequality_red[[#This Row],[Updated Quality &amp; Alcohol Analysis]]+winequality_red[[#This Row],[volatile acidity]]+winequality_red[[#This Row],[citric acid]])</f>
        <v>12.1</v>
      </c>
      <c r="O545">
        <f t="shared" si="65"/>
        <v>4.3200000000000002E-2</v>
      </c>
      <c r="S545" t="e">
        <f t="shared" si="66"/>
        <v>#N/A</v>
      </c>
      <c r="T545" t="e">
        <f t="shared" si="67"/>
        <v>#N/A</v>
      </c>
      <c r="U545">
        <f t="shared" si="68"/>
        <v>11</v>
      </c>
      <c r="V545">
        <f t="shared" si="69"/>
        <v>6</v>
      </c>
      <c r="W545" t="e">
        <f t="shared" si="70"/>
        <v>#N/A</v>
      </c>
      <c r="X545" t="e">
        <f t="shared" si="71"/>
        <v>#N/A</v>
      </c>
    </row>
    <row r="546" spans="1:24" x14ac:dyDescent="0.3">
      <c r="A546">
        <v>14.3</v>
      </c>
      <c r="B546">
        <v>0.31</v>
      </c>
      <c r="C546">
        <v>0.74</v>
      </c>
      <c r="D546">
        <v>1.8</v>
      </c>
      <c r="E546">
        <v>7.4999999999999997E-2</v>
      </c>
      <c r="F546">
        <v>6</v>
      </c>
      <c r="G546">
        <v>15</v>
      </c>
      <c r="H546">
        <v>1.0007999999999999</v>
      </c>
      <c r="I546">
        <v>2.86</v>
      </c>
      <c r="J546">
        <v>0.79</v>
      </c>
      <c r="K546">
        <v>8.4</v>
      </c>
      <c r="L546">
        <v>6</v>
      </c>
      <c r="M546" t="str">
        <f t="shared" si="64"/>
        <v>Medium</v>
      </c>
      <c r="N546">
        <f>(winequality_red[[#This Row],[Updated Quality &amp; Alcohol Analysis]]+winequality_red[[#This Row],[volatile acidity]]+winequality_red[[#This Row],[citric acid]])</f>
        <v>15.350000000000001</v>
      </c>
      <c r="O546">
        <f t="shared" si="65"/>
        <v>2.9154761904761906E-2</v>
      </c>
      <c r="S546" t="e">
        <f t="shared" si="66"/>
        <v>#N/A</v>
      </c>
      <c r="T546" t="e">
        <f t="shared" si="67"/>
        <v>#N/A</v>
      </c>
      <c r="U546">
        <f t="shared" si="68"/>
        <v>8.4</v>
      </c>
      <c r="V546">
        <f t="shared" si="69"/>
        <v>6</v>
      </c>
      <c r="W546" t="e">
        <f t="shared" si="70"/>
        <v>#N/A</v>
      </c>
      <c r="X546" t="e">
        <f t="shared" si="71"/>
        <v>#N/A</v>
      </c>
    </row>
    <row r="547" spans="1:24" x14ac:dyDescent="0.3">
      <c r="A547">
        <v>9.1</v>
      </c>
      <c r="B547">
        <v>0.47</v>
      </c>
      <c r="C547">
        <v>0.49</v>
      </c>
      <c r="D547">
        <v>2.6</v>
      </c>
      <c r="E547">
        <v>9.4E-2</v>
      </c>
      <c r="F547">
        <v>38</v>
      </c>
      <c r="G547">
        <v>106</v>
      </c>
      <c r="H547">
        <v>0.99819999999999998</v>
      </c>
      <c r="I547">
        <v>3.08</v>
      </c>
      <c r="J547">
        <v>0.59</v>
      </c>
      <c r="K547">
        <v>9.1</v>
      </c>
      <c r="L547">
        <v>5</v>
      </c>
      <c r="M547" t="str">
        <f t="shared" si="64"/>
        <v>Medium</v>
      </c>
      <c r="N547">
        <f>(winequality_red[[#This Row],[Updated Quality &amp; Alcohol Analysis]]+winequality_red[[#This Row],[volatile acidity]]+winequality_red[[#This Row],[citric acid]])</f>
        <v>10.06</v>
      </c>
      <c r="O547">
        <f t="shared" si="65"/>
        <v>3.0472527472527471E-2</v>
      </c>
      <c r="S547" t="e">
        <f t="shared" si="66"/>
        <v>#N/A</v>
      </c>
      <c r="T547" t="e">
        <f t="shared" si="67"/>
        <v>#N/A</v>
      </c>
      <c r="U547">
        <f t="shared" si="68"/>
        <v>9.1</v>
      </c>
      <c r="V547">
        <f t="shared" si="69"/>
        <v>5</v>
      </c>
      <c r="W547" t="e">
        <f t="shared" si="70"/>
        <v>#N/A</v>
      </c>
      <c r="X547" t="e">
        <f t="shared" si="71"/>
        <v>#N/A</v>
      </c>
    </row>
    <row r="548" spans="1:24" x14ac:dyDescent="0.3">
      <c r="A548">
        <v>7.5</v>
      </c>
      <c r="B548">
        <v>0.55000000000000004</v>
      </c>
      <c r="C548">
        <v>0.24</v>
      </c>
      <c r="D548">
        <v>2</v>
      </c>
      <c r="E548">
        <v>7.8E-2</v>
      </c>
      <c r="F548">
        <v>10</v>
      </c>
      <c r="G548">
        <v>28</v>
      </c>
      <c r="H548">
        <v>0.99829999999999997</v>
      </c>
      <c r="I548">
        <v>3.45</v>
      </c>
      <c r="J548">
        <v>0.78</v>
      </c>
      <c r="K548">
        <v>9.5</v>
      </c>
      <c r="L548">
        <v>6</v>
      </c>
      <c r="M548" t="str">
        <f t="shared" si="64"/>
        <v>Medium</v>
      </c>
      <c r="N548">
        <f>(winequality_red[[#This Row],[Updated Quality &amp; Alcohol Analysis]]+winequality_red[[#This Row],[volatile acidity]]+winequality_red[[#This Row],[citric acid]])</f>
        <v>8.2900000000000009</v>
      </c>
      <c r="O548">
        <f t="shared" si="65"/>
        <v>4.5157894736842112E-2</v>
      </c>
      <c r="S548" t="e">
        <f t="shared" si="66"/>
        <v>#N/A</v>
      </c>
      <c r="T548" t="e">
        <f t="shared" si="67"/>
        <v>#N/A</v>
      </c>
      <c r="U548">
        <f t="shared" si="68"/>
        <v>9.5</v>
      </c>
      <c r="V548">
        <f t="shared" si="69"/>
        <v>6</v>
      </c>
      <c r="W548" t="e">
        <f t="shared" si="70"/>
        <v>#N/A</v>
      </c>
      <c r="X548" t="e">
        <f t="shared" si="71"/>
        <v>#N/A</v>
      </c>
    </row>
    <row r="549" spans="1:24" x14ac:dyDescent="0.3">
      <c r="A549">
        <v>10.6</v>
      </c>
      <c r="B549">
        <v>0.31</v>
      </c>
      <c r="C549">
        <v>0.49</v>
      </c>
      <c r="D549">
        <v>2.5</v>
      </c>
      <c r="E549">
        <v>6.7000000000000004E-2</v>
      </c>
      <c r="F549">
        <v>6</v>
      </c>
      <c r="G549">
        <v>21</v>
      </c>
      <c r="H549">
        <v>0.99870000000000003</v>
      </c>
      <c r="I549">
        <v>3.26</v>
      </c>
      <c r="J549">
        <v>0.86</v>
      </c>
      <c r="K549">
        <v>10.7</v>
      </c>
      <c r="L549">
        <v>6</v>
      </c>
      <c r="M549" t="str">
        <f t="shared" si="64"/>
        <v>Medium</v>
      </c>
      <c r="N549">
        <f>(winequality_red[[#This Row],[Updated Quality &amp; Alcohol Analysis]]+winequality_red[[#This Row],[volatile acidity]]+winequality_red[[#This Row],[citric acid]])</f>
        <v>11.4</v>
      </c>
      <c r="O549">
        <f t="shared" si="65"/>
        <v>2.4915887850467291E-2</v>
      </c>
      <c r="S549" t="e">
        <f t="shared" si="66"/>
        <v>#N/A</v>
      </c>
      <c r="T549" t="e">
        <f t="shared" si="67"/>
        <v>#N/A</v>
      </c>
      <c r="U549">
        <f t="shared" si="68"/>
        <v>10.7</v>
      </c>
      <c r="V549">
        <f t="shared" si="69"/>
        <v>6</v>
      </c>
      <c r="W549" t="e">
        <f t="shared" si="70"/>
        <v>#N/A</v>
      </c>
      <c r="X549" t="e">
        <f t="shared" si="71"/>
        <v>#N/A</v>
      </c>
    </row>
    <row r="550" spans="1:24" x14ac:dyDescent="0.3">
      <c r="A550">
        <v>12.4</v>
      </c>
      <c r="B550">
        <v>0.35</v>
      </c>
      <c r="C550">
        <v>0.49</v>
      </c>
      <c r="D550">
        <v>2.6</v>
      </c>
      <c r="E550">
        <v>7.9000000000000001E-2</v>
      </c>
      <c r="F550">
        <v>27</v>
      </c>
      <c r="G550">
        <v>69</v>
      </c>
      <c r="H550">
        <v>0.99939999999999996</v>
      </c>
      <c r="I550">
        <v>3.12</v>
      </c>
      <c r="J550">
        <v>0.75</v>
      </c>
      <c r="K550">
        <v>10.4</v>
      </c>
      <c r="L550">
        <v>6</v>
      </c>
      <c r="M550" t="str">
        <f t="shared" si="64"/>
        <v>Medium</v>
      </c>
      <c r="N550">
        <f>(winequality_red[[#This Row],[Updated Quality &amp; Alcohol Analysis]]+winequality_red[[#This Row],[volatile acidity]]+winequality_red[[#This Row],[citric acid]])</f>
        <v>13.24</v>
      </c>
      <c r="O550">
        <f t="shared" si="65"/>
        <v>2.5240384615384609E-2</v>
      </c>
      <c r="S550" t="e">
        <f t="shared" si="66"/>
        <v>#N/A</v>
      </c>
      <c r="T550" t="e">
        <f t="shared" si="67"/>
        <v>#N/A</v>
      </c>
      <c r="U550">
        <f t="shared" si="68"/>
        <v>10.4</v>
      </c>
      <c r="V550">
        <f t="shared" si="69"/>
        <v>6</v>
      </c>
      <c r="W550" t="e">
        <f t="shared" si="70"/>
        <v>#N/A</v>
      </c>
      <c r="X550" t="e">
        <f t="shared" si="71"/>
        <v>#N/A</v>
      </c>
    </row>
    <row r="551" spans="1:24" x14ac:dyDescent="0.3">
      <c r="A551">
        <v>9</v>
      </c>
      <c r="B551">
        <v>0.53</v>
      </c>
      <c r="C551">
        <v>0.49</v>
      </c>
      <c r="D551">
        <v>1.9</v>
      </c>
      <c r="E551">
        <v>0.17100000000000001</v>
      </c>
      <c r="F551">
        <v>6</v>
      </c>
      <c r="G551">
        <v>25</v>
      </c>
      <c r="H551">
        <v>0.99750000000000005</v>
      </c>
      <c r="I551">
        <v>3.27</v>
      </c>
      <c r="J551">
        <v>0.61</v>
      </c>
      <c r="K551">
        <v>9.4</v>
      </c>
      <c r="L551">
        <v>6</v>
      </c>
      <c r="M551" t="str">
        <f t="shared" si="64"/>
        <v>Medium</v>
      </c>
      <c r="N551">
        <f>(winequality_red[[#This Row],[Updated Quality &amp; Alcohol Analysis]]+winequality_red[[#This Row],[volatile acidity]]+winequality_red[[#This Row],[citric acid]])</f>
        <v>10.02</v>
      </c>
      <c r="O551">
        <f t="shared" si="65"/>
        <v>3.43936170212766E-2</v>
      </c>
      <c r="S551" t="e">
        <f t="shared" si="66"/>
        <v>#N/A</v>
      </c>
      <c r="T551" t="e">
        <f t="shared" si="67"/>
        <v>#N/A</v>
      </c>
      <c r="U551">
        <f t="shared" si="68"/>
        <v>9.4</v>
      </c>
      <c r="V551">
        <f t="shared" si="69"/>
        <v>6</v>
      </c>
      <c r="W551" t="e">
        <f t="shared" si="70"/>
        <v>#N/A</v>
      </c>
      <c r="X551" t="e">
        <f t="shared" si="71"/>
        <v>#N/A</v>
      </c>
    </row>
    <row r="552" spans="1:24" x14ac:dyDescent="0.3">
      <c r="A552">
        <v>6.8</v>
      </c>
      <c r="B552">
        <v>0.51</v>
      </c>
      <c r="C552">
        <v>0.01</v>
      </c>
      <c r="D552">
        <v>2.1</v>
      </c>
      <c r="E552">
        <v>7.400000000000001E-2</v>
      </c>
      <c r="F552">
        <v>9</v>
      </c>
      <c r="G552">
        <v>25</v>
      </c>
      <c r="H552">
        <v>0.99580000000000002</v>
      </c>
      <c r="I552">
        <v>3.33</v>
      </c>
      <c r="J552">
        <v>0.56000000000000005</v>
      </c>
      <c r="K552">
        <v>9.5</v>
      </c>
      <c r="L552">
        <v>6</v>
      </c>
      <c r="M552" t="str">
        <f t="shared" si="64"/>
        <v>Medium</v>
      </c>
      <c r="N552">
        <f>(winequality_red[[#This Row],[Updated Quality &amp; Alcohol Analysis]]+winequality_red[[#This Row],[volatile acidity]]+winequality_red[[#This Row],[citric acid]])</f>
        <v>7.3199999999999994</v>
      </c>
      <c r="O552">
        <f t="shared" si="65"/>
        <v>3.0063157894736844E-2</v>
      </c>
      <c r="S552" t="e">
        <f t="shared" si="66"/>
        <v>#N/A</v>
      </c>
      <c r="T552" t="e">
        <f t="shared" si="67"/>
        <v>#N/A</v>
      </c>
      <c r="U552">
        <f t="shared" si="68"/>
        <v>9.5</v>
      </c>
      <c r="V552">
        <f t="shared" si="69"/>
        <v>6</v>
      </c>
      <c r="W552" t="e">
        <f t="shared" si="70"/>
        <v>#N/A</v>
      </c>
      <c r="X552" t="e">
        <f t="shared" si="71"/>
        <v>#N/A</v>
      </c>
    </row>
    <row r="553" spans="1:24" x14ac:dyDescent="0.3">
      <c r="A553">
        <v>9.4</v>
      </c>
      <c r="B553">
        <v>0.43</v>
      </c>
      <c r="C553">
        <v>0.24</v>
      </c>
      <c r="D553">
        <v>2.8</v>
      </c>
      <c r="E553">
        <v>9.1999999999999998E-2</v>
      </c>
      <c r="F553">
        <v>14</v>
      </c>
      <c r="G553">
        <v>45</v>
      </c>
      <c r="H553">
        <v>0.998</v>
      </c>
      <c r="I553">
        <v>3.19</v>
      </c>
      <c r="J553">
        <v>0.73</v>
      </c>
      <c r="K553">
        <v>10</v>
      </c>
      <c r="L553">
        <v>6</v>
      </c>
      <c r="M553" t="str">
        <f t="shared" si="64"/>
        <v>Medium</v>
      </c>
      <c r="N553">
        <f>(winequality_red[[#This Row],[Updated Quality &amp; Alcohol Analysis]]+winequality_red[[#This Row],[volatile acidity]]+winequality_red[[#This Row],[citric acid]])</f>
        <v>10.07</v>
      </c>
      <c r="O553">
        <f t="shared" si="65"/>
        <v>3.1390000000000001E-2</v>
      </c>
      <c r="S553" t="e">
        <f t="shared" si="66"/>
        <v>#N/A</v>
      </c>
      <c r="T553" t="e">
        <f t="shared" si="67"/>
        <v>#N/A</v>
      </c>
      <c r="U553">
        <f t="shared" si="68"/>
        <v>10</v>
      </c>
      <c r="V553">
        <f t="shared" si="69"/>
        <v>6</v>
      </c>
      <c r="W553" t="e">
        <f t="shared" si="70"/>
        <v>#N/A</v>
      </c>
      <c r="X553" t="e">
        <f t="shared" si="71"/>
        <v>#N/A</v>
      </c>
    </row>
    <row r="554" spans="1:24" x14ac:dyDescent="0.3">
      <c r="A554">
        <v>9.5</v>
      </c>
      <c r="B554">
        <v>0.46</v>
      </c>
      <c r="C554">
        <v>0.24</v>
      </c>
      <c r="D554">
        <v>2.7</v>
      </c>
      <c r="E554">
        <v>9.1999999999999998E-2</v>
      </c>
      <c r="F554">
        <v>14</v>
      </c>
      <c r="G554">
        <v>44</v>
      </c>
      <c r="H554">
        <v>0.998</v>
      </c>
      <c r="I554">
        <v>3.12</v>
      </c>
      <c r="J554">
        <v>0.74</v>
      </c>
      <c r="K554">
        <v>10</v>
      </c>
      <c r="L554">
        <v>6</v>
      </c>
      <c r="M554" t="str">
        <f t="shared" si="64"/>
        <v>Medium</v>
      </c>
      <c r="N554">
        <f>(winequality_red[[#This Row],[Updated Quality &amp; Alcohol Analysis]]+winequality_red[[#This Row],[volatile acidity]]+winequality_red[[#This Row],[citric acid]])</f>
        <v>10.200000000000001</v>
      </c>
      <c r="O554">
        <f t="shared" si="65"/>
        <v>3.4040000000000001E-2</v>
      </c>
      <c r="S554" t="e">
        <f t="shared" si="66"/>
        <v>#N/A</v>
      </c>
      <c r="T554" t="e">
        <f t="shared" si="67"/>
        <v>#N/A</v>
      </c>
      <c r="U554">
        <f t="shared" si="68"/>
        <v>10</v>
      </c>
      <c r="V554">
        <f t="shared" si="69"/>
        <v>6</v>
      </c>
      <c r="W554" t="e">
        <f t="shared" si="70"/>
        <v>#N/A</v>
      </c>
      <c r="X554" t="e">
        <f t="shared" si="71"/>
        <v>#N/A</v>
      </c>
    </row>
    <row r="555" spans="1:24" x14ac:dyDescent="0.3">
      <c r="A555">
        <v>5</v>
      </c>
      <c r="B555">
        <v>1.04</v>
      </c>
      <c r="C555">
        <v>0.24</v>
      </c>
      <c r="D555">
        <v>1.6</v>
      </c>
      <c r="E555">
        <v>0.05</v>
      </c>
      <c r="F555">
        <v>32</v>
      </c>
      <c r="G555">
        <v>96</v>
      </c>
      <c r="H555">
        <v>0.99339999999999995</v>
      </c>
      <c r="I555">
        <v>3.74</v>
      </c>
      <c r="J555">
        <v>0.62</v>
      </c>
      <c r="K555">
        <v>11.5</v>
      </c>
      <c r="L555">
        <v>5</v>
      </c>
      <c r="M555" t="str">
        <f t="shared" si="64"/>
        <v>Medium</v>
      </c>
      <c r="N555">
        <f>(winequality_red[[#This Row],[Updated Quality &amp; Alcohol Analysis]]+winequality_red[[#This Row],[volatile acidity]]+winequality_red[[#This Row],[citric acid]])</f>
        <v>6.28</v>
      </c>
      <c r="O555">
        <f t="shared" si="65"/>
        <v>5.6069565217391308E-2</v>
      </c>
      <c r="S555" t="e">
        <f t="shared" si="66"/>
        <v>#N/A</v>
      </c>
      <c r="T555" t="e">
        <f t="shared" si="67"/>
        <v>#N/A</v>
      </c>
      <c r="U555">
        <f t="shared" si="68"/>
        <v>11.5</v>
      </c>
      <c r="V555">
        <f t="shared" si="69"/>
        <v>5</v>
      </c>
      <c r="W555" t="e">
        <f t="shared" si="70"/>
        <v>#N/A</v>
      </c>
      <c r="X555" t="e">
        <f t="shared" si="71"/>
        <v>#N/A</v>
      </c>
    </row>
    <row r="556" spans="1:24" x14ac:dyDescent="0.3">
      <c r="A556">
        <v>15.5</v>
      </c>
      <c r="B556">
        <v>0.64500000000000002</v>
      </c>
      <c r="C556">
        <v>0.49</v>
      </c>
      <c r="D556">
        <v>4.2</v>
      </c>
      <c r="E556">
        <v>9.5000000000000001E-2</v>
      </c>
      <c r="F556">
        <v>10</v>
      </c>
      <c r="G556">
        <v>23</v>
      </c>
      <c r="H556">
        <v>1.00315</v>
      </c>
      <c r="I556">
        <v>2.92</v>
      </c>
      <c r="J556">
        <v>0.74</v>
      </c>
      <c r="K556">
        <v>11.1</v>
      </c>
      <c r="L556">
        <v>5</v>
      </c>
      <c r="M556" t="str">
        <f t="shared" si="64"/>
        <v>Medium</v>
      </c>
      <c r="N556">
        <f>(winequality_red[[#This Row],[Updated Quality &amp; Alcohol Analysis]]+winequality_red[[#This Row],[volatile acidity]]+winequality_red[[#This Row],[citric acid]])</f>
        <v>16.634999999999998</v>
      </c>
      <c r="O556">
        <f t="shared" si="65"/>
        <v>4.3000000000000003E-2</v>
      </c>
      <c r="S556" t="e">
        <f t="shared" si="66"/>
        <v>#N/A</v>
      </c>
      <c r="T556" t="e">
        <f t="shared" si="67"/>
        <v>#N/A</v>
      </c>
      <c r="U556">
        <f t="shared" si="68"/>
        <v>11.1</v>
      </c>
      <c r="V556">
        <f t="shared" si="69"/>
        <v>5</v>
      </c>
      <c r="W556" t="e">
        <f t="shared" si="70"/>
        <v>#N/A</v>
      </c>
      <c r="X556" t="e">
        <f t="shared" si="71"/>
        <v>#N/A</v>
      </c>
    </row>
    <row r="557" spans="1:24" x14ac:dyDescent="0.3">
      <c r="A557">
        <v>15.5</v>
      </c>
      <c r="B557">
        <v>0.64500000000000002</v>
      </c>
      <c r="C557">
        <v>0.49</v>
      </c>
      <c r="D557">
        <v>4.2</v>
      </c>
      <c r="E557">
        <v>9.5000000000000001E-2</v>
      </c>
      <c r="F557">
        <v>10</v>
      </c>
      <c r="G557">
        <v>23</v>
      </c>
      <c r="H557">
        <v>1.00315</v>
      </c>
      <c r="I557">
        <v>2.92</v>
      </c>
      <c r="J557">
        <v>0.74</v>
      </c>
      <c r="K557">
        <v>11.1</v>
      </c>
      <c r="L557">
        <v>5</v>
      </c>
      <c r="M557" t="str">
        <f t="shared" si="64"/>
        <v>Medium</v>
      </c>
      <c r="N557">
        <f>(winequality_red[[#This Row],[Updated Quality &amp; Alcohol Analysis]]+winequality_red[[#This Row],[volatile acidity]]+winequality_red[[#This Row],[citric acid]])</f>
        <v>16.634999999999998</v>
      </c>
      <c r="O557">
        <f t="shared" si="65"/>
        <v>4.3000000000000003E-2</v>
      </c>
      <c r="S557" t="e">
        <f t="shared" si="66"/>
        <v>#N/A</v>
      </c>
      <c r="T557" t="e">
        <f t="shared" si="67"/>
        <v>#N/A</v>
      </c>
      <c r="U557">
        <f t="shared" si="68"/>
        <v>11.1</v>
      </c>
      <c r="V557">
        <f t="shared" si="69"/>
        <v>5</v>
      </c>
      <c r="W557" t="e">
        <f t="shared" si="70"/>
        <v>#N/A</v>
      </c>
      <c r="X557" t="e">
        <f t="shared" si="71"/>
        <v>#N/A</v>
      </c>
    </row>
    <row r="558" spans="1:24" x14ac:dyDescent="0.3">
      <c r="A558">
        <v>10.9</v>
      </c>
      <c r="B558">
        <v>0.53</v>
      </c>
      <c r="C558">
        <v>0.49</v>
      </c>
      <c r="D558">
        <v>4.5999999999999996</v>
      </c>
      <c r="E558">
        <v>0.11800000000000001</v>
      </c>
      <c r="F558">
        <v>10</v>
      </c>
      <c r="G558">
        <v>17</v>
      </c>
      <c r="H558">
        <v>1.0002</v>
      </c>
      <c r="I558">
        <v>3.07</v>
      </c>
      <c r="J558">
        <v>0.56000000000000005</v>
      </c>
      <c r="K558">
        <v>11.7</v>
      </c>
      <c r="L558">
        <v>6</v>
      </c>
      <c r="M558" t="str">
        <f t="shared" si="64"/>
        <v>Medium</v>
      </c>
      <c r="N558">
        <f>(winequality_red[[#This Row],[Updated Quality &amp; Alcohol Analysis]]+winequality_red[[#This Row],[volatile acidity]]+winequality_red[[#This Row],[citric acid]])</f>
        <v>11.92</v>
      </c>
      <c r="O558">
        <f t="shared" si="65"/>
        <v>2.5367521367521375E-2</v>
      </c>
      <c r="S558" t="e">
        <f t="shared" si="66"/>
        <v>#N/A</v>
      </c>
      <c r="T558" t="e">
        <f t="shared" si="67"/>
        <v>#N/A</v>
      </c>
      <c r="U558">
        <f t="shared" si="68"/>
        <v>11.7</v>
      </c>
      <c r="V558">
        <f t="shared" si="69"/>
        <v>6</v>
      </c>
      <c r="W558" t="e">
        <f t="shared" si="70"/>
        <v>#N/A</v>
      </c>
      <c r="X558" t="e">
        <f t="shared" si="71"/>
        <v>#N/A</v>
      </c>
    </row>
    <row r="559" spans="1:24" x14ac:dyDescent="0.3">
      <c r="A559">
        <v>15.6</v>
      </c>
      <c r="B559">
        <v>0.64500000000000002</v>
      </c>
      <c r="C559">
        <v>0.49</v>
      </c>
      <c r="D559">
        <v>4.2</v>
      </c>
      <c r="E559">
        <v>9.5000000000000001E-2</v>
      </c>
      <c r="F559">
        <v>10</v>
      </c>
      <c r="G559">
        <v>23</v>
      </c>
      <c r="H559">
        <v>1.00315</v>
      </c>
      <c r="I559">
        <v>2.92</v>
      </c>
      <c r="J559">
        <v>0.74</v>
      </c>
      <c r="K559">
        <v>11.1</v>
      </c>
      <c r="L559">
        <v>5</v>
      </c>
      <c r="M559" t="str">
        <f t="shared" si="64"/>
        <v>Medium</v>
      </c>
      <c r="N559">
        <f>(winequality_red[[#This Row],[Updated Quality &amp; Alcohol Analysis]]+winequality_red[[#This Row],[volatile acidity]]+winequality_red[[#This Row],[citric acid]])</f>
        <v>16.734999999999999</v>
      </c>
      <c r="O559">
        <f t="shared" si="65"/>
        <v>4.3000000000000003E-2</v>
      </c>
      <c r="S559" t="e">
        <f t="shared" si="66"/>
        <v>#N/A</v>
      </c>
      <c r="T559" t="e">
        <f t="shared" si="67"/>
        <v>#N/A</v>
      </c>
      <c r="U559">
        <f t="shared" si="68"/>
        <v>11.1</v>
      </c>
      <c r="V559">
        <f t="shared" si="69"/>
        <v>5</v>
      </c>
      <c r="W559" t="e">
        <f t="shared" si="70"/>
        <v>#N/A</v>
      </c>
      <c r="X559" t="e">
        <f t="shared" si="71"/>
        <v>#N/A</v>
      </c>
    </row>
    <row r="560" spans="1:24" x14ac:dyDescent="0.3">
      <c r="A560">
        <v>10.9</v>
      </c>
      <c r="B560">
        <v>0.53</v>
      </c>
      <c r="C560">
        <v>0.49</v>
      </c>
      <c r="D560">
        <v>4.5999999999999996</v>
      </c>
      <c r="E560">
        <v>0.11800000000000001</v>
      </c>
      <c r="F560">
        <v>10</v>
      </c>
      <c r="G560">
        <v>17</v>
      </c>
      <c r="H560">
        <v>1.0002</v>
      </c>
      <c r="I560">
        <v>3.07</v>
      </c>
      <c r="J560">
        <v>0.56000000000000005</v>
      </c>
      <c r="K560">
        <v>11.7</v>
      </c>
      <c r="L560">
        <v>6</v>
      </c>
      <c r="M560" t="str">
        <f t="shared" si="64"/>
        <v>Medium</v>
      </c>
      <c r="N560">
        <f>(winequality_red[[#This Row],[Updated Quality &amp; Alcohol Analysis]]+winequality_red[[#This Row],[volatile acidity]]+winequality_red[[#This Row],[citric acid]])</f>
        <v>11.92</v>
      </c>
      <c r="O560">
        <f t="shared" si="65"/>
        <v>2.5367521367521375E-2</v>
      </c>
      <c r="S560" t="e">
        <f t="shared" si="66"/>
        <v>#N/A</v>
      </c>
      <c r="T560" t="e">
        <f t="shared" si="67"/>
        <v>#N/A</v>
      </c>
      <c r="U560">
        <f t="shared" si="68"/>
        <v>11.7</v>
      </c>
      <c r="V560">
        <f t="shared" si="69"/>
        <v>6</v>
      </c>
      <c r="W560" t="e">
        <f t="shared" si="70"/>
        <v>#N/A</v>
      </c>
      <c r="X560" t="e">
        <f t="shared" si="71"/>
        <v>#N/A</v>
      </c>
    </row>
    <row r="561" spans="1:24" x14ac:dyDescent="0.3">
      <c r="A561">
        <v>13</v>
      </c>
      <c r="B561">
        <v>0.47</v>
      </c>
      <c r="C561">
        <v>0.49</v>
      </c>
      <c r="D561">
        <v>4.3</v>
      </c>
      <c r="E561">
        <v>8.5000000000000006E-2</v>
      </c>
      <c r="F561">
        <v>6</v>
      </c>
      <c r="G561">
        <v>47</v>
      </c>
      <c r="H561">
        <v>1.0021</v>
      </c>
      <c r="I561">
        <v>3.3</v>
      </c>
      <c r="J561">
        <v>0.68</v>
      </c>
      <c r="K561">
        <v>12.7</v>
      </c>
      <c r="L561">
        <v>6</v>
      </c>
      <c r="M561" t="str">
        <f t="shared" si="64"/>
        <v>Medium</v>
      </c>
      <c r="N561">
        <f>(winequality_red[[#This Row],[Updated Quality &amp; Alcohol Analysis]]+winequality_red[[#This Row],[volatile acidity]]+winequality_red[[#This Row],[citric acid]])</f>
        <v>13.96</v>
      </c>
      <c r="O561">
        <f t="shared" si="65"/>
        <v>2.5165354330708663E-2</v>
      </c>
      <c r="S561" t="e">
        <f t="shared" si="66"/>
        <v>#N/A</v>
      </c>
      <c r="T561" t="e">
        <f t="shared" si="67"/>
        <v>#N/A</v>
      </c>
      <c r="U561">
        <f t="shared" si="68"/>
        <v>12.7</v>
      </c>
      <c r="V561">
        <f t="shared" si="69"/>
        <v>6</v>
      </c>
      <c r="W561" t="e">
        <f t="shared" si="70"/>
        <v>#N/A</v>
      </c>
      <c r="X561" t="e">
        <f t="shared" si="71"/>
        <v>#N/A</v>
      </c>
    </row>
    <row r="562" spans="1:24" x14ac:dyDescent="0.3">
      <c r="A562">
        <v>12.7</v>
      </c>
      <c r="B562">
        <v>0.6</v>
      </c>
      <c r="C562">
        <v>0.49</v>
      </c>
      <c r="D562">
        <v>2.8</v>
      </c>
      <c r="E562">
        <v>7.4999999999999997E-2</v>
      </c>
      <c r="F562">
        <v>5</v>
      </c>
      <c r="G562">
        <v>19</v>
      </c>
      <c r="H562">
        <v>0.99939999999999996</v>
      </c>
      <c r="I562">
        <v>3.14</v>
      </c>
      <c r="J562">
        <v>0.56999999999999995</v>
      </c>
      <c r="K562">
        <v>11.4</v>
      </c>
      <c r="L562">
        <v>5</v>
      </c>
      <c r="M562" t="str">
        <f t="shared" si="64"/>
        <v>Medium</v>
      </c>
      <c r="N562">
        <f>(winequality_red[[#This Row],[Updated Quality &amp; Alcohol Analysis]]+winequality_red[[#This Row],[volatile acidity]]+winequality_red[[#This Row],[citric acid]])</f>
        <v>13.79</v>
      </c>
      <c r="O562">
        <f t="shared" si="65"/>
        <v>2.9999999999999995E-2</v>
      </c>
      <c r="S562" t="e">
        <f t="shared" si="66"/>
        <v>#N/A</v>
      </c>
      <c r="T562" t="e">
        <f t="shared" si="67"/>
        <v>#N/A</v>
      </c>
      <c r="U562">
        <f t="shared" si="68"/>
        <v>11.4</v>
      </c>
      <c r="V562">
        <f t="shared" si="69"/>
        <v>5</v>
      </c>
      <c r="W562" t="e">
        <f t="shared" si="70"/>
        <v>#N/A</v>
      </c>
      <c r="X562" t="e">
        <f t="shared" si="71"/>
        <v>#N/A</v>
      </c>
    </row>
    <row r="563" spans="1:24" x14ac:dyDescent="0.3">
      <c r="A563">
        <v>9</v>
      </c>
      <c r="B563">
        <v>0.44</v>
      </c>
      <c r="C563">
        <v>0.49</v>
      </c>
      <c r="D563">
        <v>2.4</v>
      </c>
      <c r="E563">
        <v>7.8E-2</v>
      </c>
      <c r="F563">
        <v>26</v>
      </c>
      <c r="G563">
        <v>121</v>
      </c>
      <c r="H563">
        <v>0.99780000000000002</v>
      </c>
      <c r="I563">
        <v>3.23</v>
      </c>
      <c r="J563">
        <v>0.57999999999999996</v>
      </c>
      <c r="K563">
        <v>9.1999999999999993</v>
      </c>
      <c r="L563">
        <v>5</v>
      </c>
      <c r="M563" t="str">
        <f t="shared" si="64"/>
        <v>Medium</v>
      </c>
      <c r="N563">
        <f>(winequality_red[[#This Row],[Updated Quality &amp; Alcohol Analysis]]+winequality_red[[#This Row],[volatile acidity]]+winequality_red[[#This Row],[citric acid]])</f>
        <v>9.93</v>
      </c>
      <c r="O563">
        <f t="shared" si="65"/>
        <v>2.773913043478261E-2</v>
      </c>
      <c r="S563" t="e">
        <f t="shared" si="66"/>
        <v>#N/A</v>
      </c>
      <c r="T563" t="e">
        <f t="shared" si="67"/>
        <v>#N/A</v>
      </c>
      <c r="U563">
        <f t="shared" si="68"/>
        <v>9.1999999999999993</v>
      </c>
      <c r="V563">
        <f t="shared" si="69"/>
        <v>5</v>
      </c>
      <c r="W563" t="e">
        <f t="shared" si="70"/>
        <v>#N/A</v>
      </c>
      <c r="X563" t="e">
        <f t="shared" si="71"/>
        <v>#N/A</v>
      </c>
    </row>
    <row r="564" spans="1:24" x14ac:dyDescent="0.3">
      <c r="A564">
        <v>9</v>
      </c>
      <c r="B564">
        <v>0.54</v>
      </c>
      <c r="C564">
        <v>0.49</v>
      </c>
      <c r="D564">
        <v>2.9</v>
      </c>
      <c r="E564">
        <v>9.4E-2</v>
      </c>
      <c r="F564">
        <v>41</v>
      </c>
      <c r="G564">
        <v>110</v>
      </c>
      <c r="H564">
        <v>0.99819999999999998</v>
      </c>
      <c r="I564">
        <v>3.08</v>
      </c>
      <c r="J564">
        <v>0.61</v>
      </c>
      <c r="K564">
        <v>9.1999999999999993</v>
      </c>
      <c r="L564">
        <v>5</v>
      </c>
      <c r="M564" t="str">
        <f t="shared" si="64"/>
        <v>Medium</v>
      </c>
      <c r="N564">
        <f>(winequality_red[[#This Row],[Updated Quality &amp; Alcohol Analysis]]+winequality_red[[#This Row],[volatile acidity]]+winequality_red[[#This Row],[citric acid]])</f>
        <v>10.029999999999999</v>
      </c>
      <c r="O564">
        <f t="shared" si="65"/>
        <v>3.5804347826086963E-2</v>
      </c>
      <c r="S564" t="e">
        <f t="shared" si="66"/>
        <v>#N/A</v>
      </c>
      <c r="T564" t="e">
        <f t="shared" si="67"/>
        <v>#N/A</v>
      </c>
      <c r="U564">
        <f t="shared" si="68"/>
        <v>9.1999999999999993</v>
      </c>
      <c r="V564">
        <f t="shared" si="69"/>
        <v>5</v>
      </c>
      <c r="W564" t="e">
        <f t="shared" si="70"/>
        <v>#N/A</v>
      </c>
      <c r="X564" t="e">
        <f t="shared" si="71"/>
        <v>#N/A</v>
      </c>
    </row>
    <row r="565" spans="1:24" x14ac:dyDescent="0.3">
      <c r="A565">
        <v>7.6</v>
      </c>
      <c r="B565">
        <v>0.28999999999999998</v>
      </c>
      <c r="C565">
        <v>0.49</v>
      </c>
      <c r="D565">
        <v>2.7</v>
      </c>
      <c r="E565">
        <v>9.1999999999999998E-2</v>
      </c>
      <c r="F565">
        <v>25</v>
      </c>
      <c r="G565">
        <v>60</v>
      </c>
      <c r="H565">
        <v>0.99709999999999999</v>
      </c>
      <c r="I565">
        <v>3.31</v>
      </c>
      <c r="J565">
        <v>0.61</v>
      </c>
      <c r="K565">
        <v>10.1</v>
      </c>
      <c r="L565">
        <v>6</v>
      </c>
      <c r="M565" t="str">
        <f t="shared" si="64"/>
        <v>Medium</v>
      </c>
      <c r="N565">
        <f>(winequality_red[[#This Row],[Updated Quality &amp; Alcohol Analysis]]+winequality_red[[#This Row],[volatile acidity]]+winequality_red[[#This Row],[citric acid]])</f>
        <v>8.379999999999999</v>
      </c>
      <c r="O565">
        <f t="shared" si="65"/>
        <v>1.7514851485148513E-2</v>
      </c>
      <c r="S565" t="e">
        <f t="shared" si="66"/>
        <v>#N/A</v>
      </c>
      <c r="T565" t="e">
        <f t="shared" si="67"/>
        <v>#N/A</v>
      </c>
      <c r="U565">
        <f t="shared" si="68"/>
        <v>10.1</v>
      </c>
      <c r="V565">
        <f t="shared" si="69"/>
        <v>6</v>
      </c>
      <c r="W565" t="e">
        <f t="shared" si="70"/>
        <v>#N/A</v>
      </c>
      <c r="X565" t="e">
        <f t="shared" si="71"/>
        <v>#N/A</v>
      </c>
    </row>
    <row r="566" spans="1:24" x14ac:dyDescent="0.3">
      <c r="A566">
        <v>13</v>
      </c>
      <c r="B566">
        <v>0.47</v>
      </c>
      <c r="C566">
        <v>0.49</v>
      </c>
      <c r="D566">
        <v>4.3</v>
      </c>
      <c r="E566">
        <v>8.5000000000000006E-2</v>
      </c>
      <c r="F566">
        <v>6</v>
      </c>
      <c r="G566">
        <v>47</v>
      </c>
      <c r="H566">
        <v>1.0021</v>
      </c>
      <c r="I566">
        <v>3.3</v>
      </c>
      <c r="J566">
        <v>0.68</v>
      </c>
      <c r="K566">
        <v>12.7</v>
      </c>
      <c r="L566">
        <v>6</v>
      </c>
      <c r="M566" t="str">
        <f t="shared" si="64"/>
        <v>Medium</v>
      </c>
      <c r="N566">
        <f>(winequality_red[[#This Row],[Updated Quality &amp; Alcohol Analysis]]+winequality_red[[#This Row],[volatile acidity]]+winequality_red[[#This Row],[citric acid]])</f>
        <v>13.96</v>
      </c>
      <c r="O566">
        <f t="shared" si="65"/>
        <v>2.5165354330708663E-2</v>
      </c>
      <c r="S566" t="e">
        <f t="shared" si="66"/>
        <v>#N/A</v>
      </c>
      <c r="T566" t="e">
        <f t="shared" si="67"/>
        <v>#N/A</v>
      </c>
      <c r="U566">
        <f t="shared" si="68"/>
        <v>12.7</v>
      </c>
      <c r="V566">
        <f t="shared" si="69"/>
        <v>6</v>
      </c>
      <c r="W566" t="e">
        <f t="shared" si="70"/>
        <v>#N/A</v>
      </c>
      <c r="X566" t="e">
        <f t="shared" si="71"/>
        <v>#N/A</v>
      </c>
    </row>
    <row r="567" spans="1:24" x14ac:dyDescent="0.3">
      <c r="A567">
        <v>12.7</v>
      </c>
      <c r="B567">
        <v>0.6</v>
      </c>
      <c r="C567">
        <v>0.49</v>
      </c>
      <c r="D567">
        <v>2.8</v>
      </c>
      <c r="E567">
        <v>7.4999999999999997E-2</v>
      </c>
      <c r="F567">
        <v>5</v>
      </c>
      <c r="G567">
        <v>19</v>
      </c>
      <c r="H567">
        <v>0.99939999999999996</v>
      </c>
      <c r="I567">
        <v>3.14</v>
      </c>
      <c r="J567">
        <v>0.56999999999999995</v>
      </c>
      <c r="K567">
        <v>11.4</v>
      </c>
      <c r="L567">
        <v>5</v>
      </c>
      <c r="M567" t="str">
        <f t="shared" si="64"/>
        <v>Medium</v>
      </c>
      <c r="N567">
        <f>(winequality_red[[#This Row],[Updated Quality &amp; Alcohol Analysis]]+winequality_red[[#This Row],[volatile acidity]]+winequality_red[[#This Row],[citric acid]])</f>
        <v>13.79</v>
      </c>
      <c r="O567">
        <f t="shared" si="65"/>
        <v>2.9999999999999995E-2</v>
      </c>
      <c r="S567" t="e">
        <f t="shared" si="66"/>
        <v>#N/A</v>
      </c>
      <c r="T567" t="e">
        <f t="shared" si="67"/>
        <v>#N/A</v>
      </c>
      <c r="U567">
        <f t="shared" si="68"/>
        <v>11.4</v>
      </c>
      <c r="V567">
        <f t="shared" si="69"/>
        <v>5</v>
      </c>
      <c r="W567" t="e">
        <f t="shared" si="70"/>
        <v>#N/A</v>
      </c>
      <c r="X567" t="e">
        <f t="shared" si="71"/>
        <v>#N/A</v>
      </c>
    </row>
    <row r="568" spans="1:24" x14ac:dyDescent="0.3">
      <c r="A568">
        <v>8.6999999999999993</v>
      </c>
      <c r="B568">
        <v>0.7</v>
      </c>
      <c r="C568">
        <v>0.24</v>
      </c>
      <c r="D568">
        <v>2.5</v>
      </c>
      <c r="E568">
        <v>0.22600000000000001</v>
      </c>
      <c r="F568">
        <v>5</v>
      </c>
      <c r="G568">
        <v>15</v>
      </c>
      <c r="H568">
        <v>0.99909999999999999</v>
      </c>
      <c r="I568">
        <v>3.32</v>
      </c>
      <c r="J568">
        <v>0.6</v>
      </c>
      <c r="K568">
        <v>9</v>
      </c>
      <c r="L568">
        <v>6</v>
      </c>
      <c r="M568" t="str">
        <f t="shared" si="64"/>
        <v>Medium</v>
      </c>
      <c r="N568">
        <f>(winequality_red[[#This Row],[Updated Quality &amp; Alcohol Analysis]]+winequality_red[[#This Row],[volatile acidity]]+winequality_red[[#This Row],[citric acid]])</f>
        <v>9.6399999999999988</v>
      </c>
      <c r="O568">
        <f t="shared" si="65"/>
        <v>4.6666666666666662E-2</v>
      </c>
      <c r="S568" t="e">
        <f t="shared" si="66"/>
        <v>#N/A</v>
      </c>
      <c r="T568" t="e">
        <f t="shared" si="67"/>
        <v>#N/A</v>
      </c>
      <c r="U568">
        <f t="shared" si="68"/>
        <v>9</v>
      </c>
      <c r="V568">
        <f t="shared" si="69"/>
        <v>6</v>
      </c>
      <c r="W568" t="e">
        <f t="shared" si="70"/>
        <v>#N/A</v>
      </c>
      <c r="X568" t="e">
        <f t="shared" si="71"/>
        <v>#N/A</v>
      </c>
    </row>
    <row r="569" spans="1:24" x14ac:dyDescent="0.3">
      <c r="A569">
        <v>8.6999999999999993</v>
      </c>
      <c r="B569">
        <v>0.7</v>
      </c>
      <c r="C569">
        <v>0.24</v>
      </c>
      <c r="D569">
        <v>2.5</v>
      </c>
      <c r="E569">
        <v>0.22600000000000001</v>
      </c>
      <c r="F569">
        <v>5</v>
      </c>
      <c r="G569">
        <v>15</v>
      </c>
      <c r="H569">
        <v>0.99909999999999999</v>
      </c>
      <c r="I569">
        <v>3.32</v>
      </c>
      <c r="J569">
        <v>0.6</v>
      </c>
      <c r="K569">
        <v>9</v>
      </c>
      <c r="L569">
        <v>6</v>
      </c>
      <c r="M569" t="str">
        <f t="shared" si="64"/>
        <v>Medium</v>
      </c>
      <c r="N569">
        <f>(winequality_red[[#This Row],[Updated Quality &amp; Alcohol Analysis]]+winequality_red[[#This Row],[volatile acidity]]+winequality_red[[#This Row],[citric acid]])</f>
        <v>9.6399999999999988</v>
      </c>
      <c r="O569">
        <f t="shared" si="65"/>
        <v>4.6666666666666662E-2</v>
      </c>
      <c r="S569" t="e">
        <f t="shared" si="66"/>
        <v>#N/A</v>
      </c>
      <c r="T569" t="e">
        <f t="shared" si="67"/>
        <v>#N/A</v>
      </c>
      <c r="U569">
        <f t="shared" si="68"/>
        <v>9</v>
      </c>
      <c r="V569">
        <f t="shared" si="69"/>
        <v>6</v>
      </c>
      <c r="W569" t="e">
        <f t="shared" si="70"/>
        <v>#N/A</v>
      </c>
      <c r="X569" t="e">
        <f t="shared" si="71"/>
        <v>#N/A</v>
      </c>
    </row>
    <row r="570" spans="1:24" x14ac:dyDescent="0.3">
      <c r="A570">
        <v>9.8000000000000007</v>
      </c>
      <c r="B570">
        <v>0.5</v>
      </c>
      <c r="C570">
        <v>0.49</v>
      </c>
      <c r="D570">
        <v>2.6</v>
      </c>
      <c r="E570">
        <v>0.25</v>
      </c>
      <c r="F570">
        <v>5</v>
      </c>
      <c r="G570">
        <v>20</v>
      </c>
      <c r="H570">
        <v>0.99900000000000011</v>
      </c>
      <c r="I570">
        <v>3.31</v>
      </c>
      <c r="J570">
        <v>0.79</v>
      </c>
      <c r="K570">
        <v>10.7</v>
      </c>
      <c r="L570">
        <v>6</v>
      </c>
      <c r="M570" t="str">
        <f t="shared" si="64"/>
        <v>Medium</v>
      </c>
      <c r="N570">
        <f>(winequality_red[[#This Row],[Updated Quality &amp; Alcohol Analysis]]+winequality_red[[#This Row],[volatile acidity]]+winequality_red[[#This Row],[citric acid]])</f>
        <v>10.790000000000001</v>
      </c>
      <c r="O570">
        <f t="shared" si="65"/>
        <v>3.6915887850467295E-2</v>
      </c>
      <c r="S570" t="e">
        <f t="shared" si="66"/>
        <v>#N/A</v>
      </c>
      <c r="T570" t="e">
        <f t="shared" si="67"/>
        <v>#N/A</v>
      </c>
      <c r="U570">
        <f t="shared" si="68"/>
        <v>10.7</v>
      </c>
      <c r="V570">
        <f t="shared" si="69"/>
        <v>6</v>
      </c>
      <c r="W570" t="e">
        <f t="shared" si="70"/>
        <v>#N/A</v>
      </c>
      <c r="X570" t="e">
        <f t="shared" si="71"/>
        <v>#N/A</v>
      </c>
    </row>
    <row r="571" spans="1:24" x14ac:dyDescent="0.3">
      <c r="A571">
        <v>6.2</v>
      </c>
      <c r="B571">
        <v>0.36</v>
      </c>
      <c r="C571">
        <v>0.24</v>
      </c>
      <c r="D571">
        <v>2.2000000000000002</v>
      </c>
      <c r="E571">
        <v>9.5000000000000001E-2</v>
      </c>
      <c r="F571">
        <v>19</v>
      </c>
      <c r="G571">
        <v>42</v>
      </c>
      <c r="H571">
        <v>0.99460000000000004</v>
      </c>
      <c r="I571">
        <v>3.57</v>
      </c>
      <c r="J571">
        <v>0.56999999999999995</v>
      </c>
      <c r="K571">
        <v>11.7</v>
      </c>
      <c r="L571">
        <v>6</v>
      </c>
      <c r="M571" t="str">
        <f t="shared" si="64"/>
        <v>Medium</v>
      </c>
      <c r="N571">
        <f>(winequality_red[[#This Row],[Updated Quality &amp; Alcohol Analysis]]+winequality_red[[#This Row],[volatile acidity]]+winequality_red[[#This Row],[citric acid]])</f>
        <v>6.8000000000000007</v>
      </c>
      <c r="O571">
        <f t="shared" si="65"/>
        <v>1.7538461538461537E-2</v>
      </c>
      <c r="S571" t="e">
        <f t="shared" si="66"/>
        <v>#N/A</v>
      </c>
      <c r="T571" t="e">
        <f t="shared" si="67"/>
        <v>#N/A</v>
      </c>
      <c r="U571">
        <f t="shared" si="68"/>
        <v>11.7</v>
      </c>
      <c r="V571">
        <f t="shared" si="69"/>
        <v>6</v>
      </c>
      <c r="W571" t="e">
        <f t="shared" si="70"/>
        <v>#N/A</v>
      </c>
      <c r="X571" t="e">
        <f t="shared" si="71"/>
        <v>#N/A</v>
      </c>
    </row>
    <row r="572" spans="1:24" x14ac:dyDescent="0.3">
      <c r="A572">
        <v>11.5</v>
      </c>
      <c r="B572">
        <v>0.35</v>
      </c>
      <c r="C572">
        <v>0.49</v>
      </c>
      <c r="D572">
        <v>3.3</v>
      </c>
      <c r="E572">
        <v>7.0000000000000007E-2</v>
      </c>
      <c r="F572">
        <v>10</v>
      </c>
      <c r="G572">
        <v>37</v>
      </c>
      <c r="H572">
        <v>1.0003</v>
      </c>
      <c r="I572">
        <v>3.32</v>
      </c>
      <c r="J572">
        <v>0.91</v>
      </c>
      <c r="K572">
        <v>11</v>
      </c>
      <c r="L572">
        <v>6</v>
      </c>
      <c r="M572" t="str">
        <f t="shared" si="64"/>
        <v>Medium</v>
      </c>
      <c r="N572">
        <f>(winequality_red[[#This Row],[Updated Quality &amp; Alcohol Analysis]]+winequality_red[[#This Row],[volatile acidity]]+winequality_red[[#This Row],[citric acid]])</f>
        <v>12.34</v>
      </c>
      <c r="O572">
        <f t="shared" si="65"/>
        <v>2.8954545454545455E-2</v>
      </c>
      <c r="S572" t="e">
        <f t="shared" si="66"/>
        <v>#N/A</v>
      </c>
      <c r="T572" t="e">
        <f t="shared" si="67"/>
        <v>#N/A</v>
      </c>
      <c r="U572">
        <f t="shared" si="68"/>
        <v>11</v>
      </c>
      <c r="V572">
        <f t="shared" si="69"/>
        <v>6</v>
      </c>
      <c r="W572" t="e">
        <f t="shared" si="70"/>
        <v>#N/A</v>
      </c>
      <c r="X572" t="e">
        <f t="shared" si="71"/>
        <v>#N/A</v>
      </c>
    </row>
    <row r="573" spans="1:24" x14ac:dyDescent="0.3">
      <c r="A573">
        <v>6.2</v>
      </c>
      <c r="B573">
        <v>0.36</v>
      </c>
      <c r="C573">
        <v>0.24</v>
      </c>
      <c r="D573">
        <v>2.2000000000000002</v>
      </c>
      <c r="E573">
        <v>9.5000000000000001E-2</v>
      </c>
      <c r="F573">
        <v>19</v>
      </c>
      <c r="G573">
        <v>42</v>
      </c>
      <c r="H573">
        <v>0.99460000000000004</v>
      </c>
      <c r="I573">
        <v>3.57</v>
      </c>
      <c r="J573">
        <v>0.56999999999999995</v>
      </c>
      <c r="K573">
        <v>11.7</v>
      </c>
      <c r="L573">
        <v>6</v>
      </c>
      <c r="M573" t="str">
        <f t="shared" si="64"/>
        <v>Medium</v>
      </c>
      <c r="N573">
        <f>(winequality_red[[#This Row],[Updated Quality &amp; Alcohol Analysis]]+winequality_red[[#This Row],[volatile acidity]]+winequality_red[[#This Row],[citric acid]])</f>
        <v>6.8000000000000007</v>
      </c>
      <c r="O573">
        <f t="shared" si="65"/>
        <v>1.7538461538461537E-2</v>
      </c>
      <c r="S573" t="e">
        <f t="shared" si="66"/>
        <v>#N/A</v>
      </c>
      <c r="T573" t="e">
        <f t="shared" si="67"/>
        <v>#N/A</v>
      </c>
      <c r="U573">
        <f t="shared" si="68"/>
        <v>11.7</v>
      </c>
      <c r="V573">
        <f t="shared" si="69"/>
        <v>6</v>
      </c>
      <c r="W573" t="e">
        <f t="shared" si="70"/>
        <v>#N/A</v>
      </c>
      <c r="X573" t="e">
        <f t="shared" si="71"/>
        <v>#N/A</v>
      </c>
    </row>
    <row r="574" spans="1:24" x14ac:dyDescent="0.3">
      <c r="A574">
        <v>10.199999999999999</v>
      </c>
      <c r="B574">
        <v>0.24</v>
      </c>
      <c r="C574">
        <v>0.49</v>
      </c>
      <c r="D574">
        <v>2.4</v>
      </c>
      <c r="E574">
        <v>7.4999999999999997E-2</v>
      </c>
      <c r="F574">
        <v>10</v>
      </c>
      <c r="G574">
        <v>28</v>
      </c>
      <c r="H574">
        <v>0.99780000000000002</v>
      </c>
      <c r="I574">
        <v>3.14</v>
      </c>
      <c r="J574">
        <v>0.61</v>
      </c>
      <c r="K574">
        <v>10.4</v>
      </c>
      <c r="L574">
        <v>5</v>
      </c>
      <c r="M574" t="str">
        <f t="shared" si="64"/>
        <v>Medium</v>
      </c>
      <c r="N574">
        <f>(winequality_red[[#This Row],[Updated Quality &amp; Alcohol Analysis]]+winequality_red[[#This Row],[volatile acidity]]+winequality_red[[#This Row],[citric acid]])</f>
        <v>10.93</v>
      </c>
      <c r="O574">
        <f t="shared" si="65"/>
        <v>1.4076923076923077E-2</v>
      </c>
      <c r="S574" t="e">
        <f t="shared" si="66"/>
        <v>#N/A</v>
      </c>
      <c r="T574" t="e">
        <f t="shared" si="67"/>
        <v>#N/A</v>
      </c>
      <c r="U574">
        <f t="shared" si="68"/>
        <v>10.4</v>
      </c>
      <c r="V574">
        <f t="shared" si="69"/>
        <v>5</v>
      </c>
      <c r="W574" t="e">
        <f t="shared" si="70"/>
        <v>#N/A</v>
      </c>
      <c r="X574" t="e">
        <f t="shared" si="71"/>
        <v>#N/A</v>
      </c>
    </row>
    <row r="575" spans="1:24" x14ac:dyDescent="0.3">
      <c r="A575">
        <v>10.5</v>
      </c>
      <c r="B575">
        <v>0.59</v>
      </c>
      <c r="C575">
        <v>0.49</v>
      </c>
      <c r="D575">
        <v>2.1</v>
      </c>
      <c r="E575">
        <v>7.0000000000000007E-2</v>
      </c>
      <c r="F575">
        <v>14</v>
      </c>
      <c r="G575">
        <v>47</v>
      </c>
      <c r="H575">
        <v>0.99909999999999999</v>
      </c>
      <c r="I575">
        <v>3.3</v>
      </c>
      <c r="J575">
        <v>0.56000000000000005</v>
      </c>
      <c r="K575">
        <v>9.6</v>
      </c>
      <c r="L575">
        <v>4</v>
      </c>
      <c r="M575" t="str">
        <f t="shared" si="64"/>
        <v>Low</v>
      </c>
      <c r="N575">
        <f>(winequality_red[[#This Row],[Updated Quality &amp; Alcohol Analysis]]+winequality_red[[#This Row],[volatile acidity]]+winequality_red[[#This Row],[citric acid]])</f>
        <v>11.58</v>
      </c>
      <c r="O575">
        <f t="shared" si="65"/>
        <v>3.4416666666666672E-2</v>
      </c>
      <c r="S575">
        <f t="shared" si="66"/>
        <v>9.6</v>
      </c>
      <c r="T575">
        <f t="shared" si="67"/>
        <v>4</v>
      </c>
      <c r="U575" t="e">
        <f t="shared" si="68"/>
        <v>#N/A</v>
      </c>
      <c r="V575" t="e">
        <f t="shared" si="69"/>
        <v>#N/A</v>
      </c>
      <c r="W575" t="e">
        <f t="shared" si="70"/>
        <v>#N/A</v>
      </c>
      <c r="X575" t="e">
        <f t="shared" si="71"/>
        <v>#N/A</v>
      </c>
    </row>
    <row r="576" spans="1:24" x14ac:dyDescent="0.3">
      <c r="A576">
        <v>10.6</v>
      </c>
      <c r="B576">
        <v>0.34</v>
      </c>
      <c r="C576">
        <v>0.49</v>
      </c>
      <c r="D576">
        <v>3.2</v>
      </c>
      <c r="E576">
        <v>7.8E-2</v>
      </c>
      <c r="F576">
        <v>20</v>
      </c>
      <c r="G576">
        <v>78</v>
      </c>
      <c r="H576">
        <v>0.99919999999999998</v>
      </c>
      <c r="I576">
        <v>3.19</v>
      </c>
      <c r="J576">
        <v>0.7</v>
      </c>
      <c r="K576">
        <v>10</v>
      </c>
      <c r="L576">
        <v>6</v>
      </c>
      <c r="M576" t="str">
        <f t="shared" si="64"/>
        <v>Medium</v>
      </c>
      <c r="N576">
        <f>(winequality_red[[#This Row],[Updated Quality &amp; Alcohol Analysis]]+winequality_red[[#This Row],[volatile acidity]]+winequality_red[[#This Row],[citric acid]])</f>
        <v>11.43</v>
      </c>
      <c r="O576">
        <f t="shared" si="65"/>
        <v>2.3799999999999998E-2</v>
      </c>
      <c r="S576" t="e">
        <f t="shared" si="66"/>
        <v>#N/A</v>
      </c>
      <c r="T576" t="e">
        <f t="shared" si="67"/>
        <v>#N/A</v>
      </c>
      <c r="U576">
        <f t="shared" si="68"/>
        <v>10</v>
      </c>
      <c r="V576">
        <f t="shared" si="69"/>
        <v>6</v>
      </c>
      <c r="W576" t="e">
        <f t="shared" si="70"/>
        <v>#N/A</v>
      </c>
      <c r="X576" t="e">
        <f t="shared" si="71"/>
        <v>#N/A</v>
      </c>
    </row>
    <row r="577" spans="1:24" x14ac:dyDescent="0.3">
      <c r="A577">
        <v>12.3</v>
      </c>
      <c r="B577">
        <v>0.27</v>
      </c>
      <c r="C577">
        <v>0.49</v>
      </c>
      <c r="D577">
        <v>3.1</v>
      </c>
      <c r="E577">
        <v>7.9000000000000001E-2</v>
      </c>
      <c r="F577">
        <v>28</v>
      </c>
      <c r="G577">
        <v>46</v>
      </c>
      <c r="H577">
        <v>0.99929999999999997</v>
      </c>
      <c r="I577">
        <v>3.2</v>
      </c>
      <c r="J577">
        <v>0.8</v>
      </c>
      <c r="K577">
        <v>10.199999999999999</v>
      </c>
      <c r="L577">
        <v>6</v>
      </c>
      <c r="M577" t="str">
        <f t="shared" si="64"/>
        <v>Medium</v>
      </c>
      <c r="N577">
        <f>(winequality_red[[#This Row],[Updated Quality &amp; Alcohol Analysis]]+winequality_red[[#This Row],[volatile acidity]]+winequality_red[[#This Row],[citric acid]])</f>
        <v>13.06</v>
      </c>
      <c r="O577">
        <f t="shared" si="65"/>
        <v>2.1176470588235297E-2</v>
      </c>
      <c r="S577" t="e">
        <f t="shared" si="66"/>
        <v>#N/A</v>
      </c>
      <c r="T577" t="e">
        <f t="shared" si="67"/>
        <v>#N/A</v>
      </c>
      <c r="U577">
        <f t="shared" si="68"/>
        <v>10.199999999999999</v>
      </c>
      <c r="V577">
        <f t="shared" si="69"/>
        <v>6</v>
      </c>
      <c r="W577" t="e">
        <f t="shared" si="70"/>
        <v>#N/A</v>
      </c>
      <c r="X577" t="e">
        <f t="shared" si="71"/>
        <v>#N/A</v>
      </c>
    </row>
    <row r="578" spans="1:24" x14ac:dyDescent="0.3">
      <c r="A578">
        <v>9.9</v>
      </c>
      <c r="B578">
        <v>0.5</v>
      </c>
      <c r="C578">
        <v>0.24</v>
      </c>
      <c r="D578">
        <v>2.2999999999999998</v>
      </c>
      <c r="E578">
        <v>0.10300000000000001</v>
      </c>
      <c r="F578">
        <v>6</v>
      </c>
      <c r="G578">
        <v>14</v>
      </c>
      <c r="H578">
        <v>0.99780000000000002</v>
      </c>
      <c r="I578">
        <v>3.34</v>
      </c>
      <c r="J578">
        <v>0.52</v>
      </c>
      <c r="K578">
        <v>10</v>
      </c>
      <c r="L578">
        <v>4</v>
      </c>
      <c r="M578" t="str">
        <f t="shared" ref="M578:M641" si="72">IF($L578&gt;=7,"High",IF($L578&gt;=5,"Medium","Low"))</f>
        <v>Low</v>
      </c>
      <c r="N578">
        <f>(winequality_red[[#This Row],[Updated Quality &amp; Alcohol Analysis]]+winequality_red[[#This Row],[volatile acidity]]+winequality_red[[#This Row],[citric acid]])</f>
        <v>10.64</v>
      </c>
      <c r="O578">
        <f t="shared" ref="O578:O641" si="73">($B578*$J578)/$K578</f>
        <v>2.6000000000000002E-2</v>
      </c>
      <c r="S578">
        <f t="shared" si="66"/>
        <v>10</v>
      </c>
      <c r="T578">
        <f t="shared" si="67"/>
        <v>4</v>
      </c>
      <c r="U578" t="e">
        <f t="shared" si="68"/>
        <v>#N/A</v>
      </c>
      <c r="V578" t="e">
        <f t="shared" si="69"/>
        <v>#N/A</v>
      </c>
      <c r="W578" t="e">
        <f t="shared" si="70"/>
        <v>#N/A</v>
      </c>
      <c r="X578" t="e">
        <f t="shared" si="71"/>
        <v>#N/A</v>
      </c>
    </row>
    <row r="579" spans="1:24" x14ac:dyDescent="0.3">
      <c r="A579">
        <v>8.8000000000000007</v>
      </c>
      <c r="B579">
        <v>0.44</v>
      </c>
      <c r="C579">
        <v>0.49</v>
      </c>
      <c r="D579">
        <v>2.8</v>
      </c>
      <c r="E579">
        <v>8.3000000000000004E-2</v>
      </c>
      <c r="F579">
        <v>18</v>
      </c>
      <c r="G579">
        <v>111</v>
      </c>
      <c r="H579">
        <v>0.99819999999999998</v>
      </c>
      <c r="I579">
        <v>3.3</v>
      </c>
      <c r="J579">
        <v>0.6</v>
      </c>
      <c r="K579">
        <v>9.5</v>
      </c>
      <c r="L579">
        <v>5</v>
      </c>
      <c r="M579" t="str">
        <f t="shared" si="72"/>
        <v>Medium</v>
      </c>
      <c r="N579">
        <f>(winequality_red[[#This Row],[Updated Quality &amp; Alcohol Analysis]]+winequality_red[[#This Row],[volatile acidity]]+winequality_red[[#This Row],[citric acid]])</f>
        <v>9.73</v>
      </c>
      <c r="O579">
        <f t="shared" si="73"/>
        <v>2.7789473684210527E-2</v>
      </c>
      <c r="S579" t="e">
        <f t="shared" ref="S579:S642" si="74">IF($M579="Low",$K579,NA())</f>
        <v>#N/A</v>
      </c>
      <c r="T579" t="e">
        <f t="shared" ref="T579:T642" si="75">IF($M579="Low",$L579,NA())</f>
        <v>#N/A</v>
      </c>
      <c r="U579">
        <f t="shared" ref="U579:U642" si="76">IF($M579="Medium",$K579,NA())</f>
        <v>9.5</v>
      </c>
      <c r="V579">
        <f t="shared" ref="V579:V642" si="77">IF($M579="Medium",$L579,NA())</f>
        <v>5</v>
      </c>
      <c r="W579" t="e">
        <f t="shared" ref="W579:W642" si="78">IF($M579="High",$K579,NA())</f>
        <v>#N/A</v>
      </c>
      <c r="X579" t="e">
        <f t="shared" ref="X579:X642" si="79">IF($M579="High",$L579,NA())</f>
        <v>#N/A</v>
      </c>
    </row>
    <row r="580" spans="1:24" x14ac:dyDescent="0.3">
      <c r="A580">
        <v>8.8000000000000007</v>
      </c>
      <c r="B580">
        <v>0.47</v>
      </c>
      <c r="C580">
        <v>0.49</v>
      </c>
      <c r="D580">
        <v>2.9</v>
      </c>
      <c r="E580">
        <v>8.5000000000000006E-2</v>
      </c>
      <c r="F580">
        <v>17</v>
      </c>
      <c r="G580">
        <v>110</v>
      </c>
      <c r="H580">
        <v>0.99819999999999998</v>
      </c>
      <c r="I580">
        <v>3.29</v>
      </c>
      <c r="J580">
        <v>0.6</v>
      </c>
      <c r="K580">
        <v>9.8000000000000007</v>
      </c>
      <c r="L580">
        <v>5</v>
      </c>
      <c r="M580" t="str">
        <f t="shared" si="72"/>
        <v>Medium</v>
      </c>
      <c r="N580">
        <f>(winequality_red[[#This Row],[Updated Quality &amp; Alcohol Analysis]]+winequality_red[[#This Row],[volatile acidity]]+winequality_red[[#This Row],[citric acid]])</f>
        <v>9.7600000000000016</v>
      </c>
      <c r="O580">
        <f t="shared" si="73"/>
        <v>2.8775510204081627E-2</v>
      </c>
      <c r="S580" t="e">
        <f t="shared" si="74"/>
        <v>#N/A</v>
      </c>
      <c r="T580" t="e">
        <f t="shared" si="75"/>
        <v>#N/A</v>
      </c>
      <c r="U580">
        <f t="shared" si="76"/>
        <v>9.8000000000000007</v>
      </c>
      <c r="V580">
        <f t="shared" si="77"/>
        <v>5</v>
      </c>
      <c r="W580" t="e">
        <f t="shared" si="78"/>
        <v>#N/A</v>
      </c>
      <c r="X580" t="e">
        <f t="shared" si="79"/>
        <v>#N/A</v>
      </c>
    </row>
    <row r="581" spans="1:24" x14ac:dyDescent="0.3">
      <c r="A581">
        <v>10.6</v>
      </c>
      <c r="B581">
        <v>0.31</v>
      </c>
      <c r="C581">
        <v>0.49</v>
      </c>
      <c r="D581">
        <v>2.2000000000000002</v>
      </c>
      <c r="E581">
        <v>6.3E-2</v>
      </c>
      <c r="F581">
        <v>18</v>
      </c>
      <c r="G581">
        <v>40</v>
      </c>
      <c r="H581">
        <v>0.99760000000000004</v>
      </c>
      <c r="I581">
        <v>3.14</v>
      </c>
      <c r="J581">
        <v>0.51</v>
      </c>
      <c r="K581">
        <v>9.8000000000000007</v>
      </c>
      <c r="L581">
        <v>6</v>
      </c>
      <c r="M581" t="str">
        <f t="shared" si="72"/>
        <v>Medium</v>
      </c>
      <c r="N581">
        <f>(winequality_red[[#This Row],[Updated Quality &amp; Alcohol Analysis]]+winequality_red[[#This Row],[volatile acidity]]+winequality_red[[#This Row],[citric acid]])</f>
        <v>11.4</v>
      </c>
      <c r="O581">
        <f t="shared" si="73"/>
        <v>1.6132653061224488E-2</v>
      </c>
      <c r="S581" t="e">
        <f t="shared" si="74"/>
        <v>#N/A</v>
      </c>
      <c r="T581" t="e">
        <f t="shared" si="75"/>
        <v>#N/A</v>
      </c>
      <c r="U581">
        <f t="shared" si="76"/>
        <v>9.8000000000000007</v>
      </c>
      <c r="V581">
        <f t="shared" si="77"/>
        <v>6</v>
      </c>
      <c r="W581" t="e">
        <f t="shared" si="78"/>
        <v>#N/A</v>
      </c>
      <c r="X581" t="e">
        <f t="shared" si="79"/>
        <v>#N/A</v>
      </c>
    </row>
    <row r="582" spans="1:24" x14ac:dyDescent="0.3">
      <c r="A582">
        <v>12.3</v>
      </c>
      <c r="B582">
        <v>0.5</v>
      </c>
      <c r="C582">
        <v>0.49</v>
      </c>
      <c r="D582">
        <v>2.2000000000000002</v>
      </c>
      <c r="E582">
        <v>8.900000000000001E-2</v>
      </c>
      <c r="F582">
        <v>5</v>
      </c>
      <c r="G582">
        <v>14</v>
      </c>
      <c r="H582">
        <v>1.0002</v>
      </c>
      <c r="I582">
        <v>3.19</v>
      </c>
      <c r="J582">
        <v>0.44</v>
      </c>
      <c r="K582">
        <v>9.6</v>
      </c>
      <c r="L582">
        <v>5</v>
      </c>
      <c r="M582" t="str">
        <f t="shared" si="72"/>
        <v>Medium</v>
      </c>
      <c r="N582">
        <f>(winequality_red[[#This Row],[Updated Quality &amp; Alcohol Analysis]]+winequality_red[[#This Row],[volatile acidity]]+winequality_red[[#This Row],[citric acid]])</f>
        <v>13.290000000000001</v>
      </c>
      <c r="O582">
        <f t="shared" si="73"/>
        <v>2.2916666666666669E-2</v>
      </c>
      <c r="S582" t="e">
        <f t="shared" si="74"/>
        <v>#N/A</v>
      </c>
      <c r="T582" t="e">
        <f t="shared" si="75"/>
        <v>#N/A</v>
      </c>
      <c r="U582">
        <f t="shared" si="76"/>
        <v>9.6</v>
      </c>
      <c r="V582">
        <f t="shared" si="77"/>
        <v>5</v>
      </c>
      <c r="W582" t="e">
        <f t="shared" si="78"/>
        <v>#N/A</v>
      </c>
      <c r="X582" t="e">
        <f t="shared" si="79"/>
        <v>#N/A</v>
      </c>
    </row>
    <row r="583" spans="1:24" x14ac:dyDescent="0.3">
      <c r="A583">
        <v>12.3</v>
      </c>
      <c r="B583">
        <v>0.5</v>
      </c>
      <c r="C583">
        <v>0.49</v>
      </c>
      <c r="D583">
        <v>2.2000000000000002</v>
      </c>
      <c r="E583">
        <v>8.900000000000001E-2</v>
      </c>
      <c r="F583">
        <v>5</v>
      </c>
      <c r="G583">
        <v>14</v>
      </c>
      <c r="H583">
        <v>1.0002</v>
      </c>
      <c r="I583">
        <v>3.19</v>
      </c>
      <c r="J583">
        <v>0.44</v>
      </c>
      <c r="K583">
        <v>9.6</v>
      </c>
      <c r="L583">
        <v>5</v>
      </c>
      <c r="M583" t="str">
        <f t="shared" si="72"/>
        <v>Medium</v>
      </c>
      <c r="N583">
        <f>(winequality_red[[#This Row],[Updated Quality &amp; Alcohol Analysis]]+winequality_red[[#This Row],[volatile acidity]]+winequality_red[[#This Row],[citric acid]])</f>
        <v>13.290000000000001</v>
      </c>
      <c r="O583">
        <f t="shared" si="73"/>
        <v>2.2916666666666669E-2</v>
      </c>
      <c r="S583" t="e">
        <f t="shared" si="74"/>
        <v>#N/A</v>
      </c>
      <c r="T583" t="e">
        <f t="shared" si="75"/>
        <v>#N/A</v>
      </c>
      <c r="U583">
        <f t="shared" si="76"/>
        <v>9.6</v>
      </c>
      <c r="V583">
        <f t="shared" si="77"/>
        <v>5</v>
      </c>
      <c r="W583" t="e">
        <f t="shared" si="78"/>
        <v>#N/A</v>
      </c>
      <c r="X583" t="e">
        <f t="shared" si="79"/>
        <v>#N/A</v>
      </c>
    </row>
    <row r="584" spans="1:24" x14ac:dyDescent="0.3">
      <c r="A584">
        <v>11.7</v>
      </c>
      <c r="B584">
        <v>0.49</v>
      </c>
      <c r="C584">
        <v>0.49</v>
      </c>
      <c r="D584">
        <v>2.2000000000000002</v>
      </c>
      <c r="E584">
        <v>8.3000000000000004E-2</v>
      </c>
      <c r="F584">
        <v>5</v>
      </c>
      <c r="G584">
        <v>15</v>
      </c>
      <c r="H584">
        <v>1</v>
      </c>
      <c r="I584">
        <v>3.19</v>
      </c>
      <c r="J584">
        <v>0.43</v>
      </c>
      <c r="K584">
        <v>9.1999999999999993</v>
      </c>
      <c r="L584">
        <v>5</v>
      </c>
      <c r="M584" t="str">
        <f t="shared" si="72"/>
        <v>Medium</v>
      </c>
      <c r="N584">
        <f>(winequality_red[[#This Row],[Updated Quality &amp; Alcohol Analysis]]+winequality_red[[#This Row],[volatile acidity]]+winequality_red[[#This Row],[citric acid]])</f>
        <v>12.68</v>
      </c>
      <c r="O584">
        <f t="shared" si="73"/>
        <v>2.2902173913043479E-2</v>
      </c>
      <c r="S584" t="e">
        <f t="shared" si="74"/>
        <v>#N/A</v>
      </c>
      <c r="T584" t="e">
        <f t="shared" si="75"/>
        <v>#N/A</v>
      </c>
      <c r="U584">
        <f t="shared" si="76"/>
        <v>9.1999999999999993</v>
      </c>
      <c r="V584">
        <f t="shared" si="77"/>
        <v>5</v>
      </c>
      <c r="W584" t="e">
        <f t="shared" si="78"/>
        <v>#N/A</v>
      </c>
      <c r="X584" t="e">
        <f t="shared" si="79"/>
        <v>#N/A</v>
      </c>
    </row>
    <row r="585" spans="1:24" x14ac:dyDescent="0.3">
      <c r="A585">
        <v>12</v>
      </c>
      <c r="B585">
        <v>0.28000000000000003</v>
      </c>
      <c r="C585">
        <v>0.49</v>
      </c>
      <c r="D585">
        <v>1.9</v>
      </c>
      <c r="E585">
        <v>7.400000000000001E-2</v>
      </c>
      <c r="F585">
        <v>10</v>
      </c>
      <c r="G585">
        <v>21</v>
      </c>
      <c r="H585">
        <v>0.99760000000000004</v>
      </c>
      <c r="I585">
        <v>2.98</v>
      </c>
      <c r="J585">
        <v>0.66</v>
      </c>
      <c r="K585">
        <v>9.9</v>
      </c>
      <c r="L585">
        <v>7</v>
      </c>
      <c r="M585" t="str">
        <f t="shared" si="72"/>
        <v>High</v>
      </c>
      <c r="N585">
        <f>(winequality_red[[#This Row],[Updated Quality &amp; Alcohol Analysis]]+winequality_red[[#This Row],[volatile acidity]]+winequality_red[[#This Row],[citric acid]])</f>
        <v>12.77</v>
      </c>
      <c r="O585">
        <f t="shared" si="73"/>
        <v>1.8666666666666668E-2</v>
      </c>
      <c r="S585" t="e">
        <f t="shared" si="74"/>
        <v>#N/A</v>
      </c>
      <c r="T585" t="e">
        <f t="shared" si="75"/>
        <v>#N/A</v>
      </c>
      <c r="U585" t="e">
        <f t="shared" si="76"/>
        <v>#N/A</v>
      </c>
      <c r="V585" t="e">
        <f t="shared" si="77"/>
        <v>#N/A</v>
      </c>
      <c r="W585">
        <f t="shared" si="78"/>
        <v>9.9</v>
      </c>
      <c r="X585">
        <f t="shared" si="79"/>
        <v>7</v>
      </c>
    </row>
    <row r="586" spans="1:24" x14ac:dyDescent="0.3">
      <c r="A586">
        <v>11.8</v>
      </c>
      <c r="B586">
        <v>0.33</v>
      </c>
      <c r="C586">
        <v>0.49</v>
      </c>
      <c r="D586">
        <v>3.4</v>
      </c>
      <c r="E586">
        <v>9.3000000000000013E-2</v>
      </c>
      <c r="F586">
        <v>54</v>
      </c>
      <c r="G586">
        <v>80</v>
      </c>
      <c r="H586">
        <v>1.0002</v>
      </c>
      <c r="I586">
        <v>3.3</v>
      </c>
      <c r="J586">
        <v>0.76</v>
      </c>
      <c r="K586">
        <v>10.7</v>
      </c>
      <c r="L586">
        <v>7</v>
      </c>
      <c r="M586" t="str">
        <f t="shared" si="72"/>
        <v>High</v>
      </c>
      <c r="N586">
        <f>(winequality_red[[#This Row],[Updated Quality &amp; Alcohol Analysis]]+winequality_red[[#This Row],[volatile acidity]]+winequality_red[[#This Row],[citric acid]])</f>
        <v>12.620000000000001</v>
      </c>
      <c r="O586">
        <f t="shared" si="73"/>
        <v>2.3439252336448602E-2</v>
      </c>
      <c r="S586" t="e">
        <f t="shared" si="74"/>
        <v>#N/A</v>
      </c>
      <c r="T586" t="e">
        <f t="shared" si="75"/>
        <v>#N/A</v>
      </c>
      <c r="U586" t="e">
        <f t="shared" si="76"/>
        <v>#N/A</v>
      </c>
      <c r="V586" t="e">
        <f t="shared" si="77"/>
        <v>#N/A</v>
      </c>
      <c r="W586">
        <f t="shared" si="78"/>
        <v>10.7</v>
      </c>
      <c r="X586">
        <f t="shared" si="79"/>
        <v>7</v>
      </c>
    </row>
    <row r="587" spans="1:24" x14ac:dyDescent="0.3">
      <c r="A587">
        <v>7.6</v>
      </c>
      <c r="B587">
        <v>0.51</v>
      </c>
      <c r="C587">
        <v>0.24</v>
      </c>
      <c r="D587">
        <v>2.4</v>
      </c>
      <c r="E587">
        <v>9.0999999999999998E-2</v>
      </c>
      <c r="F587">
        <v>8</v>
      </c>
      <c r="G587">
        <v>38</v>
      </c>
      <c r="H587">
        <v>0.998</v>
      </c>
      <c r="I587">
        <v>3.47</v>
      </c>
      <c r="J587">
        <v>0.66</v>
      </c>
      <c r="K587">
        <v>9.6</v>
      </c>
      <c r="L587">
        <v>6</v>
      </c>
      <c r="M587" t="str">
        <f t="shared" si="72"/>
        <v>Medium</v>
      </c>
      <c r="N587">
        <f>(winequality_red[[#This Row],[Updated Quality &amp; Alcohol Analysis]]+winequality_red[[#This Row],[volatile acidity]]+winequality_red[[#This Row],[citric acid]])</f>
        <v>8.35</v>
      </c>
      <c r="O587">
        <f t="shared" si="73"/>
        <v>3.5062500000000003E-2</v>
      </c>
      <c r="S587" t="e">
        <f t="shared" si="74"/>
        <v>#N/A</v>
      </c>
      <c r="T587" t="e">
        <f t="shared" si="75"/>
        <v>#N/A</v>
      </c>
      <c r="U587">
        <f t="shared" si="76"/>
        <v>9.6</v>
      </c>
      <c r="V587">
        <f t="shared" si="77"/>
        <v>6</v>
      </c>
      <c r="W587" t="e">
        <f t="shared" si="78"/>
        <v>#N/A</v>
      </c>
      <c r="X587" t="e">
        <f t="shared" si="79"/>
        <v>#N/A</v>
      </c>
    </row>
    <row r="588" spans="1:24" x14ac:dyDescent="0.3">
      <c r="A588">
        <v>11.1</v>
      </c>
      <c r="B588">
        <v>0.31</v>
      </c>
      <c r="C588">
        <v>0.49</v>
      </c>
      <c r="D588">
        <v>2.7</v>
      </c>
      <c r="E588">
        <v>9.4E-2</v>
      </c>
      <c r="F588">
        <v>16</v>
      </c>
      <c r="G588">
        <v>47</v>
      </c>
      <c r="H588">
        <v>0.99860000000000004</v>
      </c>
      <c r="I588">
        <v>3.12</v>
      </c>
      <c r="J588">
        <v>1.02</v>
      </c>
      <c r="K588">
        <v>10.6</v>
      </c>
      <c r="L588">
        <v>7</v>
      </c>
      <c r="M588" t="str">
        <f t="shared" si="72"/>
        <v>High</v>
      </c>
      <c r="N588">
        <f>(winequality_red[[#This Row],[Updated Quality &amp; Alcohol Analysis]]+winequality_red[[#This Row],[volatile acidity]]+winequality_red[[#This Row],[citric acid]])</f>
        <v>11.9</v>
      </c>
      <c r="O588">
        <f t="shared" si="73"/>
        <v>2.9830188679245282E-2</v>
      </c>
      <c r="S588" t="e">
        <f t="shared" si="74"/>
        <v>#N/A</v>
      </c>
      <c r="T588" t="e">
        <f t="shared" si="75"/>
        <v>#N/A</v>
      </c>
      <c r="U588" t="e">
        <f t="shared" si="76"/>
        <v>#N/A</v>
      </c>
      <c r="V588" t="e">
        <f t="shared" si="77"/>
        <v>#N/A</v>
      </c>
      <c r="W588">
        <f t="shared" si="78"/>
        <v>10.6</v>
      </c>
      <c r="X588">
        <f t="shared" si="79"/>
        <v>7</v>
      </c>
    </row>
    <row r="589" spans="1:24" x14ac:dyDescent="0.3">
      <c r="A589">
        <v>7.3</v>
      </c>
      <c r="B589">
        <v>0.73</v>
      </c>
      <c r="C589">
        <v>0.24</v>
      </c>
      <c r="D589">
        <v>1.9</v>
      </c>
      <c r="E589">
        <v>0.10800000000000001</v>
      </c>
      <c r="F589">
        <v>18</v>
      </c>
      <c r="G589">
        <v>102</v>
      </c>
      <c r="H589">
        <v>0.99670000000000003</v>
      </c>
      <c r="I589">
        <v>3.26</v>
      </c>
      <c r="J589">
        <v>0.59</v>
      </c>
      <c r="K589">
        <v>9.3000000000000007</v>
      </c>
      <c r="L589">
        <v>5</v>
      </c>
      <c r="M589" t="str">
        <f t="shared" si="72"/>
        <v>Medium</v>
      </c>
      <c r="N589">
        <f>(winequality_red[[#This Row],[Updated Quality &amp; Alcohol Analysis]]+winequality_red[[#This Row],[volatile acidity]]+winequality_red[[#This Row],[citric acid]])</f>
        <v>8.27</v>
      </c>
      <c r="O589">
        <f t="shared" si="73"/>
        <v>4.6311827956989238E-2</v>
      </c>
      <c r="S589" t="e">
        <f t="shared" si="74"/>
        <v>#N/A</v>
      </c>
      <c r="T589" t="e">
        <f t="shared" si="75"/>
        <v>#N/A</v>
      </c>
      <c r="U589">
        <f t="shared" si="76"/>
        <v>9.3000000000000007</v>
      </c>
      <c r="V589">
        <f t="shared" si="77"/>
        <v>5</v>
      </c>
      <c r="W589" t="e">
        <f t="shared" si="78"/>
        <v>#N/A</v>
      </c>
      <c r="X589" t="e">
        <f t="shared" si="79"/>
        <v>#N/A</v>
      </c>
    </row>
    <row r="590" spans="1:24" x14ac:dyDescent="0.3">
      <c r="A590">
        <v>5</v>
      </c>
      <c r="B590">
        <v>0.42</v>
      </c>
      <c r="C590">
        <v>0.24</v>
      </c>
      <c r="D590">
        <v>2</v>
      </c>
      <c r="E590">
        <v>0.06</v>
      </c>
      <c r="F590">
        <v>19</v>
      </c>
      <c r="G590">
        <v>50</v>
      </c>
      <c r="H590">
        <v>0.99170000000000003</v>
      </c>
      <c r="I590">
        <v>3.72</v>
      </c>
      <c r="J590">
        <v>0.74</v>
      </c>
      <c r="K590">
        <v>14</v>
      </c>
      <c r="L590">
        <v>8</v>
      </c>
      <c r="M590" t="str">
        <f t="shared" si="72"/>
        <v>High</v>
      </c>
      <c r="N590">
        <f>(winequality_red[[#This Row],[Updated Quality &amp; Alcohol Analysis]]+winequality_red[[#This Row],[volatile acidity]]+winequality_red[[#This Row],[citric acid]])</f>
        <v>5.66</v>
      </c>
      <c r="O590">
        <f t="shared" si="73"/>
        <v>2.2199999999999998E-2</v>
      </c>
      <c r="S590" t="e">
        <f t="shared" si="74"/>
        <v>#N/A</v>
      </c>
      <c r="T590" t="e">
        <f t="shared" si="75"/>
        <v>#N/A</v>
      </c>
      <c r="U590" t="e">
        <f t="shared" si="76"/>
        <v>#N/A</v>
      </c>
      <c r="V590" t="e">
        <f t="shared" si="77"/>
        <v>#N/A</v>
      </c>
      <c r="W590">
        <f t="shared" si="78"/>
        <v>14</v>
      </c>
      <c r="X590">
        <f t="shared" si="79"/>
        <v>8</v>
      </c>
    </row>
    <row r="591" spans="1:24" x14ac:dyDescent="0.3">
      <c r="A591">
        <v>10.199999999999999</v>
      </c>
      <c r="B591">
        <v>0.28999999999999998</v>
      </c>
      <c r="C591">
        <v>0.49</v>
      </c>
      <c r="D591">
        <v>2.6</v>
      </c>
      <c r="E591">
        <v>5.9000000000000004E-2</v>
      </c>
      <c r="F591">
        <v>5</v>
      </c>
      <c r="G591">
        <v>13</v>
      </c>
      <c r="H591">
        <v>0.99760000000000004</v>
      </c>
      <c r="I591">
        <v>3.05</v>
      </c>
      <c r="J591">
        <v>0.74</v>
      </c>
      <c r="K591">
        <v>10.5</v>
      </c>
      <c r="L591">
        <v>7</v>
      </c>
      <c r="M591" t="str">
        <f t="shared" si="72"/>
        <v>High</v>
      </c>
      <c r="N591">
        <f>(winequality_red[[#This Row],[Updated Quality &amp; Alcohol Analysis]]+winequality_red[[#This Row],[volatile acidity]]+winequality_red[[#This Row],[citric acid]])</f>
        <v>10.979999999999999</v>
      </c>
      <c r="O591">
        <f t="shared" si="73"/>
        <v>2.0438095238095238E-2</v>
      </c>
      <c r="S591" t="e">
        <f t="shared" si="74"/>
        <v>#N/A</v>
      </c>
      <c r="T591" t="e">
        <f t="shared" si="75"/>
        <v>#N/A</v>
      </c>
      <c r="U591" t="e">
        <f t="shared" si="76"/>
        <v>#N/A</v>
      </c>
      <c r="V591" t="e">
        <f t="shared" si="77"/>
        <v>#N/A</v>
      </c>
      <c r="W591">
        <f t="shared" si="78"/>
        <v>10.5</v>
      </c>
      <c r="X591">
        <f t="shared" si="79"/>
        <v>7</v>
      </c>
    </row>
    <row r="592" spans="1:24" x14ac:dyDescent="0.3">
      <c r="A592">
        <v>9</v>
      </c>
      <c r="B592">
        <v>0.45</v>
      </c>
      <c r="C592">
        <v>0.49</v>
      </c>
      <c r="D592">
        <v>2.6</v>
      </c>
      <c r="E592">
        <v>8.4000000000000005E-2</v>
      </c>
      <c r="F592">
        <v>21</v>
      </c>
      <c r="G592">
        <v>75</v>
      </c>
      <c r="H592">
        <v>0.99870000000000003</v>
      </c>
      <c r="I592">
        <v>3.35</v>
      </c>
      <c r="J592">
        <v>0.56999999999999995</v>
      </c>
      <c r="K592">
        <v>9.6999999999999993</v>
      </c>
      <c r="L592">
        <v>5</v>
      </c>
      <c r="M592" t="str">
        <f t="shared" si="72"/>
        <v>Medium</v>
      </c>
      <c r="N592">
        <f>(winequality_red[[#This Row],[Updated Quality &amp; Alcohol Analysis]]+winequality_red[[#This Row],[volatile acidity]]+winequality_red[[#This Row],[citric acid]])</f>
        <v>9.94</v>
      </c>
      <c r="O592">
        <f t="shared" si="73"/>
        <v>2.6443298969072167E-2</v>
      </c>
      <c r="S592" t="e">
        <f t="shared" si="74"/>
        <v>#N/A</v>
      </c>
      <c r="T592" t="e">
        <f t="shared" si="75"/>
        <v>#N/A</v>
      </c>
      <c r="U592">
        <f t="shared" si="76"/>
        <v>9.6999999999999993</v>
      </c>
      <c r="V592">
        <f t="shared" si="77"/>
        <v>5</v>
      </c>
      <c r="W592" t="e">
        <f t="shared" si="78"/>
        <v>#N/A</v>
      </c>
      <c r="X592" t="e">
        <f t="shared" si="79"/>
        <v>#N/A</v>
      </c>
    </row>
    <row r="593" spans="1:24" x14ac:dyDescent="0.3">
      <c r="A593">
        <v>6.6</v>
      </c>
      <c r="B593">
        <v>0.39</v>
      </c>
      <c r="C593">
        <v>0.49</v>
      </c>
      <c r="D593">
        <v>1.7</v>
      </c>
      <c r="E593">
        <v>7.0000000000000007E-2</v>
      </c>
      <c r="F593">
        <v>23</v>
      </c>
      <c r="G593">
        <v>149</v>
      </c>
      <c r="H593">
        <v>0.99219999999999997</v>
      </c>
      <c r="I593">
        <v>3.12</v>
      </c>
      <c r="J593">
        <v>0.5</v>
      </c>
      <c r="K593">
        <v>11.5</v>
      </c>
      <c r="L593">
        <v>6</v>
      </c>
      <c r="M593" t="str">
        <f t="shared" si="72"/>
        <v>Medium</v>
      </c>
      <c r="N593">
        <f>(winequality_red[[#This Row],[Updated Quality &amp; Alcohol Analysis]]+winequality_red[[#This Row],[volatile acidity]]+winequality_red[[#This Row],[citric acid]])</f>
        <v>7.4799999999999995</v>
      </c>
      <c r="O593">
        <f t="shared" si="73"/>
        <v>1.6956521739130436E-2</v>
      </c>
      <c r="S593" t="e">
        <f t="shared" si="74"/>
        <v>#N/A</v>
      </c>
      <c r="T593" t="e">
        <f t="shared" si="75"/>
        <v>#N/A</v>
      </c>
      <c r="U593">
        <f t="shared" si="76"/>
        <v>11.5</v>
      </c>
      <c r="V593">
        <f t="shared" si="77"/>
        <v>6</v>
      </c>
      <c r="W593" t="e">
        <f t="shared" si="78"/>
        <v>#N/A</v>
      </c>
      <c r="X593" t="e">
        <f t="shared" si="79"/>
        <v>#N/A</v>
      </c>
    </row>
    <row r="594" spans="1:24" x14ac:dyDescent="0.3">
      <c r="A594">
        <v>9</v>
      </c>
      <c r="B594">
        <v>0.45</v>
      </c>
      <c r="C594">
        <v>0.49</v>
      </c>
      <c r="D594">
        <v>2.6</v>
      </c>
      <c r="E594">
        <v>8.4000000000000005E-2</v>
      </c>
      <c r="F594">
        <v>21</v>
      </c>
      <c r="G594">
        <v>75</v>
      </c>
      <c r="H594">
        <v>0.99870000000000003</v>
      </c>
      <c r="I594">
        <v>3.35</v>
      </c>
      <c r="J594">
        <v>0.56999999999999995</v>
      </c>
      <c r="K594">
        <v>9.6999999999999993</v>
      </c>
      <c r="L594">
        <v>5</v>
      </c>
      <c r="M594" t="str">
        <f t="shared" si="72"/>
        <v>Medium</v>
      </c>
      <c r="N594">
        <f>(winequality_red[[#This Row],[Updated Quality &amp; Alcohol Analysis]]+winequality_red[[#This Row],[volatile acidity]]+winequality_red[[#This Row],[citric acid]])</f>
        <v>9.94</v>
      </c>
      <c r="O594">
        <f t="shared" si="73"/>
        <v>2.6443298969072167E-2</v>
      </c>
      <c r="S594" t="e">
        <f t="shared" si="74"/>
        <v>#N/A</v>
      </c>
      <c r="T594" t="e">
        <f t="shared" si="75"/>
        <v>#N/A</v>
      </c>
      <c r="U594">
        <f t="shared" si="76"/>
        <v>9.6999999999999993</v>
      </c>
      <c r="V594">
        <f t="shared" si="77"/>
        <v>5</v>
      </c>
      <c r="W594" t="e">
        <f t="shared" si="78"/>
        <v>#N/A</v>
      </c>
      <c r="X594" t="e">
        <f t="shared" si="79"/>
        <v>#N/A</v>
      </c>
    </row>
    <row r="595" spans="1:24" x14ac:dyDescent="0.3">
      <c r="A595">
        <v>9.9</v>
      </c>
      <c r="B595">
        <v>0.49</v>
      </c>
      <c r="C595">
        <v>0.57999999999999996</v>
      </c>
      <c r="D595">
        <v>3.5</v>
      </c>
      <c r="E595">
        <v>9.4E-2</v>
      </c>
      <c r="F595">
        <v>9</v>
      </c>
      <c r="G595">
        <v>43</v>
      </c>
      <c r="H595">
        <v>1.0004</v>
      </c>
      <c r="I595">
        <v>3.29</v>
      </c>
      <c r="J595">
        <v>0.57999999999999996</v>
      </c>
      <c r="K595">
        <v>9</v>
      </c>
      <c r="L595">
        <v>5</v>
      </c>
      <c r="M595" t="str">
        <f t="shared" si="72"/>
        <v>Medium</v>
      </c>
      <c r="N595">
        <f>(winequality_red[[#This Row],[Updated Quality &amp; Alcohol Analysis]]+winequality_red[[#This Row],[volatile acidity]]+winequality_red[[#This Row],[citric acid]])</f>
        <v>10.97</v>
      </c>
      <c r="O595">
        <f t="shared" si="73"/>
        <v>3.1577777777777774E-2</v>
      </c>
      <c r="S595" t="e">
        <f t="shared" si="74"/>
        <v>#N/A</v>
      </c>
      <c r="T595" t="e">
        <f t="shared" si="75"/>
        <v>#N/A</v>
      </c>
      <c r="U595">
        <f t="shared" si="76"/>
        <v>9</v>
      </c>
      <c r="V595">
        <f t="shared" si="77"/>
        <v>5</v>
      </c>
      <c r="W595" t="e">
        <f t="shared" si="78"/>
        <v>#N/A</v>
      </c>
      <c r="X595" t="e">
        <f t="shared" si="79"/>
        <v>#N/A</v>
      </c>
    </row>
    <row r="596" spans="1:24" x14ac:dyDescent="0.3">
      <c r="A596">
        <v>7.9</v>
      </c>
      <c r="B596">
        <v>0.72</v>
      </c>
      <c r="C596">
        <v>0.17</v>
      </c>
      <c r="D596">
        <v>2.6</v>
      </c>
      <c r="E596">
        <v>9.6000000000000002E-2</v>
      </c>
      <c r="F596">
        <v>20</v>
      </c>
      <c r="G596">
        <v>38</v>
      </c>
      <c r="H596">
        <v>0.99780000000000002</v>
      </c>
      <c r="I596">
        <v>3.4</v>
      </c>
      <c r="J596">
        <v>0.53</v>
      </c>
      <c r="K596">
        <v>9.5</v>
      </c>
      <c r="L596">
        <v>5</v>
      </c>
      <c r="M596" t="str">
        <f t="shared" si="72"/>
        <v>Medium</v>
      </c>
      <c r="N596">
        <f>(winequality_red[[#This Row],[Updated Quality &amp; Alcohol Analysis]]+winequality_red[[#This Row],[volatile acidity]]+winequality_red[[#This Row],[citric acid]])</f>
        <v>8.7900000000000009</v>
      </c>
      <c r="O596">
        <f t="shared" si="73"/>
        <v>4.0168421052631575E-2</v>
      </c>
      <c r="S596" t="e">
        <f t="shared" si="74"/>
        <v>#N/A</v>
      </c>
      <c r="T596" t="e">
        <f t="shared" si="75"/>
        <v>#N/A</v>
      </c>
      <c r="U596">
        <f t="shared" si="76"/>
        <v>9.5</v>
      </c>
      <c r="V596">
        <f t="shared" si="77"/>
        <v>5</v>
      </c>
      <c r="W596" t="e">
        <f t="shared" si="78"/>
        <v>#N/A</v>
      </c>
      <c r="X596" t="e">
        <f t="shared" si="79"/>
        <v>#N/A</v>
      </c>
    </row>
    <row r="597" spans="1:24" x14ac:dyDescent="0.3">
      <c r="A597">
        <v>8.9</v>
      </c>
      <c r="B597">
        <v>0.59499999999999997</v>
      </c>
      <c r="C597">
        <v>0.41</v>
      </c>
      <c r="D597">
        <v>7.9</v>
      </c>
      <c r="E597">
        <v>8.5999999999999993E-2</v>
      </c>
      <c r="F597">
        <v>30</v>
      </c>
      <c r="G597">
        <v>109</v>
      </c>
      <c r="H597">
        <v>0.99980000000000002</v>
      </c>
      <c r="I597">
        <v>3.27</v>
      </c>
      <c r="J597">
        <v>0.56999999999999995</v>
      </c>
      <c r="K597">
        <v>9.3000000000000007</v>
      </c>
      <c r="L597">
        <v>5</v>
      </c>
      <c r="M597" t="str">
        <f t="shared" si="72"/>
        <v>Medium</v>
      </c>
      <c r="N597">
        <f>(winequality_red[[#This Row],[Updated Quality &amp; Alcohol Analysis]]+winequality_red[[#This Row],[volatile acidity]]+winequality_red[[#This Row],[citric acid]])</f>
        <v>9.9050000000000011</v>
      </c>
      <c r="O597">
        <f t="shared" si="73"/>
        <v>3.6467741935483862E-2</v>
      </c>
      <c r="S597" t="e">
        <f t="shared" si="74"/>
        <v>#N/A</v>
      </c>
      <c r="T597" t="e">
        <f t="shared" si="75"/>
        <v>#N/A</v>
      </c>
      <c r="U597">
        <f t="shared" si="76"/>
        <v>9.3000000000000007</v>
      </c>
      <c r="V597">
        <f t="shared" si="77"/>
        <v>5</v>
      </c>
      <c r="W597" t="e">
        <f t="shared" si="78"/>
        <v>#N/A</v>
      </c>
      <c r="X597" t="e">
        <f t="shared" si="79"/>
        <v>#N/A</v>
      </c>
    </row>
    <row r="598" spans="1:24" x14ac:dyDescent="0.3">
      <c r="A598">
        <v>12.4</v>
      </c>
      <c r="B598">
        <v>0.4</v>
      </c>
      <c r="C598">
        <v>0.51</v>
      </c>
      <c r="D598">
        <v>2</v>
      </c>
      <c r="E598">
        <v>5.9000000000000004E-2</v>
      </c>
      <c r="F598">
        <v>6</v>
      </c>
      <c r="G598">
        <v>24</v>
      </c>
      <c r="H598">
        <v>0.99939999999999996</v>
      </c>
      <c r="I598">
        <v>3.04</v>
      </c>
      <c r="J598">
        <v>0.6</v>
      </c>
      <c r="K598">
        <v>9.3000000000000007</v>
      </c>
      <c r="L598">
        <v>6</v>
      </c>
      <c r="M598" t="str">
        <f t="shared" si="72"/>
        <v>Medium</v>
      </c>
      <c r="N598">
        <f>(winequality_red[[#This Row],[Updated Quality &amp; Alcohol Analysis]]+winequality_red[[#This Row],[volatile acidity]]+winequality_red[[#This Row],[citric acid]])</f>
        <v>13.31</v>
      </c>
      <c r="O598">
        <f t="shared" si="73"/>
        <v>2.5806451612903222E-2</v>
      </c>
      <c r="S598" t="e">
        <f t="shared" si="74"/>
        <v>#N/A</v>
      </c>
      <c r="T598" t="e">
        <f t="shared" si="75"/>
        <v>#N/A</v>
      </c>
      <c r="U598">
        <f t="shared" si="76"/>
        <v>9.3000000000000007</v>
      </c>
      <c r="V598">
        <f t="shared" si="77"/>
        <v>6</v>
      </c>
      <c r="W598" t="e">
        <f t="shared" si="78"/>
        <v>#N/A</v>
      </c>
      <c r="X598" t="e">
        <f t="shared" si="79"/>
        <v>#N/A</v>
      </c>
    </row>
    <row r="599" spans="1:24" x14ac:dyDescent="0.3">
      <c r="A599">
        <v>11.9</v>
      </c>
      <c r="B599">
        <v>0.57999999999999996</v>
      </c>
      <c r="C599">
        <v>0.57999999999999996</v>
      </c>
      <c r="D599">
        <v>1.9</v>
      </c>
      <c r="E599">
        <v>7.0999999999999994E-2</v>
      </c>
      <c r="F599">
        <v>5</v>
      </c>
      <c r="G599">
        <v>18</v>
      </c>
      <c r="H599">
        <v>0.998</v>
      </c>
      <c r="I599">
        <v>3.09</v>
      </c>
      <c r="J599">
        <v>0.63</v>
      </c>
      <c r="K599">
        <v>10</v>
      </c>
      <c r="L599">
        <v>6</v>
      </c>
      <c r="M599" t="str">
        <f t="shared" si="72"/>
        <v>Medium</v>
      </c>
      <c r="N599">
        <f>(winequality_red[[#This Row],[Updated Quality &amp; Alcohol Analysis]]+winequality_red[[#This Row],[volatile acidity]]+winequality_red[[#This Row],[citric acid]])</f>
        <v>13.06</v>
      </c>
      <c r="O599">
        <f t="shared" si="73"/>
        <v>3.6540000000000003E-2</v>
      </c>
      <c r="S599" t="e">
        <f t="shared" si="74"/>
        <v>#N/A</v>
      </c>
      <c r="T599" t="e">
        <f t="shared" si="75"/>
        <v>#N/A</v>
      </c>
      <c r="U599">
        <f t="shared" si="76"/>
        <v>10</v>
      </c>
      <c r="V599">
        <f t="shared" si="77"/>
        <v>6</v>
      </c>
      <c r="W599" t="e">
        <f t="shared" si="78"/>
        <v>#N/A</v>
      </c>
      <c r="X599" t="e">
        <f t="shared" si="79"/>
        <v>#N/A</v>
      </c>
    </row>
    <row r="600" spans="1:24" x14ac:dyDescent="0.3">
      <c r="A600">
        <v>8.5</v>
      </c>
      <c r="B600">
        <v>0.58499999999999996</v>
      </c>
      <c r="C600">
        <v>0.18</v>
      </c>
      <c r="D600">
        <v>2.1</v>
      </c>
      <c r="E600">
        <v>7.8E-2</v>
      </c>
      <c r="F600">
        <v>5</v>
      </c>
      <c r="G600">
        <v>30</v>
      </c>
      <c r="H600">
        <v>0.99670000000000003</v>
      </c>
      <c r="I600">
        <v>3.2</v>
      </c>
      <c r="J600">
        <v>0.48</v>
      </c>
      <c r="K600">
        <v>9.8000000000000007</v>
      </c>
      <c r="L600">
        <v>6</v>
      </c>
      <c r="M600" t="str">
        <f t="shared" si="72"/>
        <v>Medium</v>
      </c>
      <c r="N600">
        <f>(winequality_red[[#This Row],[Updated Quality &amp; Alcohol Analysis]]+winequality_red[[#This Row],[volatile acidity]]+winequality_red[[#This Row],[citric acid]])</f>
        <v>9.2650000000000006</v>
      </c>
      <c r="O600">
        <f t="shared" si="73"/>
        <v>2.8653061224489792E-2</v>
      </c>
      <c r="S600" t="e">
        <f t="shared" si="74"/>
        <v>#N/A</v>
      </c>
      <c r="T600" t="e">
        <f t="shared" si="75"/>
        <v>#N/A</v>
      </c>
      <c r="U600">
        <f t="shared" si="76"/>
        <v>9.8000000000000007</v>
      </c>
      <c r="V600">
        <f t="shared" si="77"/>
        <v>6</v>
      </c>
      <c r="W600" t="e">
        <f t="shared" si="78"/>
        <v>#N/A</v>
      </c>
      <c r="X600" t="e">
        <f t="shared" si="79"/>
        <v>#N/A</v>
      </c>
    </row>
    <row r="601" spans="1:24" x14ac:dyDescent="0.3">
      <c r="A601">
        <v>12.7</v>
      </c>
      <c r="B601">
        <v>0.59</v>
      </c>
      <c r="C601">
        <v>0.45</v>
      </c>
      <c r="D601">
        <v>2.2999999999999998</v>
      </c>
      <c r="E601">
        <v>8.199999999999999E-2</v>
      </c>
      <c r="F601">
        <v>11</v>
      </c>
      <c r="G601">
        <v>22</v>
      </c>
      <c r="H601">
        <v>1</v>
      </c>
      <c r="I601">
        <v>3</v>
      </c>
      <c r="J601">
        <v>0.7</v>
      </c>
      <c r="K601">
        <v>9.3000000000000007</v>
      </c>
      <c r="L601">
        <v>6</v>
      </c>
      <c r="M601" t="str">
        <f t="shared" si="72"/>
        <v>Medium</v>
      </c>
      <c r="N601">
        <f>(winequality_red[[#This Row],[Updated Quality &amp; Alcohol Analysis]]+winequality_red[[#This Row],[volatile acidity]]+winequality_red[[#This Row],[citric acid]])</f>
        <v>13.739999999999998</v>
      </c>
      <c r="O601">
        <f t="shared" si="73"/>
        <v>4.4408602150537629E-2</v>
      </c>
      <c r="S601" t="e">
        <f t="shared" si="74"/>
        <v>#N/A</v>
      </c>
      <c r="T601" t="e">
        <f t="shared" si="75"/>
        <v>#N/A</v>
      </c>
      <c r="U601">
        <f t="shared" si="76"/>
        <v>9.3000000000000007</v>
      </c>
      <c r="V601">
        <f t="shared" si="77"/>
        <v>6</v>
      </c>
      <c r="W601" t="e">
        <f t="shared" si="78"/>
        <v>#N/A</v>
      </c>
      <c r="X601" t="e">
        <f t="shared" si="79"/>
        <v>#N/A</v>
      </c>
    </row>
    <row r="602" spans="1:24" x14ac:dyDescent="0.3">
      <c r="A602">
        <v>8.1999999999999993</v>
      </c>
      <c r="B602">
        <v>0.91500000000000004</v>
      </c>
      <c r="C602">
        <v>0.27</v>
      </c>
      <c r="D602">
        <v>2.1</v>
      </c>
      <c r="E602">
        <v>8.8000000000000009E-2</v>
      </c>
      <c r="F602">
        <v>7</v>
      </c>
      <c r="G602">
        <v>23</v>
      </c>
      <c r="H602">
        <v>0.99619999999999997</v>
      </c>
      <c r="I602">
        <v>3.26</v>
      </c>
      <c r="J602">
        <v>0.47</v>
      </c>
      <c r="K602">
        <v>10</v>
      </c>
      <c r="L602">
        <v>4</v>
      </c>
      <c r="M602" t="str">
        <f t="shared" si="72"/>
        <v>Low</v>
      </c>
      <c r="N602">
        <f>(winequality_red[[#This Row],[Updated Quality &amp; Alcohol Analysis]]+winequality_red[[#This Row],[volatile acidity]]+winequality_red[[#This Row],[citric acid]])</f>
        <v>9.384999999999998</v>
      </c>
      <c r="O602">
        <f t="shared" si="73"/>
        <v>4.3005000000000002E-2</v>
      </c>
      <c r="S602">
        <f t="shared" si="74"/>
        <v>10</v>
      </c>
      <c r="T602">
        <f t="shared" si="75"/>
        <v>4</v>
      </c>
      <c r="U602" t="e">
        <f t="shared" si="76"/>
        <v>#N/A</v>
      </c>
      <c r="V602" t="e">
        <f t="shared" si="77"/>
        <v>#N/A</v>
      </c>
      <c r="W602" t="e">
        <f t="shared" si="78"/>
        <v>#N/A</v>
      </c>
      <c r="X602" t="e">
        <f t="shared" si="79"/>
        <v>#N/A</v>
      </c>
    </row>
    <row r="603" spans="1:24" x14ac:dyDescent="0.3">
      <c r="A603">
        <v>13.2</v>
      </c>
      <c r="B603">
        <v>0.46</v>
      </c>
      <c r="C603">
        <v>0.52</v>
      </c>
      <c r="D603">
        <v>2.2000000000000002</v>
      </c>
      <c r="E603">
        <v>7.0999999999999994E-2</v>
      </c>
      <c r="F603">
        <v>12</v>
      </c>
      <c r="G603">
        <v>35</v>
      </c>
      <c r="H603">
        <v>1.0005999999999999</v>
      </c>
      <c r="I603">
        <v>3.1</v>
      </c>
      <c r="J603">
        <v>0.56000000000000005</v>
      </c>
      <c r="K603">
        <v>9</v>
      </c>
      <c r="L603">
        <v>6</v>
      </c>
      <c r="M603" t="str">
        <f t="shared" si="72"/>
        <v>Medium</v>
      </c>
      <c r="N603">
        <f>(winequality_red[[#This Row],[Updated Quality &amp; Alcohol Analysis]]+winequality_red[[#This Row],[volatile acidity]]+winequality_red[[#This Row],[citric acid]])</f>
        <v>14.18</v>
      </c>
      <c r="O603">
        <f t="shared" si="73"/>
        <v>2.8622222222222229E-2</v>
      </c>
      <c r="S603" t="e">
        <f t="shared" si="74"/>
        <v>#N/A</v>
      </c>
      <c r="T603" t="e">
        <f t="shared" si="75"/>
        <v>#N/A</v>
      </c>
      <c r="U603">
        <f t="shared" si="76"/>
        <v>9</v>
      </c>
      <c r="V603">
        <f t="shared" si="77"/>
        <v>6</v>
      </c>
      <c r="W603" t="e">
        <f t="shared" si="78"/>
        <v>#N/A</v>
      </c>
      <c r="X603" t="e">
        <f t="shared" si="79"/>
        <v>#N/A</v>
      </c>
    </row>
    <row r="604" spans="1:24" x14ac:dyDescent="0.3">
      <c r="A604">
        <v>7.7</v>
      </c>
      <c r="B604">
        <v>0.83499999999999996</v>
      </c>
      <c r="C604">
        <v>0</v>
      </c>
      <c r="D604">
        <v>2.6</v>
      </c>
      <c r="E604">
        <v>8.1000000000000003E-2</v>
      </c>
      <c r="F604">
        <v>6</v>
      </c>
      <c r="G604">
        <v>14</v>
      </c>
      <c r="H604">
        <v>0.99750000000000005</v>
      </c>
      <c r="I604">
        <v>3.3</v>
      </c>
      <c r="J604">
        <v>0.52</v>
      </c>
      <c r="K604">
        <v>9.3000000000000007</v>
      </c>
      <c r="L604">
        <v>5</v>
      </c>
      <c r="M604" t="str">
        <f t="shared" si="72"/>
        <v>Medium</v>
      </c>
      <c r="N604">
        <f>(winequality_red[[#This Row],[Updated Quality &amp; Alcohol Analysis]]+winequality_red[[#This Row],[volatile acidity]]+winequality_red[[#This Row],[citric acid]])</f>
        <v>8.5350000000000001</v>
      </c>
      <c r="O604">
        <f t="shared" si="73"/>
        <v>4.6688172043010748E-2</v>
      </c>
      <c r="S604" t="e">
        <f t="shared" si="74"/>
        <v>#N/A</v>
      </c>
      <c r="T604" t="e">
        <f t="shared" si="75"/>
        <v>#N/A</v>
      </c>
      <c r="U604">
        <f t="shared" si="76"/>
        <v>9.3000000000000007</v>
      </c>
      <c r="V604">
        <f t="shared" si="77"/>
        <v>5</v>
      </c>
      <c r="W604" t="e">
        <f t="shared" si="78"/>
        <v>#N/A</v>
      </c>
      <c r="X604" t="e">
        <f t="shared" si="79"/>
        <v>#N/A</v>
      </c>
    </row>
    <row r="605" spans="1:24" x14ac:dyDescent="0.3">
      <c r="A605">
        <v>13.2</v>
      </c>
      <c r="B605">
        <v>0.46</v>
      </c>
      <c r="C605">
        <v>0.52</v>
      </c>
      <c r="D605">
        <v>2.2000000000000002</v>
      </c>
      <c r="E605">
        <v>7.0999999999999994E-2</v>
      </c>
      <c r="F605">
        <v>12</v>
      </c>
      <c r="G605">
        <v>35</v>
      </c>
      <c r="H605">
        <v>1.0005999999999999</v>
      </c>
      <c r="I605">
        <v>3.1</v>
      </c>
      <c r="J605">
        <v>0.56000000000000005</v>
      </c>
      <c r="K605">
        <v>9</v>
      </c>
      <c r="L605">
        <v>6</v>
      </c>
      <c r="M605" t="str">
        <f t="shared" si="72"/>
        <v>Medium</v>
      </c>
      <c r="N605">
        <f>(winequality_red[[#This Row],[Updated Quality &amp; Alcohol Analysis]]+winequality_red[[#This Row],[volatile acidity]]+winequality_red[[#This Row],[citric acid]])</f>
        <v>14.18</v>
      </c>
      <c r="O605">
        <f t="shared" si="73"/>
        <v>2.8622222222222229E-2</v>
      </c>
      <c r="S605" t="e">
        <f t="shared" si="74"/>
        <v>#N/A</v>
      </c>
      <c r="T605" t="e">
        <f t="shared" si="75"/>
        <v>#N/A</v>
      </c>
      <c r="U605">
        <f t="shared" si="76"/>
        <v>9</v>
      </c>
      <c r="V605">
        <f t="shared" si="77"/>
        <v>6</v>
      </c>
      <c r="W605" t="e">
        <f t="shared" si="78"/>
        <v>#N/A</v>
      </c>
      <c r="X605" t="e">
        <f t="shared" si="79"/>
        <v>#N/A</v>
      </c>
    </row>
    <row r="606" spans="1:24" x14ac:dyDescent="0.3">
      <c r="A606">
        <v>8.3000000000000007</v>
      </c>
      <c r="B606">
        <v>0.57999999999999996</v>
      </c>
      <c r="C606">
        <v>0.13</v>
      </c>
      <c r="D606">
        <v>2.9</v>
      </c>
      <c r="E606">
        <v>9.6000000000000002E-2</v>
      </c>
      <c r="F606">
        <v>14</v>
      </c>
      <c r="G606">
        <v>63</v>
      </c>
      <c r="H606">
        <v>0.99839999999999995</v>
      </c>
      <c r="I606">
        <v>3.17</v>
      </c>
      <c r="J606">
        <v>0.62</v>
      </c>
      <c r="K606">
        <v>9.1</v>
      </c>
      <c r="L606">
        <v>6</v>
      </c>
      <c r="M606" t="str">
        <f t="shared" si="72"/>
        <v>Medium</v>
      </c>
      <c r="N606">
        <f>(winequality_red[[#This Row],[Updated Quality &amp; Alcohol Analysis]]+winequality_red[[#This Row],[volatile acidity]]+winequality_red[[#This Row],[citric acid]])</f>
        <v>9.0100000000000016</v>
      </c>
      <c r="O606">
        <f t="shared" si="73"/>
        <v>3.9516483516483514E-2</v>
      </c>
      <c r="S606" t="e">
        <f t="shared" si="74"/>
        <v>#N/A</v>
      </c>
      <c r="T606" t="e">
        <f t="shared" si="75"/>
        <v>#N/A</v>
      </c>
      <c r="U606">
        <f t="shared" si="76"/>
        <v>9.1</v>
      </c>
      <c r="V606">
        <f t="shared" si="77"/>
        <v>6</v>
      </c>
      <c r="W606" t="e">
        <f t="shared" si="78"/>
        <v>#N/A</v>
      </c>
      <c r="X606" t="e">
        <f t="shared" si="79"/>
        <v>#N/A</v>
      </c>
    </row>
    <row r="607" spans="1:24" x14ac:dyDescent="0.3">
      <c r="A607">
        <v>8.3000000000000007</v>
      </c>
      <c r="B607">
        <v>0.6</v>
      </c>
      <c r="C607">
        <v>0.13</v>
      </c>
      <c r="D607">
        <v>2.6</v>
      </c>
      <c r="E607">
        <v>8.5000000000000006E-2</v>
      </c>
      <c r="F607">
        <v>6</v>
      </c>
      <c r="G607">
        <v>24</v>
      </c>
      <c r="H607">
        <v>0.99839999999999995</v>
      </c>
      <c r="I607">
        <v>3.31</v>
      </c>
      <c r="J607">
        <v>0.59</v>
      </c>
      <c r="K607">
        <v>9.1999999999999993</v>
      </c>
      <c r="L607">
        <v>6</v>
      </c>
      <c r="M607" t="str">
        <f t="shared" si="72"/>
        <v>Medium</v>
      </c>
      <c r="N607">
        <f>(winequality_red[[#This Row],[Updated Quality &amp; Alcohol Analysis]]+winequality_red[[#This Row],[volatile acidity]]+winequality_red[[#This Row],[citric acid]])</f>
        <v>9.0300000000000011</v>
      </c>
      <c r="O607">
        <f t="shared" si="73"/>
        <v>3.8478260869565219E-2</v>
      </c>
      <c r="S607" t="e">
        <f t="shared" si="74"/>
        <v>#N/A</v>
      </c>
      <c r="T607" t="e">
        <f t="shared" si="75"/>
        <v>#N/A</v>
      </c>
      <c r="U607">
        <f t="shared" si="76"/>
        <v>9.1999999999999993</v>
      </c>
      <c r="V607">
        <f t="shared" si="77"/>
        <v>6</v>
      </c>
      <c r="W607" t="e">
        <f t="shared" si="78"/>
        <v>#N/A</v>
      </c>
      <c r="X607" t="e">
        <f t="shared" si="79"/>
        <v>#N/A</v>
      </c>
    </row>
    <row r="608" spans="1:24" x14ac:dyDescent="0.3">
      <c r="A608">
        <v>9.4</v>
      </c>
      <c r="B608">
        <v>0.41</v>
      </c>
      <c r="C608">
        <v>0.48</v>
      </c>
      <c r="D608">
        <v>4.5999999999999996</v>
      </c>
      <c r="E608">
        <v>7.2000000000000008E-2</v>
      </c>
      <c r="F608">
        <v>10</v>
      </c>
      <c r="G608">
        <v>20</v>
      </c>
      <c r="H608">
        <v>0.99729999999999996</v>
      </c>
      <c r="I608">
        <v>3.34</v>
      </c>
      <c r="J608">
        <v>0.79</v>
      </c>
      <c r="K608">
        <v>12.2</v>
      </c>
      <c r="L608">
        <v>7</v>
      </c>
      <c r="M608" t="str">
        <f t="shared" si="72"/>
        <v>High</v>
      </c>
      <c r="N608">
        <f>(winequality_red[[#This Row],[Updated Quality &amp; Alcohol Analysis]]+winequality_red[[#This Row],[volatile acidity]]+winequality_red[[#This Row],[citric acid]])</f>
        <v>10.290000000000001</v>
      </c>
      <c r="O608">
        <f t="shared" si="73"/>
        <v>2.6549180327868856E-2</v>
      </c>
      <c r="S608" t="e">
        <f t="shared" si="74"/>
        <v>#N/A</v>
      </c>
      <c r="T608" t="e">
        <f t="shared" si="75"/>
        <v>#N/A</v>
      </c>
      <c r="U608" t="e">
        <f t="shared" si="76"/>
        <v>#N/A</v>
      </c>
      <c r="V608" t="e">
        <f t="shared" si="77"/>
        <v>#N/A</v>
      </c>
      <c r="W608">
        <f t="shared" si="78"/>
        <v>12.2</v>
      </c>
      <c r="X608">
        <f t="shared" si="79"/>
        <v>7</v>
      </c>
    </row>
    <row r="609" spans="1:24" x14ac:dyDescent="0.3">
      <c r="A609">
        <v>8.8000000000000007</v>
      </c>
      <c r="B609">
        <v>0.48</v>
      </c>
      <c r="C609">
        <v>0.41</v>
      </c>
      <c r="D609">
        <v>3.3</v>
      </c>
      <c r="E609">
        <v>9.1999999999999998E-2</v>
      </c>
      <c r="F609">
        <v>26</v>
      </c>
      <c r="G609">
        <v>52</v>
      </c>
      <c r="H609">
        <v>0.99819999999999998</v>
      </c>
      <c r="I609">
        <v>3.31</v>
      </c>
      <c r="J609">
        <v>0.53</v>
      </c>
      <c r="K609">
        <v>10.5</v>
      </c>
      <c r="L609">
        <v>6</v>
      </c>
      <c r="M609" t="str">
        <f t="shared" si="72"/>
        <v>Medium</v>
      </c>
      <c r="N609">
        <f>(winequality_red[[#This Row],[Updated Quality &amp; Alcohol Analysis]]+winequality_red[[#This Row],[volatile acidity]]+winequality_red[[#This Row],[citric acid]])</f>
        <v>9.6900000000000013</v>
      </c>
      <c r="O609">
        <f t="shared" si="73"/>
        <v>2.4228571428571429E-2</v>
      </c>
      <c r="S609" t="e">
        <f t="shared" si="74"/>
        <v>#N/A</v>
      </c>
      <c r="T609" t="e">
        <f t="shared" si="75"/>
        <v>#N/A</v>
      </c>
      <c r="U609">
        <f t="shared" si="76"/>
        <v>10.5</v>
      </c>
      <c r="V609">
        <f t="shared" si="77"/>
        <v>6</v>
      </c>
      <c r="W609" t="e">
        <f t="shared" si="78"/>
        <v>#N/A</v>
      </c>
      <c r="X609" t="e">
        <f t="shared" si="79"/>
        <v>#N/A</v>
      </c>
    </row>
    <row r="610" spans="1:24" x14ac:dyDescent="0.3">
      <c r="A610">
        <v>10.1</v>
      </c>
      <c r="B610">
        <v>0.65</v>
      </c>
      <c r="C610">
        <v>0.37</v>
      </c>
      <c r="D610">
        <v>5.0999999999999996</v>
      </c>
      <c r="E610">
        <v>0.11</v>
      </c>
      <c r="F610">
        <v>11</v>
      </c>
      <c r="G610">
        <v>65</v>
      </c>
      <c r="H610">
        <v>1.0025999999999999</v>
      </c>
      <c r="I610">
        <v>3.32</v>
      </c>
      <c r="J610">
        <v>0.64</v>
      </c>
      <c r="K610">
        <v>10.4</v>
      </c>
      <c r="L610">
        <v>6</v>
      </c>
      <c r="M610" t="str">
        <f t="shared" si="72"/>
        <v>Medium</v>
      </c>
      <c r="N610">
        <f>(winequality_red[[#This Row],[Updated Quality &amp; Alcohol Analysis]]+winequality_red[[#This Row],[volatile acidity]]+winequality_red[[#This Row],[citric acid]])</f>
        <v>11.12</v>
      </c>
      <c r="O610">
        <f t="shared" si="73"/>
        <v>0.04</v>
      </c>
      <c r="S610" t="e">
        <f t="shared" si="74"/>
        <v>#N/A</v>
      </c>
      <c r="T610" t="e">
        <f t="shared" si="75"/>
        <v>#N/A</v>
      </c>
      <c r="U610">
        <f t="shared" si="76"/>
        <v>10.4</v>
      </c>
      <c r="V610">
        <f t="shared" si="77"/>
        <v>6</v>
      </c>
      <c r="W610" t="e">
        <f t="shared" si="78"/>
        <v>#N/A</v>
      </c>
      <c r="X610" t="e">
        <f t="shared" si="79"/>
        <v>#N/A</v>
      </c>
    </row>
    <row r="611" spans="1:24" x14ac:dyDescent="0.3">
      <c r="A611">
        <v>6.3</v>
      </c>
      <c r="B611">
        <v>0.36</v>
      </c>
      <c r="C611">
        <v>0.19</v>
      </c>
      <c r="D611">
        <v>3.2</v>
      </c>
      <c r="E611">
        <v>7.4999999999999997E-2</v>
      </c>
      <c r="F611">
        <v>15</v>
      </c>
      <c r="G611">
        <v>39</v>
      </c>
      <c r="H611">
        <v>0.99560000000000004</v>
      </c>
      <c r="I611">
        <v>3.56</v>
      </c>
      <c r="J611">
        <v>0.52</v>
      </c>
      <c r="K611">
        <v>12.7</v>
      </c>
      <c r="L611">
        <v>6</v>
      </c>
      <c r="M611" t="str">
        <f t="shared" si="72"/>
        <v>Medium</v>
      </c>
      <c r="N611">
        <f>(winequality_red[[#This Row],[Updated Quality &amp; Alcohol Analysis]]+winequality_red[[#This Row],[volatile acidity]]+winequality_red[[#This Row],[citric acid]])</f>
        <v>6.8500000000000005</v>
      </c>
      <c r="O611">
        <f t="shared" si="73"/>
        <v>1.4740157480314962E-2</v>
      </c>
      <c r="S611" t="e">
        <f t="shared" si="74"/>
        <v>#N/A</v>
      </c>
      <c r="T611" t="e">
        <f t="shared" si="75"/>
        <v>#N/A</v>
      </c>
      <c r="U611">
        <f t="shared" si="76"/>
        <v>12.7</v>
      </c>
      <c r="V611">
        <f t="shared" si="77"/>
        <v>6</v>
      </c>
      <c r="W611" t="e">
        <f t="shared" si="78"/>
        <v>#N/A</v>
      </c>
      <c r="X611" t="e">
        <f t="shared" si="79"/>
        <v>#N/A</v>
      </c>
    </row>
    <row r="612" spans="1:24" x14ac:dyDescent="0.3">
      <c r="A612">
        <v>8.8000000000000007</v>
      </c>
      <c r="B612">
        <v>0.24</v>
      </c>
      <c r="C612">
        <v>0.54</v>
      </c>
      <c r="D612">
        <v>2.5</v>
      </c>
      <c r="E612">
        <v>8.3000000000000004E-2</v>
      </c>
      <c r="F612">
        <v>25</v>
      </c>
      <c r="G612">
        <v>57</v>
      </c>
      <c r="H612">
        <v>0.99829999999999997</v>
      </c>
      <c r="I612">
        <v>3.39</v>
      </c>
      <c r="J612">
        <v>0.54</v>
      </c>
      <c r="K612">
        <v>9.1999999999999993</v>
      </c>
      <c r="L612">
        <v>5</v>
      </c>
      <c r="M612" t="str">
        <f t="shared" si="72"/>
        <v>Medium</v>
      </c>
      <c r="N612">
        <f>(winequality_red[[#This Row],[Updated Quality &amp; Alcohol Analysis]]+winequality_red[[#This Row],[volatile acidity]]+winequality_red[[#This Row],[citric acid]])</f>
        <v>9.5800000000000018</v>
      </c>
      <c r="O612">
        <f t="shared" si="73"/>
        <v>1.4086956521739131E-2</v>
      </c>
      <c r="S612" t="e">
        <f t="shared" si="74"/>
        <v>#N/A</v>
      </c>
      <c r="T612" t="e">
        <f t="shared" si="75"/>
        <v>#N/A</v>
      </c>
      <c r="U612">
        <f t="shared" si="76"/>
        <v>9.1999999999999993</v>
      </c>
      <c r="V612">
        <f t="shared" si="77"/>
        <v>5</v>
      </c>
      <c r="W612" t="e">
        <f t="shared" si="78"/>
        <v>#N/A</v>
      </c>
      <c r="X612" t="e">
        <f t="shared" si="79"/>
        <v>#N/A</v>
      </c>
    </row>
    <row r="613" spans="1:24" x14ac:dyDescent="0.3">
      <c r="A613">
        <v>13.2</v>
      </c>
      <c r="B613">
        <v>0.38</v>
      </c>
      <c r="C613">
        <v>0.55000000000000004</v>
      </c>
      <c r="D613">
        <v>2.7</v>
      </c>
      <c r="E613">
        <v>8.1000000000000003E-2</v>
      </c>
      <c r="F613">
        <v>5</v>
      </c>
      <c r="G613">
        <v>16</v>
      </c>
      <c r="H613">
        <v>1.0005999999999999</v>
      </c>
      <c r="I613">
        <v>2.98</v>
      </c>
      <c r="J613">
        <v>0.54</v>
      </c>
      <c r="K613">
        <v>9.4</v>
      </c>
      <c r="L613">
        <v>5</v>
      </c>
      <c r="M613" t="str">
        <f t="shared" si="72"/>
        <v>Medium</v>
      </c>
      <c r="N613">
        <f>(winequality_red[[#This Row],[Updated Quality &amp; Alcohol Analysis]]+winequality_red[[#This Row],[volatile acidity]]+winequality_red[[#This Row],[citric acid]])</f>
        <v>14.13</v>
      </c>
      <c r="O613">
        <f t="shared" si="73"/>
        <v>2.1829787234042556E-2</v>
      </c>
      <c r="S613" t="e">
        <f t="shared" si="74"/>
        <v>#N/A</v>
      </c>
      <c r="T613" t="e">
        <f t="shared" si="75"/>
        <v>#N/A</v>
      </c>
      <c r="U613">
        <f t="shared" si="76"/>
        <v>9.4</v>
      </c>
      <c r="V613">
        <f t="shared" si="77"/>
        <v>5</v>
      </c>
      <c r="W613" t="e">
        <f t="shared" si="78"/>
        <v>#N/A</v>
      </c>
      <c r="X613" t="e">
        <f t="shared" si="79"/>
        <v>#N/A</v>
      </c>
    </row>
    <row r="614" spans="1:24" x14ac:dyDescent="0.3">
      <c r="A614">
        <v>7.5</v>
      </c>
      <c r="B614">
        <v>0.64</v>
      </c>
      <c r="C614">
        <v>0</v>
      </c>
      <c r="D614">
        <v>2.4</v>
      </c>
      <c r="E614">
        <v>7.6999999999999999E-2</v>
      </c>
      <c r="F614">
        <v>18</v>
      </c>
      <c r="G614">
        <v>29</v>
      </c>
      <c r="H614">
        <v>0.99650000000000005</v>
      </c>
      <c r="I614">
        <v>3.32</v>
      </c>
      <c r="J614">
        <v>0.6</v>
      </c>
      <c r="K614">
        <v>10</v>
      </c>
      <c r="L614">
        <v>6</v>
      </c>
      <c r="M614" t="str">
        <f t="shared" si="72"/>
        <v>Medium</v>
      </c>
      <c r="N614">
        <f>(winequality_red[[#This Row],[Updated Quality &amp; Alcohol Analysis]]+winequality_red[[#This Row],[volatile acidity]]+winequality_red[[#This Row],[citric acid]])</f>
        <v>8.14</v>
      </c>
      <c r="O614">
        <f t="shared" si="73"/>
        <v>3.8400000000000004E-2</v>
      </c>
      <c r="S614" t="e">
        <f t="shared" si="74"/>
        <v>#N/A</v>
      </c>
      <c r="T614" t="e">
        <f t="shared" si="75"/>
        <v>#N/A</v>
      </c>
      <c r="U614">
        <f t="shared" si="76"/>
        <v>10</v>
      </c>
      <c r="V614">
        <f t="shared" si="77"/>
        <v>6</v>
      </c>
      <c r="W614" t="e">
        <f t="shared" si="78"/>
        <v>#N/A</v>
      </c>
      <c r="X614" t="e">
        <f t="shared" si="79"/>
        <v>#N/A</v>
      </c>
    </row>
    <row r="615" spans="1:24" x14ac:dyDescent="0.3">
      <c r="A615">
        <v>8.1999999999999993</v>
      </c>
      <c r="B615">
        <v>0.39</v>
      </c>
      <c r="C615">
        <v>0.38</v>
      </c>
      <c r="D615">
        <v>1.5</v>
      </c>
      <c r="E615">
        <v>5.7999999999999996E-2</v>
      </c>
      <c r="F615">
        <v>10</v>
      </c>
      <c r="G615">
        <v>29</v>
      </c>
      <c r="H615">
        <v>0.99619999999999997</v>
      </c>
      <c r="I615">
        <v>3.26</v>
      </c>
      <c r="J615">
        <v>0.74</v>
      </c>
      <c r="K615">
        <v>9.8000000000000007</v>
      </c>
      <c r="L615">
        <v>5</v>
      </c>
      <c r="M615" t="str">
        <f t="shared" si="72"/>
        <v>Medium</v>
      </c>
      <c r="N615">
        <f>(winequality_red[[#This Row],[Updated Quality &amp; Alcohol Analysis]]+winequality_red[[#This Row],[volatile acidity]]+winequality_red[[#This Row],[citric acid]])</f>
        <v>8.9700000000000006</v>
      </c>
      <c r="O615">
        <f t="shared" si="73"/>
        <v>2.9448979591836736E-2</v>
      </c>
      <c r="S615" t="e">
        <f t="shared" si="74"/>
        <v>#N/A</v>
      </c>
      <c r="T615" t="e">
        <f t="shared" si="75"/>
        <v>#N/A</v>
      </c>
      <c r="U615">
        <f t="shared" si="76"/>
        <v>9.8000000000000007</v>
      </c>
      <c r="V615">
        <f t="shared" si="77"/>
        <v>5</v>
      </c>
      <c r="W615" t="e">
        <f t="shared" si="78"/>
        <v>#N/A</v>
      </c>
      <c r="X615" t="e">
        <f t="shared" si="79"/>
        <v>#N/A</v>
      </c>
    </row>
    <row r="616" spans="1:24" x14ac:dyDescent="0.3">
      <c r="A616">
        <v>9.1999999999999993</v>
      </c>
      <c r="B616">
        <v>0.755</v>
      </c>
      <c r="C616">
        <v>0.18</v>
      </c>
      <c r="D616">
        <v>2.2000000000000002</v>
      </c>
      <c r="E616">
        <v>0.14800000000000002</v>
      </c>
      <c r="F616">
        <v>10</v>
      </c>
      <c r="G616">
        <v>103</v>
      </c>
      <c r="H616">
        <v>0.99690000000000001</v>
      </c>
      <c r="I616">
        <v>2.87</v>
      </c>
      <c r="J616">
        <v>1.36</v>
      </c>
      <c r="K616">
        <v>10.199999999999999</v>
      </c>
      <c r="L616">
        <v>6</v>
      </c>
      <c r="M616" t="str">
        <f t="shared" si="72"/>
        <v>Medium</v>
      </c>
      <c r="N616">
        <f>(winequality_red[[#This Row],[Updated Quality &amp; Alcohol Analysis]]+winequality_red[[#This Row],[volatile acidity]]+winequality_red[[#This Row],[citric acid]])</f>
        <v>10.135</v>
      </c>
      <c r="O616">
        <f t="shared" si="73"/>
        <v>0.1006666666666667</v>
      </c>
      <c r="S616" t="e">
        <f t="shared" si="74"/>
        <v>#N/A</v>
      </c>
      <c r="T616" t="e">
        <f t="shared" si="75"/>
        <v>#N/A</v>
      </c>
      <c r="U616">
        <f t="shared" si="76"/>
        <v>10.199999999999999</v>
      </c>
      <c r="V616">
        <f t="shared" si="77"/>
        <v>6</v>
      </c>
      <c r="W616" t="e">
        <f t="shared" si="78"/>
        <v>#N/A</v>
      </c>
      <c r="X616" t="e">
        <f t="shared" si="79"/>
        <v>#N/A</v>
      </c>
    </row>
    <row r="617" spans="1:24" x14ac:dyDescent="0.3">
      <c r="A617">
        <v>9.6</v>
      </c>
      <c r="B617">
        <v>0.6</v>
      </c>
      <c r="C617">
        <v>0.5</v>
      </c>
      <c r="D617">
        <v>2.2999999999999998</v>
      </c>
      <c r="E617">
        <v>7.9000000000000001E-2</v>
      </c>
      <c r="F617">
        <v>28</v>
      </c>
      <c r="G617">
        <v>71</v>
      </c>
      <c r="H617">
        <v>0.99970000000000003</v>
      </c>
      <c r="I617">
        <v>3.5</v>
      </c>
      <c r="J617">
        <v>0.56999999999999995</v>
      </c>
      <c r="K617">
        <v>9.6999999999999993</v>
      </c>
      <c r="L617">
        <v>5</v>
      </c>
      <c r="M617" t="str">
        <f t="shared" si="72"/>
        <v>Medium</v>
      </c>
      <c r="N617">
        <f>(winequality_red[[#This Row],[Updated Quality &amp; Alcohol Analysis]]+winequality_red[[#This Row],[volatile acidity]]+winequality_red[[#This Row],[citric acid]])</f>
        <v>10.7</v>
      </c>
      <c r="O617">
        <f t="shared" si="73"/>
        <v>3.5257731958762889E-2</v>
      </c>
      <c r="S617" t="e">
        <f t="shared" si="74"/>
        <v>#N/A</v>
      </c>
      <c r="T617" t="e">
        <f t="shared" si="75"/>
        <v>#N/A</v>
      </c>
      <c r="U617">
        <f t="shared" si="76"/>
        <v>9.6999999999999993</v>
      </c>
      <c r="V617">
        <f t="shared" si="77"/>
        <v>5</v>
      </c>
      <c r="W617" t="e">
        <f t="shared" si="78"/>
        <v>#N/A</v>
      </c>
      <c r="X617" t="e">
        <f t="shared" si="79"/>
        <v>#N/A</v>
      </c>
    </row>
    <row r="618" spans="1:24" x14ac:dyDescent="0.3">
      <c r="A618">
        <v>9.6</v>
      </c>
      <c r="B618">
        <v>0.6</v>
      </c>
      <c r="C618">
        <v>0.5</v>
      </c>
      <c r="D618">
        <v>2.2999999999999998</v>
      </c>
      <c r="E618">
        <v>7.9000000000000001E-2</v>
      </c>
      <c r="F618">
        <v>28</v>
      </c>
      <c r="G618">
        <v>71</v>
      </c>
      <c r="H618">
        <v>0.99970000000000003</v>
      </c>
      <c r="I618">
        <v>3.5</v>
      </c>
      <c r="J618">
        <v>0.56999999999999995</v>
      </c>
      <c r="K618">
        <v>9.6999999999999993</v>
      </c>
      <c r="L618">
        <v>5</v>
      </c>
      <c r="M618" t="str">
        <f t="shared" si="72"/>
        <v>Medium</v>
      </c>
      <c r="N618">
        <f>(winequality_red[[#This Row],[Updated Quality &amp; Alcohol Analysis]]+winequality_red[[#This Row],[volatile acidity]]+winequality_red[[#This Row],[citric acid]])</f>
        <v>10.7</v>
      </c>
      <c r="O618">
        <f t="shared" si="73"/>
        <v>3.5257731958762889E-2</v>
      </c>
      <c r="S618" t="e">
        <f t="shared" si="74"/>
        <v>#N/A</v>
      </c>
      <c r="T618" t="e">
        <f t="shared" si="75"/>
        <v>#N/A</v>
      </c>
      <c r="U618">
        <f t="shared" si="76"/>
        <v>9.6999999999999993</v>
      </c>
      <c r="V618">
        <f t="shared" si="77"/>
        <v>5</v>
      </c>
      <c r="W618" t="e">
        <f t="shared" si="78"/>
        <v>#N/A</v>
      </c>
      <c r="X618" t="e">
        <f t="shared" si="79"/>
        <v>#N/A</v>
      </c>
    </row>
    <row r="619" spans="1:24" x14ac:dyDescent="0.3">
      <c r="A619">
        <v>11.5</v>
      </c>
      <c r="B619">
        <v>0.31</v>
      </c>
      <c r="C619">
        <v>0.51</v>
      </c>
      <c r="D619">
        <v>2.2000000000000002</v>
      </c>
      <c r="E619">
        <v>7.9000000000000001E-2</v>
      </c>
      <c r="F619">
        <v>14</v>
      </c>
      <c r="G619">
        <v>28</v>
      </c>
      <c r="H619">
        <v>0.99819999999999998</v>
      </c>
      <c r="I619">
        <v>3.03</v>
      </c>
      <c r="J619">
        <v>0.93</v>
      </c>
      <c r="K619">
        <v>9.8000000000000007</v>
      </c>
      <c r="L619">
        <v>6</v>
      </c>
      <c r="M619" t="str">
        <f t="shared" si="72"/>
        <v>Medium</v>
      </c>
      <c r="N619">
        <f>(winequality_red[[#This Row],[Updated Quality &amp; Alcohol Analysis]]+winequality_red[[#This Row],[volatile acidity]]+winequality_red[[#This Row],[citric acid]])</f>
        <v>12.32</v>
      </c>
      <c r="O619">
        <f t="shared" si="73"/>
        <v>2.9418367346938774E-2</v>
      </c>
      <c r="S619" t="e">
        <f t="shared" si="74"/>
        <v>#N/A</v>
      </c>
      <c r="T619" t="e">
        <f t="shared" si="75"/>
        <v>#N/A</v>
      </c>
      <c r="U619">
        <f t="shared" si="76"/>
        <v>9.8000000000000007</v>
      </c>
      <c r="V619">
        <f t="shared" si="77"/>
        <v>6</v>
      </c>
      <c r="W619" t="e">
        <f t="shared" si="78"/>
        <v>#N/A</v>
      </c>
      <c r="X619" t="e">
        <f t="shared" si="79"/>
        <v>#N/A</v>
      </c>
    </row>
    <row r="620" spans="1:24" x14ac:dyDescent="0.3">
      <c r="A620">
        <v>11.4</v>
      </c>
      <c r="B620">
        <v>0.46</v>
      </c>
      <c r="C620">
        <v>0.5</v>
      </c>
      <c r="D620">
        <v>2.7</v>
      </c>
      <c r="E620">
        <v>0.122</v>
      </c>
      <c r="F620">
        <v>4</v>
      </c>
      <c r="G620">
        <v>17</v>
      </c>
      <c r="H620">
        <v>1.0005999999999999</v>
      </c>
      <c r="I620">
        <v>3.13</v>
      </c>
      <c r="J620">
        <v>0.7</v>
      </c>
      <c r="K620">
        <v>10.199999999999999</v>
      </c>
      <c r="L620">
        <v>5</v>
      </c>
      <c r="M620" t="str">
        <f t="shared" si="72"/>
        <v>Medium</v>
      </c>
      <c r="N620">
        <f>(winequality_red[[#This Row],[Updated Quality &amp; Alcohol Analysis]]+winequality_red[[#This Row],[volatile acidity]]+winequality_red[[#This Row],[citric acid]])</f>
        <v>12.360000000000001</v>
      </c>
      <c r="O620">
        <f t="shared" si="73"/>
        <v>3.1568627450980394E-2</v>
      </c>
      <c r="S620" t="e">
        <f t="shared" si="74"/>
        <v>#N/A</v>
      </c>
      <c r="T620" t="e">
        <f t="shared" si="75"/>
        <v>#N/A</v>
      </c>
      <c r="U620">
        <f t="shared" si="76"/>
        <v>10.199999999999999</v>
      </c>
      <c r="V620">
        <f t="shared" si="77"/>
        <v>5</v>
      </c>
      <c r="W620" t="e">
        <f t="shared" si="78"/>
        <v>#N/A</v>
      </c>
      <c r="X620" t="e">
        <f t="shared" si="79"/>
        <v>#N/A</v>
      </c>
    </row>
    <row r="621" spans="1:24" x14ac:dyDescent="0.3">
      <c r="A621">
        <v>11.3</v>
      </c>
      <c r="B621">
        <v>0.37</v>
      </c>
      <c r="C621">
        <v>0.41</v>
      </c>
      <c r="D621">
        <v>2.2999999999999998</v>
      </c>
      <c r="E621">
        <v>8.8000000000000009E-2</v>
      </c>
      <c r="F621">
        <v>6</v>
      </c>
      <c r="G621">
        <v>16</v>
      </c>
      <c r="H621">
        <v>0.99880000000000002</v>
      </c>
      <c r="I621">
        <v>3.09</v>
      </c>
      <c r="J621">
        <v>0.8</v>
      </c>
      <c r="K621">
        <v>9.3000000000000007</v>
      </c>
      <c r="L621">
        <v>5</v>
      </c>
      <c r="M621" t="str">
        <f t="shared" si="72"/>
        <v>Medium</v>
      </c>
      <c r="N621">
        <f>(winequality_red[[#This Row],[Updated Quality &amp; Alcohol Analysis]]+winequality_red[[#This Row],[volatile acidity]]+winequality_red[[#This Row],[citric acid]])</f>
        <v>12.08</v>
      </c>
      <c r="O621">
        <f t="shared" si="73"/>
        <v>3.1827956989247307E-2</v>
      </c>
      <c r="S621" t="e">
        <f t="shared" si="74"/>
        <v>#N/A</v>
      </c>
      <c r="T621" t="e">
        <f t="shared" si="75"/>
        <v>#N/A</v>
      </c>
      <c r="U621">
        <f t="shared" si="76"/>
        <v>9.3000000000000007</v>
      </c>
      <c r="V621">
        <f t="shared" si="77"/>
        <v>5</v>
      </c>
      <c r="W621" t="e">
        <f t="shared" si="78"/>
        <v>#N/A</v>
      </c>
      <c r="X621" t="e">
        <f t="shared" si="79"/>
        <v>#N/A</v>
      </c>
    </row>
    <row r="622" spans="1:24" x14ac:dyDescent="0.3">
      <c r="A622">
        <v>8.3000000000000007</v>
      </c>
      <c r="B622">
        <v>0.54</v>
      </c>
      <c r="C622">
        <v>0.24</v>
      </c>
      <c r="D622">
        <v>3.4</v>
      </c>
      <c r="E622">
        <v>7.5999999999999998E-2</v>
      </c>
      <c r="F622">
        <v>16</v>
      </c>
      <c r="G622">
        <v>112</v>
      </c>
      <c r="H622">
        <v>0.99760000000000004</v>
      </c>
      <c r="I622">
        <v>3.27</v>
      </c>
      <c r="J622">
        <v>0.61</v>
      </c>
      <c r="K622">
        <v>9.4</v>
      </c>
      <c r="L622">
        <v>5</v>
      </c>
      <c r="M622" t="str">
        <f t="shared" si="72"/>
        <v>Medium</v>
      </c>
      <c r="N622">
        <f>(winequality_red[[#This Row],[Updated Quality &amp; Alcohol Analysis]]+winequality_red[[#This Row],[volatile acidity]]+winequality_red[[#This Row],[citric acid]])</f>
        <v>9.08</v>
      </c>
      <c r="O622">
        <f t="shared" si="73"/>
        <v>3.5042553191489363E-2</v>
      </c>
      <c r="S622" t="e">
        <f t="shared" si="74"/>
        <v>#N/A</v>
      </c>
      <c r="T622" t="e">
        <f t="shared" si="75"/>
        <v>#N/A</v>
      </c>
      <c r="U622">
        <f t="shared" si="76"/>
        <v>9.4</v>
      </c>
      <c r="V622">
        <f t="shared" si="77"/>
        <v>5</v>
      </c>
      <c r="W622" t="e">
        <f t="shared" si="78"/>
        <v>#N/A</v>
      </c>
      <c r="X622" t="e">
        <f t="shared" si="79"/>
        <v>#N/A</v>
      </c>
    </row>
    <row r="623" spans="1:24" x14ac:dyDescent="0.3">
      <c r="A623">
        <v>8.1999999999999993</v>
      </c>
      <c r="B623">
        <v>0.56000000000000005</v>
      </c>
      <c r="C623">
        <v>0.23</v>
      </c>
      <c r="D623">
        <v>3.4</v>
      </c>
      <c r="E623">
        <v>7.8E-2</v>
      </c>
      <c r="F623">
        <v>14</v>
      </c>
      <c r="G623">
        <v>104</v>
      </c>
      <c r="H623">
        <v>0.99760000000000004</v>
      </c>
      <c r="I623">
        <v>3.28</v>
      </c>
      <c r="J623">
        <v>0.62</v>
      </c>
      <c r="K623">
        <v>9.4</v>
      </c>
      <c r="L623">
        <v>5</v>
      </c>
      <c r="M623" t="str">
        <f t="shared" si="72"/>
        <v>Medium</v>
      </c>
      <c r="N623">
        <f>(winequality_red[[#This Row],[Updated Quality &amp; Alcohol Analysis]]+winequality_red[[#This Row],[volatile acidity]]+winequality_red[[#This Row],[citric acid]])</f>
        <v>8.99</v>
      </c>
      <c r="O623">
        <f t="shared" si="73"/>
        <v>3.6936170212765955E-2</v>
      </c>
      <c r="S623" t="e">
        <f t="shared" si="74"/>
        <v>#N/A</v>
      </c>
      <c r="T623" t="e">
        <f t="shared" si="75"/>
        <v>#N/A</v>
      </c>
      <c r="U623">
        <f t="shared" si="76"/>
        <v>9.4</v>
      </c>
      <c r="V623">
        <f t="shared" si="77"/>
        <v>5</v>
      </c>
      <c r="W623" t="e">
        <f t="shared" si="78"/>
        <v>#N/A</v>
      </c>
      <c r="X623" t="e">
        <f t="shared" si="79"/>
        <v>#N/A</v>
      </c>
    </row>
    <row r="624" spans="1:24" x14ac:dyDescent="0.3">
      <c r="A624">
        <v>10</v>
      </c>
      <c r="B624">
        <v>0.57999999999999996</v>
      </c>
      <c r="C624">
        <v>0.22</v>
      </c>
      <c r="D624">
        <v>1.9</v>
      </c>
      <c r="E624">
        <v>0.08</v>
      </c>
      <c r="F624">
        <v>9</v>
      </c>
      <c r="G624">
        <v>32</v>
      </c>
      <c r="H624">
        <v>0.99739999999999995</v>
      </c>
      <c r="I624">
        <v>3.13</v>
      </c>
      <c r="J624">
        <v>0.55000000000000004</v>
      </c>
      <c r="K624">
        <v>9.5</v>
      </c>
      <c r="L624">
        <v>5</v>
      </c>
      <c r="M624" t="str">
        <f t="shared" si="72"/>
        <v>Medium</v>
      </c>
      <c r="N624">
        <f>(winequality_red[[#This Row],[Updated Quality &amp; Alcohol Analysis]]+winequality_red[[#This Row],[volatile acidity]]+winequality_red[[#This Row],[citric acid]])</f>
        <v>10.8</v>
      </c>
      <c r="O624">
        <f t="shared" si="73"/>
        <v>3.3578947368421055E-2</v>
      </c>
      <c r="S624" t="e">
        <f t="shared" si="74"/>
        <v>#N/A</v>
      </c>
      <c r="T624" t="e">
        <f t="shared" si="75"/>
        <v>#N/A</v>
      </c>
      <c r="U624">
        <f t="shared" si="76"/>
        <v>9.5</v>
      </c>
      <c r="V624">
        <f t="shared" si="77"/>
        <v>5</v>
      </c>
      <c r="W624" t="e">
        <f t="shared" si="78"/>
        <v>#N/A</v>
      </c>
      <c r="X624" t="e">
        <f t="shared" si="79"/>
        <v>#N/A</v>
      </c>
    </row>
    <row r="625" spans="1:24" x14ac:dyDescent="0.3">
      <c r="A625">
        <v>7.9</v>
      </c>
      <c r="B625">
        <v>0.51</v>
      </c>
      <c r="C625">
        <v>0.25</v>
      </c>
      <c r="D625">
        <v>2.9</v>
      </c>
      <c r="E625">
        <v>7.6999999999999999E-2</v>
      </c>
      <c r="F625">
        <v>21</v>
      </c>
      <c r="G625">
        <v>45</v>
      </c>
      <c r="H625">
        <v>0.99739999999999995</v>
      </c>
      <c r="I625">
        <v>3.49</v>
      </c>
      <c r="J625">
        <v>0.96</v>
      </c>
      <c r="K625">
        <v>12.1</v>
      </c>
      <c r="L625">
        <v>6</v>
      </c>
      <c r="M625" t="str">
        <f t="shared" si="72"/>
        <v>Medium</v>
      </c>
      <c r="N625">
        <f>(winequality_red[[#This Row],[Updated Quality &amp; Alcohol Analysis]]+winequality_red[[#This Row],[volatile acidity]]+winequality_red[[#This Row],[citric acid]])</f>
        <v>8.66</v>
      </c>
      <c r="O625">
        <f t="shared" si="73"/>
        <v>4.0462809917355375E-2</v>
      </c>
      <c r="S625" t="e">
        <f t="shared" si="74"/>
        <v>#N/A</v>
      </c>
      <c r="T625" t="e">
        <f t="shared" si="75"/>
        <v>#N/A</v>
      </c>
      <c r="U625">
        <f t="shared" si="76"/>
        <v>12.1</v>
      </c>
      <c r="V625">
        <f t="shared" si="77"/>
        <v>6</v>
      </c>
      <c r="W625" t="e">
        <f t="shared" si="78"/>
        <v>#N/A</v>
      </c>
      <c r="X625" t="e">
        <f t="shared" si="79"/>
        <v>#N/A</v>
      </c>
    </row>
    <row r="626" spans="1:24" x14ac:dyDescent="0.3">
      <c r="A626">
        <v>6.8</v>
      </c>
      <c r="B626">
        <v>0.69</v>
      </c>
      <c r="C626">
        <v>0</v>
      </c>
      <c r="D626">
        <v>5.6</v>
      </c>
      <c r="E626">
        <v>0.124</v>
      </c>
      <c r="F626">
        <v>21</v>
      </c>
      <c r="G626">
        <v>58</v>
      </c>
      <c r="H626">
        <v>0.99970000000000003</v>
      </c>
      <c r="I626">
        <v>3.46</v>
      </c>
      <c r="J626">
        <v>0.72</v>
      </c>
      <c r="K626">
        <v>10.199999999999999</v>
      </c>
      <c r="L626">
        <v>5</v>
      </c>
      <c r="M626" t="str">
        <f t="shared" si="72"/>
        <v>Medium</v>
      </c>
      <c r="N626">
        <f>(winequality_red[[#This Row],[Updated Quality &amp; Alcohol Analysis]]+winequality_red[[#This Row],[volatile acidity]]+winequality_red[[#This Row],[citric acid]])</f>
        <v>7.49</v>
      </c>
      <c r="O626">
        <f t="shared" si="73"/>
        <v>4.8705882352941175E-2</v>
      </c>
      <c r="S626" t="e">
        <f t="shared" si="74"/>
        <v>#N/A</v>
      </c>
      <c r="T626" t="e">
        <f t="shared" si="75"/>
        <v>#N/A</v>
      </c>
      <c r="U626">
        <f t="shared" si="76"/>
        <v>10.199999999999999</v>
      </c>
      <c r="V626">
        <f t="shared" si="77"/>
        <v>5</v>
      </c>
      <c r="W626" t="e">
        <f t="shared" si="78"/>
        <v>#N/A</v>
      </c>
      <c r="X626" t="e">
        <f t="shared" si="79"/>
        <v>#N/A</v>
      </c>
    </row>
    <row r="627" spans="1:24" x14ac:dyDescent="0.3">
      <c r="A627">
        <v>6.8</v>
      </c>
      <c r="B627">
        <v>0.69</v>
      </c>
      <c r="C627">
        <v>0</v>
      </c>
      <c r="D627">
        <v>5.6</v>
      </c>
      <c r="E627">
        <v>0.124</v>
      </c>
      <c r="F627">
        <v>21</v>
      </c>
      <c r="G627">
        <v>58</v>
      </c>
      <c r="H627">
        <v>0.99970000000000003</v>
      </c>
      <c r="I627">
        <v>3.46</v>
      </c>
      <c r="J627">
        <v>0.72</v>
      </c>
      <c r="K627">
        <v>10.199999999999999</v>
      </c>
      <c r="L627">
        <v>5</v>
      </c>
      <c r="M627" t="str">
        <f t="shared" si="72"/>
        <v>Medium</v>
      </c>
      <c r="N627">
        <f>(winequality_red[[#This Row],[Updated Quality &amp; Alcohol Analysis]]+winequality_red[[#This Row],[volatile acidity]]+winequality_red[[#This Row],[citric acid]])</f>
        <v>7.49</v>
      </c>
      <c r="O627">
        <f t="shared" si="73"/>
        <v>4.8705882352941175E-2</v>
      </c>
      <c r="S627" t="e">
        <f t="shared" si="74"/>
        <v>#N/A</v>
      </c>
      <c r="T627" t="e">
        <f t="shared" si="75"/>
        <v>#N/A</v>
      </c>
      <c r="U627">
        <f t="shared" si="76"/>
        <v>10.199999999999999</v>
      </c>
      <c r="V627">
        <f t="shared" si="77"/>
        <v>5</v>
      </c>
      <c r="W627" t="e">
        <f t="shared" si="78"/>
        <v>#N/A</v>
      </c>
      <c r="X627" t="e">
        <f t="shared" si="79"/>
        <v>#N/A</v>
      </c>
    </row>
    <row r="628" spans="1:24" x14ac:dyDescent="0.3">
      <c r="A628">
        <v>8.8000000000000007</v>
      </c>
      <c r="B628">
        <v>0.6</v>
      </c>
      <c r="C628">
        <v>0.28999999999999998</v>
      </c>
      <c r="D628">
        <v>2.2000000000000002</v>
      </c>
      <c r="E628">
        <v>9.8000000000000004E-2</v>
      </c>
      <c r="F628">
        <v>5</v>
      </c>
      <c r="G628">
        <v>15</v>
      </c>
      <c r="H628">
        <v>0.99880000000000002</v>
      </c>
      <c r="I628">
        <v>3.36</v>
      </c>
      <c r="J628">
        <v>0.49</v>
      </c>
      <c r="K628">
        <v>9.1</v>
      </c>
      <c r="L628">
        <v>5</v>
      </c>
      <c r="M628" t="str">
        <f t="shared" si="72"/>
        <v>Medium</v>
      </c>
      <c r="N628">
        <f>(winequality_red[[#This Row],[Updated Quality &amp; Alcohol Analysis]]+winequality_red[[#This Row],[volatile acidity]]+winequality_red[[#This Row],[citric acid]])</f>
        <v>9.69</v>
      </c>
      <c r="O628">
        <f t="shared" si="73"/>
        <v>3.2307692307692308E-2</v>
      </c>
      <c r="S628" t="e">
        <f t="shared" si="74"/>
        <v>#N/A</v>
      </c>
      <c r="T628" t="e">
        <f t="shared" si="75"/>
        <v>#N/A</v>
      </c>
      <c r="U628">
        <f t="shared" si="76"/>
        <v>9.1</v>
      </c>
      <c r="V628">
        <f t="shared" si="77"/>
        <v>5</v>
      </c>
      <c r="W628" t="e">
        <f t="shared" si="78"/>
        <v>#N/A</v>
      </c>
      <c r="X628" t="e">
        <f t="shared" si="79"/>
        <v>#N/A</v>
      </c>
    </row>
    <row r="629" spans="1:24" x14ac:dyDescent="0.3">
      <c r="A629">
        <v>8.8000000000000007</v>
      </c>
      <c r="B629">
        <v>0.6</v>
      </c>
      <c r="C629">
        <v>0.28999999999999998</v>
      </c>
      <c r="D629">
        <v>2.2000000000000002</v>
      </c>
      <c r="E629">
        <v>9.8000000000000004E-2</v>
      </c>
      <c r="F629">
        <v>5</v>
      </c>
      <c r="G629">
        <v>15</v>
      </c>
      <c r="H629">
        <v>0.99880000000000002</v>
      </c>
      <c r="I629">
        <v>3.36</v>
      </c>
      <c r="J629">
        <v>0.49</v>
      </c>
      <c r="K629">
        <v>9.1</v>
      </c>
      <c r="L629">
        <v>5</v>
      </c>
      <c r="M629" t="str">
        <f t="shared" si="72"/>
        <v>Medium</v>
      </c>
      <c r="N629">
        <f>(winequality_red[[#This Row],[Updated Quality &amp; Alcohol Analysis]]+winequality_red[[#This Row],[volatile acidity]]+winequality_red[[#This Row],[citric acid]])</f>
        <v>9.69</v>
      </c>
      <c r="O629">
        <f t="shared" si="73"/>
        <v>3.2307692307692308E-2</v>
      </c>
      <c r="S629" t="e">
        <f t="shared" si="74"/>
        <v>#N/A</v>
      </c>
      <c r="T629" t="e">
        <f t="shared" si="75"/>
        <v>#N/A</v>
      </c>
      <c r="U629">
        <f t="shared" si="76"/>
        <v>9.1</v>
      </c>
      <c r="V629">
        <f t="shared" si="77"/>
        <v>5</v>
      </c>
      <c r="W629" t="e">
        <f t="shared" si="78"/>
        <v>#N/A</v>
      </c>
      <c r="X629" t="e">
        <f t="shared" si="79"/>
        <v>#N/A</v>
      </c>
    </row>
    <row r="630" spans="1:24" x14ac:dyDescent="0.3">
      <c r="A630">
        <v>8.6999999999999993</v>
      </c>
      <c r="B630">
        <v>0.54</v>
      </c>
      <c r="C630">
        <v>0.26</v>
      </c>
      <c r="D630">
        <v>2.5</v>
      </c>
      <c r="E630">
        <v>9.6999999999999989E-2</v>
      </c>
      <c r="F630">
        <v>7</v>
      </c>
      <c r="G630">
        <v>31</v>
      </c>
      <c r="H630">
        <v>0.99760000000000004</v>
      </c>
      <c r="I630">
        <v>3.27</v>
      </c>
      <c r="J630">
        <v>0.6</v>
      </c>
      <c r="K630">
        <v>9.3000000000000007</v>
      </c>
      <c r="L630">
        <v>6</v>
      </c>
      <c r="M630" t="str">
        <f t="shared" si="72"/>
        <v>Medium</v>
      </c>
      <c r="N630">
        <f>(winequality_red[[#This Row],[Updated Quality &amp; Alcohol Analysis]]+winequality_red[[#This Row],[volatile acidity]]+winequality_red[[#This Row],[citric acid]])</f>
        <v>9.4999999999999982</v>
      </c>
      <c r="O630">
        <f t="shared" si="73"/>
        <v>3.4838709677419352E-2</v>
      </c>
      <c r="S630" t="e">
        <f t="shared" si="74"/>
        <v>#N/A</v>
      </c>
      <c r="T630" t="e">
        <f t="shared" si="75"/>
        <v>#N/A</v>
      </c>
      <c r="U630">
        <f t="shared" si="76"/>
        <v>9.3000000000000007</v>
      </c>
      <c r="V630">
        <f t="shared" si="77"/>
        <v>6</v>
      </c>
      <c r="W630" t="e">
        <f t="shared" si="78"/>
        <v>#N/A</v>
      </c>
      <c r="X630" t="e">
        <f t="shared" si="79"/>
        <v>#N/A</v>
      </c>
    </row>
    <row r="631" spans="1:24" x14ac:dyDescent="0.3">
      <c r="A631">
        <v>7.6</v>
      </c>
      <c r="B631">
        <v>0.68500000000000005</v>
      </c>
      <c r="C631">
        <v>0.23</v>
      </c>
      <c r="D631">
        <v>2.2999999999999998</v>
      </c>
      <c r="E631">
        <v>0.111</v>
      </c>
      <c r="F631">
        <v>20</v>
      </c>
      <c r="G631">
        <v>84</v>
      </c>
      <c r="H631">
        <v>0.99639999999999995</v>
      </c>
      <c r="I631">
        <v>3.21</v>
      </c>
      <c r="J631">
        <v>0.61</v>
      </c>
      <c r="K631">
        <v>9.3000000000000007</v>
      </c>
      <c r="L631">
        <v>5</v>
      </c>
      <c r="M631" t="str">
        <f t="shared" si="72"/>
        <v>Medium</v>
      </c>
      <c r="N631">
        <f>(winequality_red[[#This Row],[Updated Quality &amp; Alcohol Analysis]]+winequality_red[[#This Row],[volatile acidity]]+winequality_red[[#This Row],[citric acid]])</f>
        <v>8.5150000000000006</v>
      </c>
      <c r="O631">
        <f t="shared" si="73"/>
        <v>4.4930107526881716E-2</v>
      </c>
      <c r="S631" t="e">
        <f t="shared" si="74"/>
        <v>#N/A</v>
      </c>
      <c r="T631" t="e">
        <f t="shared" si="75"/>
        <v>#N/A</v>
      </c>
      <c r="U631">
        <f t="shared" si="76"/>
        <v>9.3000000000000007</v>
      </c>
      <c r="V631">
        <f t="shared" si="77"/>
        <v>5</v>
      </c>
      <c r="W631" t="e">
        <f t="shared" si="78"/>
        <v>#N/A</v>
      </c>
      <c r="X631" t="e">
        <f t="shared" si="79"/>
        <v>#N/A</v>
      </c>
    </row>
    <row r="632" spans="1:24" x14ac:dyDescent="0.3">
      <c r="A632">
        <v>8.6999999999999993</v>
      </c>
      <c r="B632">
        <v>0.54</v>
      </c>
      <c r="C632">
        <v>0.26</v>
      </c>
      <c r="D632">
        <v>2.5</v>
      </c>
      <c r="E632">
        <v>9.6999999999999989E-2</v>
      </c>
      <c r="F632">
        <v>7</v>
      </c>
      <c r="G632">
        <v>31</v>
      </c>
      <c r="H632">
        <v>0.99760000000000004</v>
      </c>
      <c r="I632">
        <v>3.27</v>
      </c>
      <c r="J632">
        <v>0.6</v>
      </c>
      <c r="K632">
        <v>9.3000000000000007</v>
      </c>
      <c r="L632">
        <v>6</v>
      </c>
      <c r="M632" t="str">
        <f t="shared" si="72"/>
        <v>Medium</v>
      </c>
      <c r="N632">
        <f>(winequality_red[[#This Row],[Updated Quality &amp; Alcohol Analysis]]+winequality_red[[#This Row],[volatile acidity]]+winequality_red[[#This Row],[citric acid]])</f>
        <v>9.4999999999999982</v>
      </c>
      <c r="O632">
        <f t="shared" si="73"/>
        <v>3.4838709677419352E-2</v>
      </c>
      <c r="S632" t="e">
        <f t="shared" si="74"/>
        <v>#N/A</v>
      </c>
      <c r="T632" t="e">
        <f t="shared" si="75"/>
        <v>#N/A</v>
      </c>
      <c r="U632">
        <f t="shared" si="76"/>
        <v>9.3000000000000007</v>
      </c>
      <c r="V632">
        <f t="shared" si="77"/>
        <v>6</v>
      </c>
      <c r="W632" t="e">
        <f t="shared" si="78"/>
        <v>#N/A</v>
      </c>
      <c r="X632" t="e">
        <f t="shared" si="79"/>
        <v>#N/A</v>
      </c>
    </row>
    <row r="633" spans="1:24" x14ac:dyDescent="0.3">
      <c r="A633">
        <v>10.4</v>
      </c>
      <c r="B633">
        <v>0.28000000000000003</v>
      </c>
      <c r="C633">
        <v>0.54</v>
      </c>
      <c r="D633">
        <v>2.7</v>
      </c>
      <c r="E633">
        <v>0.105</v>
      </c>
      <c r="F633">
        <v>5</v>
      </c>
      <c r="G633">
        <v>19</v>
      </c>
      <c r="H633">
        <v>0.99880000000000002</v>
      </c>
      <c r="I633">
        <v>3.25</v>
      </c>
      <c r="J633">
        <v>0.63</v>
      </c>
      <c r="K633">
        <v>9.5</v>
      </c>
      <c r="L633">
        <v>5</v>
      </c>
      <c r="M633" t="str">
        <f t="shared" si="72"/>
        <v>Medium</v>
      </c>
      <c r="N633">
        <f>(winequality_red[[#This Row],[Updated Quality &amp; Alcohol Analysis]]+winequality_red[[#This Row],[volatile acidity]]+winequality_red[[#This Row],[citric acid]])</f>
        <v>11.219999999999999</v>
      </c>
      <c r="O633">
        <f t="shared" si="73"/>
        <v>1.8568421052631581E-2</v>
      </c>
      <c r="S633" t="e">
        <f t="shared" si="74"/>
        <v>#N/A</v>
      </c>
      <c r="T633" t="e">
        <f t="shared" si="75"/>
        <v>#N/A</v>
      </c>
      <c r="U633">
        <f t="shared" si="76"/>
        <v>9.5</v>
      </c>
      <c r="V633">
        <f t="shared" si="77"/>
        <v>5</v>
      </c>
      <c r="W633" t="e">
        <f t="shared" si="78"/>
        <v>#N/A</v>
      </c>
      <c r="X633" t="e">
        <f t="shared" si="79"/>
        <v>#N/A</v>
      </c>
    </row>
    <row r="634" spans="1:24" x14ac:dyDescent="0.3">
      <c r="A634">
        <v>7.6</v>
      </c>
      <c r="B634">
        <v>0.41</v>
      </c>
      <c r="C634">
        <v>0.14000000000000001</v>
      </c>
      <c r="D634">
        <v>3</v>
      </c>
      <c r="E634">
        <v>8.6999999999999994E-2</v>
      </c>
      <c r="F634">
        <v>21</v>
      </c>
      <c r="G634">
        <v>43</v>
      </c>
      <c r="H634">
        <v>0.99639999999999995</v>
      </c>
      <c r="I634">
        <v>3.32</v>
      </c>
      <c r="J634">
        <v>0.56999999999999995</v>
      </c>
      <c r="K634">
        <v>10.5</v>
      </c>
      <c r="L634">
        <v>6</v>
      </c>
      <c r="M634" t="str">
        <f t="shared" si="72"/>
        <v>Medium</v>
      </c>
      <c r="N634">
        <f>(winequality_red[[#This Row],[Updated Quality &amp; Alcohol Analysis]]+winequality_red[[#This Row],[volatile acidity]]+winequality_red[[#This Row],[citric acid]])</f>
        <v>8.15</v>
      </c>
      <c r="O634">
        <f t="shared" si="73"/>
        <v>2.2257142857142854E-2</v>
      </c>
      <c r="S634" t="e">
        <f t="shared" si="74"/>
        <v>#N/A</v>
      </c>
      <c r="T634" t="e">
        <f t="shared" si="75"/>
        <v>#N/A</v>
      </c>
      <c r="U634">
        <f t="shared" si="76"/>
        <v>10.5</v>
      </c>
      <c r="V634">
        <f t="shared" si="77"/>
        <v>6</v>
      </c>
      <c r="W634" t="e">
        <f t="shared" si="78"/>
        <v>#N/A</v>
      </c>
      <c r="X634" t="e">
        <f t="shared" si="79"/>
        <v>#N/A</v>
      </c>
    </row>
    <row r="635" spans="1:24" x14ac:dyDescent="0.3">
      <c r="A635">
        <v>10.1</v>
      </c>
      <c r="B635">
        <v>0.93500000000000005</v>
      </c>
      <c r="C635">
        <v>0.22</v>
      </c>
      <c r="D635">
        <v>3.4</v>
      </c>
      <c r="E635">
        <v>0.105</v>
      </c>
      <c r="F635">
        <v>11</v>
      </c>
      <c r="G635">
        <v>86</v>
      </c>
      <c r="H635">
        <v>1.0009999999999999</v>
      </c>
      <c r="I635">
        <v>3.43</v>
      </c>
      <c r="J635">
        <v>0.64</v>
      </c>
      <c r="K635">
        <v>11.3</v>
      </c>
      <c r="L635">
        <v>4</v>
      </c>
      <c r="M635" t="str">
        <f t="shared" si="72"/>
        <v>Low</v>
      </c>
      <c r="N635">
        <f>(winequality_red[[#This Row],[Updated Quality &amp; Alcohol Analysis]]+winequality_red[[#This Row],[volatile acidity]]+winequality_red[[#This Row],[citric acid]])</f>
        <v>11.255000000000001</v>
      </c>
      <c r="O635">
        <f t="shared" si="73"/>
        <v>5.2955752212389379E-2</v>
      </c>
      <c r="S635">
        <f t="shared" si="74"/>
        <v>11.3</v>
      </c>
      <c r="T635">
        <f t="shared" si="75"/>
        <v>4</v>
      </c>
      <c r="U635" t="e">
        <f t="shared" si="76"/>
        <v>#N/A</v>
      </c>
      <c r="V635" t="e">
        <f t="shared" si="77"/>
        <v>#N/A</v>
      </c>
      <c r="W635" t="e">
        <f t="shared" si="78"/>
        <v>#N/A</v>
      </c>
      <c r="X635" t="e">
        <f t="shared" si="79"/>
        <v>#N/A</v>
      </c>
    </row>
    <row r="636" spans="1:24" x14ac:dyDescent="0.3">
      <c r="A636">
        <v>7.9</v>
      </c>
      <c r="B636">
        <v>0.35</v>
      </c>
      <c r="C636">
        <v>0.21</v>
      </c>
      <c r="D636">
        <v>1.9</v>
      </c>
      <c r="E636">
        <v>7.2999999999999995E-2</v>
      </c>
      <c r="F636">
        <v>46</v>
      </c>
      <c r="G636">
        <v>102</v>
      </c>
      <c r="H636">
        <v>0.99639999999999995</v>
      </c>
      <c r="I636">
        <v>3.27</v>
      </c>
      <c r="J636">
        <v>0.57999999999999996</v>
      </c>
      <c r="K636">
        <v>9.5</v>
      </c>
      <c r="L636">
        <v>5</v>
      </c>
      <c r="M636" t="str">
        <f t="shared" si="72"/>
        <v>Medium</v>
      </c>
      <c r="N636">
        <f>(winequality_red[[#This Row],[Updated Quality &amp; Alcohol Analysis]]+winequality_red[[#This Row],[volatile acidity]]+winequality_red[[#This Row],[citric acid]])</f>
        <v>8.4600000000000009</v>
      </c>
      <c r="O636">
        <f t="shared" si="73"/>
        <v>2.1368421052631578E-2</v>
      </c>
      <c r="S636" t="e">
        <f t="shared" si="74"/>
        <v>#N/A</v>
      </c>
      <c r="T636" t="e">
        <f t="shared" si="75"/>
        <v>#N/A</v>
      </c>
      <c r="U636">
        <f t="shared" si="76"/>
        <v>9.5</v>
      </c>
      <c r="V636">
        <f t="shared" si="77"/>
        <v>5</v>
      </c>
      <c r="W636" t="e">
        <f t="shared" si="78"/>
        <v>#N/A</v>
      </c>
      <c r="X636" t="e">
        <f t="shared" si="79"/>
        <v>#N/A</v>
      </c>
    </row>
    <row r="637" spans="1:24" x14ac:dyDescent="0.3">
      <c r="A637">
        <v>8.6999999999999993</v>
      </c>
      <c r="B637">
        <v>0.84</v>
      </c>
      <c r="C637">
        <v>0</v>
      </c>
      <c r="D637">
        <v>1.4</v>
      </c>
      <c r="E637">
        <v>6.5000000000000002E-2</v>
      </c>
      <c r="F637">
        <v>24</v>
      </c>
      <c r="G637">
        <v>33</v>
      </c>
      <c r="H637">
        <v>0.99539999999999995</v>
      </c>
      <c r="I637">
        <v>3.27</v>
      </c>
      <c r="J637">
        <v>0.55000000000000004</v>
      </c>
      <c r="K637">
        <v>9.6999999999999993</v>
      </c>
      <c r="L637">
        <v>5</v>
      </c>
      <c r="M637" t="str">
        <f t="shared" si="72"/>
        <v>Medium</v>
      </c>
      <c r="N637">
        <f>(winequality_red[[#This Row],[Updated Quality &amp; Alcohol Analysis]]+winequality_red[[#This Row],[volatile acidity]]+winequality_red[[#This Row],[citric acid]])</f>
        <v>9.5399999999999991</v>
      </c>
      <c r="O637">
        <f t="shared" si="73"/>
        <v>4.762886597938145E-2</v>
      </c>
      <c r="S637" t="e">
        <f t="shared" si="74"/>
        <v>#N/A</v>
      </c>
      <c r="T637" t="e">
        <f t="shared" si="75"/>
        <v>#N/A</v>
      </c>
      <c r="U637">
        <f t="shared" si="76"/>
        <v>9.6999999999999993</v>
      </c>
      <c r="V637">
        <f t="shared" si="77"/>
        <v>5</v>
      </c>
      <c r="W637" t="e">
        <f t="shared" si="78"/>
        <v>#N/A</v>
      </c>
      <c r="X637" t="e">
        <f t="shared" si="79"/>
        <v>#N/A</v>
      </c>
    </row>
    <row r="638" spans="1:24" x14ac:dyDescent="0.3">
      <c r="A638">
        <v>9.6</v>
      </c>
      <c r="B638">
        <v>0.88</v>
      </c>
      <c r="C638">
        <v>0.28000000000000003</v>
      </c>
      <c r="D638">
        <v>2.4</v>
      </c>
      <c r="E638">
        <v>8.5999999999999993E-2</v>
      </c>
      <c r="F638">
        <v>30</v>
      </c>
      <c r="G638">
        <v>147</v>
      </c>
      <c r="H638">
        <v>0.99790000000000001</v>
      </c>
      <c r="I638">
        <v>3.24</v>
      </c>
      <c r="J638">
        <v>0.53</v>
      </c>
      <c r="K638">
        <v>9.4</v>
      </c>
      <c r="L638">
        <v>5</v>
      </c>
      <c r="M638" t="str">
        <f t="shared" si="72"/>
        <v>Medium</v>
      </c>
      <c r="N638">
        <f>(winequality_red[[#This Row],[Updated Quality &amp; Alcohol Analysis]]+winequality_red[[#This Row],[volatile acidity]]+winequality_red[[#This Row],[citric acid]])</f>
        <v>10.76</v>
      </c>
      <c r="O638">
        <f t="shared" si="73"/>
        <v>4.9617021276595744E-2</v>
      </c>
      <c r="S638" t="e">
        <f t="shared" si="74"/>
        <v>#N/A</v>
      </c>
      <c r="T638" t="e">
        <f t="shared" si="75"/>
        <v>#N/A</v>
      </c>
      <c r="U638">
        <f t="shared" si="76"/>
        <v>9.4</v>
      </c>
      <c r="V638">
        <f t="shared" si="77"/>
        <v>5</v>
      </c>
      <c r="W638" t="e">
        <f t="shared" si="78"/>
        <v>#N/A</v>
      </c>
      <c r="X638" t="e">
        <f t="shared" si="79"/>
        <v>#N/A</v>
      </c>
    </row>
    <row r="639" spans="1:24" x14ac:dyDescent="0.3">
      <c r="A639">
        <v>9.5</v>
      </c>
      <c r="B639">
        <v>0.88500000000000001</v>
      </c>
      <c r="C639">
        <v>0.27</v>
      </c>
      <c r="D639">
        <v>2.2999999999999998</v>
      </c>
      <c r="E639">
        <v>8.4000000000000005E-2</v>
      </c>
      <c r="F639">
        <v>31</v>
      </c>
      <c r="G639">
        <v>145</v>
      </c>
      <c r="H639">
        <v>0.99780000000000002</v>
      </c>
      <c r="I639">
        <v>3.24</v>
      </c>
      <c r="J639">
        <v>0.53</v>
      </c>
      <c r="K639">
        <v>9.4</v>
      </c>
      <c r="L639">
        <v>5</v>
      </c>
      <c r="M639" t="str">
        <f t="shared" si="72"/>
        <v>Medium</v>
      </c>
      <c r="N639">
        <f>(winequality_red[[#This Row],[Updated Quality &amp; Alcohol Analysis]]+winequality_red[[#This Row],[volatile acidity]]+winequality_red[[#This Row],[citric acid]])</f>
        <v>10.654999999999999</v>
      </c>
      <c r="O639">
        <f t="shared" si="73"/>
        <v>4.9898936170212765E-2</v>
      </c>
      <c r="S639" t="e">
        <f t="shared" si="74"/>
        <v>#N/A</v>
      </c>
      <c r="T639" t="e">
        <f t="shared" si="75"/>
        <v>#N/A</v>
      </c>
      <c r="U639">
        <f t="shared" si="76"/>
        <v>9.4</v>
      </c>
      <c r="V639">
        <f t="shared" si="77"/>
        <v>5</v>
      </c>
      <c r="W639" t="e">
        <f t="shared" si="78"/>
        <v>#N/A</v>
      </c>
      <c r="X639" t="e">
        <f t="shared" si="79"/>
        <v>#N/A</v>
      </c>
    </row>
    <row r="640" spans="1:24" x14ac:dyDescent="0.3">
      <c r="A640">
        <v>7.7</v>
      </c>
      <c r="B640">
        <v>0.91500000000000004</v>
      </c>
      <c r="C640">
        <v>0.12</v>
      </c>
      <c r="D640">
        <v>2.2000000000000002</v>
      </c>
      <c r="E640">
        <v>0.14300000000000002</v>
      </c>
      <c r="F640">
        <v>7</v>
      </c>
      <c r="G640">
        <v>23</v>
      </c>
      <c r="H640">
        <v>0.99639999999999995</v>
      </c>
      <c r="I640">
        <v>3.35</v>
      </c>
      <c r="J640">
        <v>0.65</v>
      </c>
      <c r="K640">
        <v>10.199999999999999</v>
      </c>
      <c r="L640">
        <v>7</v>
      </c>
      <c r="M640" t="str">
        <f t="shared" si="72"/>
        <v>High</v>
      </c>
      <c r="N640">
        <f>(winequality_red[[#This Row],[Updated Quality &amp; Alcohol Analysis]]+winequality_red[[#This Row],[volatile acidity]]+winequality_red[[#This Row],[citric acid]])</f>
        <v>8.7349999999999994</v>
      </c>
      <c r="O640">
        <f t="shared" si="73"/>
        <v>5.8308823529411767E-2</v>
      </c>
      <c r="S640" t="e">
        <f t="shared" si="74"/>
        <v>#N/A</v>
      </c>
      <c r="T640" t="e">
        <f t="shared" si="75"/>
        <v>#N/A</v>
      </c>
      <c r="U640" t="e">
        <f t="shared" si="76"/>
        <v>#N/A</v>
      </c>
      <c r="V640" t="e">
        <f t="shared" si="77"/>
        <v>#N/A</v>
      </c>
      <c r="W640">
        <f t="shared" si="78"/>
        <v>10.199999999999999</v>
      </c>
      <c r="X640">
        <f t="shared" si="79"/>
        <v>7</v>
      </c>
    </row>
    <row r="641" spans="1:24" x14ac:dyDescent="0.3">
      <c r="A641">
        <v>8.9</v>
      </c>
      <c r="B641">
        <v>0.28999999999999998</v>
      </c>
      <c r="C641">
        <v>0.35</v>
      </c>
      <c r="D641">
        <v>1.9</v>
      </c>
      <c r="E641">
        <v>6.7000000000000004E-2</v>
      </c>
      <c r="F641">
        <v>25</v>
      </c>
      <c r="G641">
        <v>57</v>
      </c>
      <c r="H641">
        <v>0.997</v>
      </c>
      <c r="I641">
        <v>3.18</v>
      </c>
      <c r="J641">
        <v>1.36</v>
      </c>
      <c r="K641">
        <v>10.3</v>
      </c>
      <c r="L641">
        <v>6</v>
      </c>
      <c r="M641" t="str">
        <f t="shared" si="72"/>
        <v>Medium</v>
      </c>
      <c r="N641">
        <f>(winequality_red[[#This Row],[Updated Quality &amp; Alcohol Analysis]]+winequality_red[[#This Row],[volatile acidity]]+winequality_red[[#This Row],[citric acid]])</f>
        <v>9.5399999999999991</v>
      </c>
      <c r="O641">
        <f t="shared" si="73"/>
        <v>3.8291262135922328E-2</v>
      </c>
      <c r="S641" t="e">
        <f t="shared" si="74"/>
        <v>#N/A</v>
      </c>
      <c r="T641" t="e">
        <f t="shared" si="75"/>
        <v>#N/A</v>
      </c>
      <c r="U641">
        <f t="shared" si="76"/>
        <v>10.3</v>
      </c>
      <c r="V641">
        <f t="shared" si="77"/>
        <v>6</v>
      </c>
      <c r="W641" t="e">
        <f t="shared" si="78"/>
        <v>#N/A</v>
      </c>
      <c r="X641" t="e">
        <f t="shared" si="79"/>
        <v>#N/A</v>
      </c>
    </row>
    <row r="642" spans="1:24" x14ac:dyDescent="0.3">
      <c r="A642">
        <v>9.9</v>
      </c>
      <c r="B642">
        <v>0.54</v>
      </c>
      <c r="C642">
        <v>0.45</v>
      </c>
      <c r="D642">
        <v>2.2999999999999998</v>
      </c>
      <c r="E642">
        <v>7.0999999999999994E-2</v>
      </c>
      <c r="F642">
        <v>16</v>
      </c>
      <c r="G642">
        <v>40</v>
      </c>
      <c r="H642">
        <v>0.99909999999999999</v>
      </c>
      <c r="I642">
        <v>3.39</v>
      </c>
      <c r="J642">
        <v>0.62</v>
      </c>
      <c r="K642">
        <v>9.4</v>
      </c>
      <c r="L642">
        <v>5</v>
      </c>
      <c r="M642" t="str">
        <f t="shared" ref="M642:M705" si="80">IF($L642&gt;=7,"High",IF($L642&gt;=5,"Medium","Low"))</f>
        <v>Medium</v>
      </c>
      <c r="N642">
        <f>(winequality_red[[#This Row],[Updated Quality &amp; Alcohol Analysis]]+winequality_red[[#This Row],[volatile acidity]]+winequality_red[[#This Row],[citric acid]])</f>
        <v>10.89</v>
      </c>
      <c r="O642">
        <f t="shared" ref="O642:O705" si="81">($B642*$J642)/$K642</f>
        <v>3.5617021276595745E-2</v>
      </c>
      <c r="S642" t="e">
        <f t="shared" si="74"/>
        <v>#N/A</v>
      </c>
      <c r="T642" t="e">
        <f t="shared" si="75"/>
        <v>#N/A</v>
      </c>
      <c r="U642">
        <f t="shared" si="76"/>
        <v>9.4</v>
      </c>
      <c r="V642">
        <f t="shared" si="77"/>
        <v>5</v>
      </c>
      <c r="W642" t="e">
        <f t="shared" si="78"/>
        <v>#N/A</v>
      </c>
      <c r="X642" t="e">
        <f t="shared" si="79"/>
        <v>#N/A</v>
      </c>
    </row>
    <row r="643" spans="1:24" x14ac:dyDescent="0.3">
      <c r="A643">
        <v>9.5</v>
      </c>
      <c r="B643">
        <v>0.59</v>
      </c>
      <c r="C643">
        <v>0.44</v>
      </c>
      <c r="D643">
        <v>2.2999999999999998</v>
      </c>
      <c r="E643">
        <v>7.0999999999999994E-2</v>
      </c>
      <c r="F643">
        <v>21</v>
      </c>
      <c r="G643">
        <v>68</v>
      </c>
      <c r="H643">
        <v>0.99919999999999998</v>
      </c>
      <c r="I643">
        <v>3.46</v>
      </c>
      <c r="J643">
        <v>0.63</v>
      </c>
      <c r="K643">
        <v>9.5</v>
      </c>
      <c r="L643">
        <v>5</v>
      </c>
      <c r="M643" t="str">
        <f t="shared" si="80"/>
        <v>Medium</v>
      </c>
      <c r="N643">
        <f>(winequality_red[[#This Row],[Updated Quality &amp; Alcohol Analysis]]+winequality_red[[#This Row],[volatile acidity]]+winequality_red[[#This Row],[citric acid]])</f>
        <v>10.53</v>
      </c>
      <c r="O643">
        <f t="shared" si="81"/>
        <v>3.9126315789473683E-2</v>
      </c>
      <c r="S643" t="e">
        <f t="shared" ref="S643:S706" si="82">IF($M643="Low",$K643,NA())</f>
        <v>#N/A</v>
      </c>
      <c r="T643" t="e">
        <f t="shared" ref="T643:T706" si="83">IF($M643="Low",$L643,NA())</f>
        <v>#N/A</v>
      </c>
      <c r="U643">
        <f t="shared" ref="U643:U706" si="84">IF($M643="Medium",$K643,NA())</f>
        <v>9.5</v>
      </c>
      <c r="V643">
        <f t="shared" ref="V643:V706" si="85">IF($M643="Medium",$L643,NA())</f>
        <v>5</v>
      </c>
      <c r="W643" t="e">
        <f t="shared" ref="W643:W706" si="86">IF($M643="High",$K643,NA())</f>
        <v>#N/A</v>
      </c>
      <c r="X643" t="e">
        <f t="shared" ref="X643:X706" si="87">IF($M643="High",$L643,NA())</f>
        <v>#N/A</v>
      </c>
    </row>
    <row r="644" spans="1:24" x14ac:dyDescent="0.3">
      <c r="A644">
        <v>9.9</v>
      </c>
      <c r="B644">
        <v>0.54</v>
      </c>
      <c r="C644">
        <v>0.45</v>
      </c>
      <c r="D644">
        <v>2.2999999999999998</v>
      </c>
      <c r="E644">
        <v>7.0999999999999994E-2</v>
      </c>
      <c r="F644">
        <v>16</v>
      </c>
      <c r="G644">
        <v>40</v>
      </c>
      <c r="H644">
        <v>0.99909999999999999</v>
      </c>
      <c r="I644">
        <v>3.39</v>
      </c>
      <c r="J644">
        <v>0.62</v>
      </c>
      <c r="K644">
        <v>9.4</v>
      </c>
      <c r="L644">
        <v>5</v>
      </c>
      <c r="M644" t="str">
        <f t="shared" si="80"/>
        <v>Medium</v>
      </c>
      <c r="N644">
        <f>(winequality_red[[#This Row],[Updated Quality &amp; Alcohol Analysis]]+winequality_red[[#This Row],[volatile acidity]]+winequality_red[[#This Row],[citric acid]])</f>
        <v>10.89</v>
      </c>
      <c r="O644">
        <f t="shared" si="81"/>
        <v>3.5617021276595745E-2</v>
      </c>
      <c r="S644" t="e">
        <f t="shared" si="82"/>
        <v>#N/A</v>
      </c>
      <c r="T644" t="e">
        <f t="shared" si="83"/>
        <v>#N/A</v>
      </c>
      <c r="U644">
        <f t="shared" si="84"/>
        <v>9.4</v>
      </c>
      <c r="V644">
        <f t="shared" si="85"/>
        <v>5</v>
      </c>
      <c r="W644" t="e">
        <f t="shared" si="86"/>
        <v>#N/A</v>
      </c>
      <c r="X644" t="e">
        <f t="shared" si="87"/>
        <v>#N/A</v>
      </c>
    </row>
    <row r="645" spans="1:24" x14ac:dyDescent="0.3">
      <c r="A645">
        <v>9.5</v>
      </c>
      <c r="B645">
        <v>0.59</v>
      </c>
      <c r="C645">
        <v>0.44</v>
      </c>
      <c r="D645">
        <v>2.2999999999999998</v>
      </c>
      <c r="E645">
        <v>7.0999999999999994E-2</v>
      </c>
      <c r="F645">
        <v>21</v>
      </c>
      <c r="G645">
        <v>68</v>
      </c>
      <c r="H645">
        <v>0.99919999999999998</v>
      </c>
      <c r="I645">
        <v>3.46</v>
      </c>
      <c r="J645">
        <v>0.63</v>
      </c>
      <c r="K645">
        <v>9.5</v>
      </c>
      <c r="L645">
        <v>5</v>
      </c>
      <c r="M645" t="str">
        <f t="shared" si="80"/>
        <v>Medium</v>
      </c>
      <c r="N645">
        <f>(winequality_red[[#This Row],[Updated Quality &amp; Alcohol Analysis]]+winequality_red[[#This Row],[volatile acidity]]+winequality_red[[#This Row],[citric acid]])</f>
        <v>10.53</v>
      </c>
      <c r="O645">
        <f t="shared" si="81"/>
        <v>3.9126315789473683E-2</v>
      </c>
      <c r="S645" t="e">
        <f t="shared" si="82"/>
        <v>#N/A</v>
      </c>
      <c r="T645" t="e">
        <f t="shared" si="83"/>
        <v>#N/A</v>
      </c>
      <c r="U645">
        <f t="shared" si="84"/>
        <v>9.5</v>
      </c>
      <c r="V645">
        <f t="shared" si="85"/>
        <v>5</v>
      </c>
      <c r="W645" t="e">
        <f t="shared" si="86"/>
        <v>#N/A</v>
      </c>
      <c r="X645" t="e">
        <f t="shared" si="87"/>
        <v>#N/A</v>
      </c>
    </row>
    <row r="646" spans="1:24" x14ac:dyDescent="0.3">
      <c r="A646">
        <v>9.9</v>
      </c>
      <c r="B646">
        <v>0.54</v>
      </c>
      <c r="C646">
        <v>0.45</v>
      </c>
      <c r="D646">
        <v>2.2999999999999998</v>
      </c>
      <c r="E646">
        <v>7.0999999999999994E-2</v>
      </c>
      <c r="F646">
        <v>16</v>
      </c>
      <c r="G646">
        <v>40</v>
      </c>
      <c r="H646">
        <v>0.99909999999999999</v>
      </c>
      <c r="I646">
        <v>3.39</v>
      </c>
      <c r="J646">
        <v>0.62</v>
      </c>
      <c r="K646">
        <v>9.4</v>
      </c>
      <c r="L646">
        <v>5</v>
      </c>
      <c r="M646" t="str">
        <f t="shared" si="80"/>
        <v>Medium</v>
      </c>
      <c r="N646">
        <f>(winequality_red[[#This Row],[Updated Quality &amp; Alcohol Analysis]]+winequality_red[[#This Row],[volatile acidity]]+winequality_red[[#This Row],[citric acid]])</f>
        <v>10.89</v>
      </c>
      <c r="O646">
        <f t="shared" si="81"/>
        <v>3.5617021276595745E-2</v>
      </c>
      <c r="S646" t="e">
        <f t="shared" si="82"/>
        <v>#N/A</v>
      </c>
      <c r="T646" t="e">
        <f t="shared" si="83"/>
        <v>#N/A</v>
      </c>
      <c r="U646">
        <f t="shared" si="84"/>
        <v>9.4</v>
      </c>
      <c r="V646">
        <f t="shared" si="85"/>
        <v>5</v>
      </c>
      <c r="W646" t="e">
        <f t="shared" si="86"/>
        <v>#N/A</v>
      </c>
      <c r="X646" t="e">
        <f t="shared" si="87"/>
        <v>#N/A</v>
      </c>
    </row>
    <row r="647" spans="1:24" x14ac:dyDescent="0.3">
      <c r="A647">
        <v>7.8</v>
      </c>
      <c r="B647">
        <v>0.64</v>
      </c>
      <c r="C647">
        <v>0.1</v>
      </c>
      <c r="D647">
        <v>6</v>
      </c>
      <c r="E647">
        <v>0.115</v>
      </c>
      <c r="F647">
        <v>5</v>
      </c>
      <c r="G647">
        <v>11</v>
      </c>
      <c r="H647">
        <v>0.99839999999999995</v>
      </c>
      <c r="I647">
        <v>3.37</v>
      </c>
      <c r="J647">
        <v>0.69</v>
      </c>
      <c r="K647">
        <v>10.1</v>
      </c>
      <c r="L647">
        <v>7</v>
      </c>
      <c r="M647" t="str">
        <f t="shared" si="80"/>
        <v>High</v>
      </c>
      <c r="N647">
        <f>(winequality_red[[#This Row],[Updated Quality &amp; Alcohol Analysis]]+winequality_red[[#This Row],[volatile acidity]]+winequality_red[[#This Row],[citric acid]])</f>
        <v>8.5399999999999991</v>
      </c>
      <c r="O647">
        <f t="shared" si="81"/>
        <v>4.3722772277227727E-2</v>
      </c>
      <c r="S647" t="e">
        <f t="shared" si="82"/>
        <v>#N/A</v>
      </c>
      <c r="T647" t="e">
        <f t="shared" si="83"/>
        <v>#N/A</v>
      </c>
      <c r="U647" t="e">
        <f t="shared" si="84"/>
        <v>#N/A</v>
      </c>
      <c r="V647" t="e">
        <f t="shared" si="85"/>
        <v>#N/A</v>
      </c>
      <c r="W647">
        <f t="shared" si="86"/>
        <v>10.1</v>
      </c>
      <c r="X647">
        <f t="shared" si="87"/>
        <v>7</v>
      </c>
    </row>
    <row r="648" spans="1:24" x14ac:dyDescent="0.3">
      <c r="A648">
        <v>7.3</v>
      </c>
      <c r="B648">
        <v>0.67</v>
      </c>
      <c r="C648">
        <v>0.05</v>
      </c>
      <c r="D648">
        <v>3.6</v>
      </c>
      <c r="E648">
        <v>0.107</v>
      </c>
      <c r="F648">
        <v>6</v>
      </c>
      <c r="G648">
        <v>20</v>
      </c>
      <c r="H648">
        <v>0.99719999999999998</v>
      </c>
      <c r="I648">
        <v>3.4</v>
      </c>
      <c r="J648">
        <v>0.63</v>
      </c>
      <c r="K648">
        <v>10.1</v>
      </c>
      <c r="L648">
        <v>5</v>
      </c>
      <c r="M648" t="str">
        <f t="shared" si="80"/>
        <v>Medium</v>
      </c>
      <c r="N648">
        <f>(winequality_red[[#This Row],[Updated Quality &amp; Alcohol Analysis]]+winequality_red[[#This Row],[volatile acidity]]+winequality_red[[#This Row],[citric acid]])</f>
        <v>8.02</v>
      </c>
      <c r="O648">
        <f t="shared" si="81"/>
        <v>4.1792079207920795E-2</v>
      </c>
      <c r="S648" t="e">
        <f t="shared" si="82"/>
        <v>#N/A</v>
      </c>
      <c r="T648" t="e">
        <f t="shared" si="83"/>
        <v>#N/A</v>
      </c>
      <c r="U648">
        <f t="shared" si="84"/>
        <v>10.1</v>
      </c>
      <c r="V648">
        <f t="shared" si="85"/>
        <v>5</v>
      </c>
      <c r="W648" t="e">
        <f t="shared" si="86"/>
        <v>#N/A</v>
      </c>
      <c r="X648" t="e">
        <f t="shared" si="87"/>
        <v>#N/A</v>
      </c>
    </row>
    <row r="649" spans="1:24" x14ac:dyDescent="0.3">
      <c r="A649">
        <v>8.3000000000000007</v>
      </c>
      <c r="B649">
        <v>0.84499999999999997</v>
      </c>
      <c r="C649">
        <v>0.01</v>
      </c>
      <c r="D649">
        <v>2.2000000000000002</v>
      </c>
      <c r="E649">
        <v>7.0000000000000007E-2</v>
      </c>
      <c r="F649">
        <v>5</v>
      </c>
      <c r="G649">
        <v>14</v>
      </c>
      <c r="H649">
        <v>0.99670000000000003</v>
      </c>
      <c r="I649">
        <v>3.32</v>
      </c>
      <c r="J649">
        <v>0.57999999999999996</v>
      </c>
      <c r="K649">
        <v>11</v>
      </c>
      <c r="L649">
        <v>4</v>
      </c>
      <c r="M649" t="str">
        <f t="shared" si="80"/>
        <v>Low</v>
      </c>
      <c r="N649">
        <f>(winequality_red[[#This Row],[Updated Quality &amp; Alcohol Analysis]]+winequality_red[[#This Row],[volatile acidity]]+winequality_red[[#This Row],[citric acid]])</f>
        <v>9.1550000000000011</v>
      </c>
      <c r="O649">
        <f t="shared" si="81"/>
        <v>4.4554545454545451E-2</v>
      </c>
      <c r="S649">
        <f t="shared" si="82"/>
        <v>11</v>
      </c>
      <c r="T649">
        <f t="shared" si="83"/>
        <v>4</v>
      </c>
      <c r="U649" t="e">
        <f t="shared" si="84"/>
        <v>#N/A</v>
      </c>
      <c r="V649" t="e">
        <f t="shared" si="85"/>
        <v>#N/A</v>
      </c>
      <c r="W649" t="e">
        <f t="shared" si="86"/>
        <v>#N/A</v>
      </c>
      <c r="X649" t="e">
        <f t="shared" si="87"/>
        <v>#N/A</v>
      </c>
    </row>
    <row r="650" spans="1:24" x14ac:dyDescent="0.3">
      <c r="A650">
        <v>8.6999999999999993</v>
      </c>
      <c r="B650">
        <v>0.48</v>
      </c>
      <c r="C650">
        <v>0.3</v>
      </c>
      <c r="D650">
        <v>2.8</v>
      </c>
      <c r="E650">
        <v>6.6000000000000003E-2</v>
      </c>
      <c r="F650">
        <v>10</v>
      </c>
      <c r="G650">
        <v>28</v>
      </c>
      <c r="H650">
        <v>0.99639999999999995</v>
      </c>
      <c r="I650">
        <v>3.33</v>
      </c>
      <c r="J650">
        <v>0.67</v>
      </c>
      <c r="K650">
        <v>11.2</v>
      </c>
      <c r="L650">
        <v>7</v>
      </c>
      <c r="M650" t="str">
        <f t="shared" si="80"/>
        <v>High</v>
      </c>
      <c r="N650">
        <f>(winequality_red[[#This Row],[Updated Quality &amp; Alcohol Analysis]]+winequality_red[[#This Row],[volatile acidity]]+winequality_red[[#This Row],[citric acid]])</f>
        <v>9.48</v>
      </c>
      <c r="O650">
        <f t="shared" si="81"/>
        <v>2.8714285714285716E-2</v>
      </c>
      <c r="S650" t="e">
        <f t="shared" si="82"/>
        <v>#N/A</v>
      </c>
      <c r="T650" t="e">
        <f t="shared" si="83"/>
        <v>#N/A</v>
      </c>
      <c r="U650" t="e">
        <f t="shared" si="84"/>
        <v>#N/A</v>
      </c>
      <c r="V650" t="e">
        <f t="shared" si="85"/>
        <v>#N/A</v>
      </c>
      <c r="W650">
        <f t="shared" si="86"/>
        <v>11.2</v>
      </c>
      <c r="X650">
        <f t="shared" si="87"/>
        <v>7</v>
      </c>
    </row>
    <row r="651" spans="1:24" x14ac:dyDescent="0.3">
      <c r="A651">
        <v>6.7</v>
      </c>
      <c r="B651">
        <v>0.42</v>
      </c>
      <c r="C651">
        <v>0.27</v>
      </c>
      <c r="D651">
        <v>8.6</v>
      </c>
      <c r="E651">
        <v>6.8000000000000005E-2</v>
      </c>
      <c r="F651">
        <v>24</v>
      </c>
      <c r="G651">
        <v>148</v>
      </c>
      <c r="H651">
        <v>0.99480000000000002</v>
      </c>
      <c r="I651">
        <v>3.16</v>
      </c>
      <c r="J651">
        <v>0.56999999999999995</v>
      </c>
      <c r="K651">
        <v>11.3</v>
      </c>
      <c r="L651">
        <v>6</v>
      </c>
      <c r="M651" t="str">
        <f t="shared" si="80"/>
        <v>Medium</v>
      </c>
      <c r="N651">
        <f>(winequality_red[[#This Row],[Updated Quality &amp; Alcohol Analysis]]+winequality_red[[#This Row],[volatile acidity]]+winequality_red[[#This Row],[citric acid]])</f>
        <v>7.3900000000000006</v>
      </c>
      <c r="O651">
        <f t="shared" si="81"/>
        <v>2.1185840707964598E-2</v>
      </c>
      <c r="S651" t="e">
        <f t="shared" si="82"/>
        <v>#N/A</v>
      </c>
      <c r="T651" t="e">
        <f t="shared" si="83"/>
        <v>#N/A</v>
      </c>
      <c r="U651">
        <f t="shared" si="84"/>
        <v>11.3</v>
      </c>
      <c r="V651">
        <f t="shared" si="85"/>
        <v>6</v>
      </c>
      <c r="W651" t="e">
        <f t="shared" si="86"/>
        <v>#N/A</v>
      </c>
      <c r="X651" t="e">
        <f t="shared" si="87"/>
        <v>#N/A</v>
      </c>
    </row>
    <row r="652" spans="1:24" x14ac:dyDescent="0.3">
      <c r="A652">
        <v>10.7</v>
      </c>
      <c r="B652">
        <v>0.43</v>
      </c>
      <c r="C652">
        <v>0.39</v>
      </c>
      <c r="D652">
        <v>2.2000000000000002</v>
      </c>
      <c r="E652">
        <v>0.106</v>
      </c>
      <c r="F652">
        <v>8</v>
      </c>
      <c r="G652">
        <v>32</v>
      </c>
      <c r="H652">
        <v>0.99860000000000004</v>
      </c>
      <c r="I652">
        <v>2.89</v>
      </c>
      <c r="J652">
        <v>0.5</v>
      </c>
      <c r="K652">
        <v>9.6</v>
      </c>
      <c r="L652">
        <v>5</v>
      </c>
      <c r="M652" t="str">
        <f t="shared" si="80"/>
        <v>Medium</v>
      </c>
      <c r="N652">
        <f>(winequality_red[[#This Row],[Updated Quality &amp; Alcohol Analysis]]+winequality_red[[#This Row],[volatile acidity]]+winequality_red[[#This Row],[citric acid]])</f>
        <v>11.52</v>
      </c>
      <c r="O652">
        <f t="shared" si="81"/>
        <v>2.2395833333333334E-2</v>
      </c>
      <c r="S652" t="e">
        <f t="shared" si="82"/>
        <v>#N/A</v>
      </c>
      <c r="T652" t="e">
        <f t="shared" si="83"/>
        <v>#N/A</v>
      </c>
      <c r="U652">
        <f t="shared" si="84"/>
        <v>9.6</v>
      </c>
      <c r="V652">
        <f t="shared" si="85"/>
        <v>5</v>
      </c>
      <c r="W652" t="e">
        <f t="shared" si="86"/>
        <v>#N/A</v>
      </c>
      <c r="X652" t="e">
        <f t="shared" si="87"/>
        <v>#N/A</v>
      </c>
    </row>
    <row r="653" spans="1:24" x14ac:dyDescent="0.3">
      <c r="A653">
        <v>9.8000000000000007</v>
      </c>
      <c r="B653">
        <v>0.88</v>
      </c>
      <c r="C653">
        <v>0.25</v>
      </c>
      <c r="D653">
        <v>2.5</v>
      </c>
      <c r="E653">
        <v>0.10400000000000001</v>
      </c>
      <c r="F653">
        <v>35</v>
      </c>
      <c r="G653">
        <v>155</v>
      </c>
      <c r="H653">
        <v>1.0009999999999999</v>
      </c>
      <c r="I653">
        <v>3.41</v>
      </c>
      <c r="J653">
        <v>0.67</v>
      </c>
      <c r="K653">
        <v>11.2</v>
      </c>
      <c r="L653">
        <v>5</v>
      </c>
      <c r="M653" t="str">
        <f t="shared" si="80"/>
        <v>Medium</v>
      </c>
      <c r="N653">
        <f>(winequality_red[[#This Row],[Updated Quality &amp; Alcohol Analysis]]+winequality_red[[#This Row],[volatile acidity]]+winequality_red[[#This Row],[citric acid]])</f>
        <v>10.930000000000001</v>
      </c>
      <c r="O653">
        <f t="shared" si="81"/>
        <v>5.2642857142857144E-2</v>
      </c>
      <c r="S653" t="e">
        <f t="shared" si="82"/>
        <v>#N/A</v>
      </c>
      <c r="T653" t="e">
        <f t="shared" si="83"/>
        <v>#N/A</v>
      </c>
      <c r="U653">
        <f t="shared" si="84"/>
        <v>11.2</v>
      </c>
      <c r="V653">
        <f t="shared" si="85"/>
        <v>5</v>
      </c>
      <c r="W653" t="e">
        <f t="shared" si="86"/>
        <v>#N/A</v>
      </c>
      <c r="X653" t="e">
        <f t="shared" si="87"/>
        <v>#N/A</v>
      </c>
    </row>
    <row r="654" spans="1:24" x14ac:dyDescent="0.3">
      <c r="A654">
        <v>15.9</v>
      </c>
      <c r="B654">
        <v>0.36</v>
      </c>
      <c r="C654">
        <v>0.65</v>
      </c>
      <c r="D654">
        <v>7.5</v>
      </c>
      <c r="E654">
        <v>9.6000000000000002E-2</v>
      </c>
      <c r="F654">
        <v>22</v>
      </c>
      <c r="G654">
        <v>71</v>
      </c>
      <c r="H654">
        <v>0.99760000000000004</v>
      </c>
      <c r="I654">
        <v>2.98</v>
      </c>
      <c r="J654">
        <v>0.84</v>
      </c>
      <c r="K654">
        <v>14.9</v>
      </c>
      <c r="L654">
        <v>5</v>
      </c>
      <c r="M654" t="str">
        <f t="shared" si="80"/>
        <v>Medium</v>
      </c>
      <c r="N654">
        <f>(winequality_red[[#This Row],[Updated Quality &amp; Alcohol Analysis]]+winequality_red[[#This Row],[volatile acidity]]+winequality_red[[#This Row],[citric acid]])</f>
        <v>16.91</v>
      </c>
      <c r="O654">
        <f t="shared" si="81"/>
        <v>2.029530201342282E-2</v>
      </c>
      <c r="S654" t="e">
        <f t="shared" si="82"/>
        <v>#N/A</v>
      </c>
      <c r="T654" t="e">
        <f t="shared" si="83"/>
        <v>#N/A</v>
      </c>
      <c r="U654">
        <f t="shared" si="84"/>
        <v>14.9</v>
      </c>
      <c r="V654">
        <f t="shared" si="85"/>
        <v>5</v>
      </c>
      <c r="W654" t="e">
        <f t="shared" si="86"/>
        <v>#N/A</v>
      </c>
      <c r="X654" t="e">
        <f t="shared" si="87"/>
        <v>#N/A</v>
      </c>
    </row>
    <row r="655" spans="1:24" x14ac:dyDescent="0.3">
      <c r="A655">
        <v>9.4</v>
      </c>
      <c r="B655">
        <v>0.33</v>
      </c>
      <c r="C655">
        <v>0.59</v>
      </c>
      <c r="D655">
        <v>2.8</v>
      </c>
      <c r="E655">
        <v>7.9000000000000001E-2</v>
      </c>
      <c r="F655">
        <v>9</v>
      </c>
      <c r="G655">
        <v>30</v>
      </c>
      <c r="H655">
        <v>0.99760000000000004</v>
      </c>
      <c r="I655">
        <v>3.12</v>
      </c>
      <c r="J655">
        <v>0.54</v>
      </c>
      <c r="K655">
        <v>12</v>
      </c>
      <c r="L655">
        <v>6</v>
      </c>
      <c r="M655" t="str">
        <f t="shared" si="80"/>
        <v>Medium</v>
      </c>
      <c r="N655">
        <f>(winequality_red[[#This Row],[Updated Quality &amp; Alcohol Analysis]]+winequality_red[[#This Row],[volatile acidity]]+winequality_red[[#This Row],[citric acid]])</f>
        <v>10.32</v>
      </c>
      <c r="O655">
        <f t="shared" si="81"/>
        <v>1.4850000000000002E-2</v>
      </c>
      <c r="S655" t="e">
        <f t="shared" si="82"/>
        <v>#N/A</v>
      </c>
      <c r="T655" t="e">
        <f t="shared" si="83"/>
        <v>#N/A</v>
      </c>
      <c r="U655">
        <f t="shared" si="84"/>
        <v>12</v>
      </c>
      <c r="V655">
        <f t="shared" si="85"/>
        <v>6</v>
      </c>
      <c r="W655" t="e">
        <f t="shared" si="86"/>
        <v>#N/A</v>
      </c>
      <c r="X655" t="e">
        <f t="shared" si="87"/>
        <v>#N/A</v>
      </c>
    </row>
    <row r="656" spans="1:24" x14ac:dyDescent="0.3">
      <c r="A656">
        <v>8.6</v>
      </c>
      <c r="B656">
        <v>0.47</v>
      </c>
      <c r="C656">
        <v>0.47</v>
      </c>
      <c r="D656">
        <v>2.4</v>
      </c>
      <c r="E656">
        <v>7.400000000000001E-2</v>
      </c>
      <c r="F656">
        <v>7</v>
      </c>
      <c r="G656">
        <v>29</v>
      </c>
      <c r="H656">
        <v>0.99790000000000001</v>
      </c>
      <c r="I656">
        <v>3.08</v>
      </c>
      <c r="J656">
        <v>0.46</v>
      </c>
      <c r="K656">
        <v>9.5</v>
      </c>
      <c r="L656">
        <v>5</v>
      </c>
      <c r="M656" t="str">
        <f t="shared" si="80"/>
        <v>Medium</v>
      </c>
      <c r="N656">
        <f>(winequality_red[[#This Row],[Updated Quality &amp; Alcohol Analysis]]+winequality_red[[#This Row],[volatile acidity]]+winequality_red[[#This Row],[citric acid]])</f>
        <v>9.5400000000000009</v>
      </c>
      <c r="O656">
        <f t="shared" si="81"/>
        <v>2.2757894736842105E-2</v>
      </c>
      <c r="S656" t="e">
        <f t="shared" si="82"/>
        <v>#N/A</v>
      </c>
      <c r="T656" t="e">
        <f t="shared" si="83"/>
        <v>#N/A</v>
      </c>
      <c r="U656">
        <f t="shared" si="84"/>
        <v>9.5</v>
      </c>
      <c r="V656">
        <f t="shared" si="85"/>
        <v>5</v>
      </c>
      <c r="W656" t="e">
        <f t="shared" si="86"/>
        <v>#N/A</v>
      </c>
      <c r="X656" t="e">
        <f t="shared" si="87"/>
        <v>#N/A</v>
      </c>
    </row>
    <row r="657" spans="1:24" x14ac:dyDescent="0.3">
      <c r="A657">
        <v>9.6999999999999993</v>
      </c>
      <c r="B657">
        <v>0.55000000000000004</v>
      </c>
      <c r="C657">
        <v>0.17</v>
      </c>
      <c r="D657">
        <v>2.9</v>
      </c>
      <c r="E657">
        <v>8.6999999999999994E-2</v>
      </c>
      <c r="F657">
        <v>20</v>
      </c>
      <c r="G657">
        <v>53</v>
      </c>
      <c r="H657">
        <v>1.0004</v>
      </c>
      <c r="I657">
        <v>3.14</v>
      </c>
      <c r="J657">
        <v>0.61</v>
      </c>
      <c r="K657">
        <v>9.4</v>
      </c>
      <c r="L657">
        <v>5</v>
      </c>
      <c r="M657" t="str">
        <f t="shared" si="80"/>
        <v>Medium</v>
      </c>
      <c r="N657">
        <f>(winequality_red[[#This Row],[Updated Quality &amp; Alcohol Analysis]]+winequality_red[[#This Row],[volatile acidity]]+winequality_red[[#This Row],[citric acid]])</f>
        <v>10.42</v>
      </c>
      <c r="O657">
        <f t="shared" si="81"/>
        <v>3.5691489361702126E-2</v>
      </c>
      <c r="S657" t="e">
        <f t="shared" si="82"/>
        <v>#N/A</v>
      </c>
      <c r="T657" t="e">
        <f t="shared" si="83"/>
        <v>#N/A</v>
      </c>
      <c r="U657">
        <f t="shared" si="84"/>
        <v>9.4</v>
      </c>
      <c r="V657">
        <f t="shared" si="85"/>
        <v>5</v>
      </c>
      <c r="W657" t="e">
        <f t="shared" si="86"/>
        <v>#N/A</v>
      </c>
      <c r="X657" t="e">
        <f t="shared" si="87"/>
        <v>#N/A</v>
      </c>
    </row>
    <row r="658" spans="1:24" x14ac:dyDescent="0.3">
      <c r="A658">
        <v>10.7</v>
      </c>
      <c r="B658">
        <v>0.43</v>
      </c>
      <c r="C658">
        <v>0.39</v>
      </c>
      <c r="D658">
        <v>2.2000000000000002</v>
      </c>
      <c r="E658">
        <v>0.106</v>
      </c>
      <c r="F658">
        <v>8</v>
      </c>
      <c r="G658">
        <v>32</v>
      </c>
      <c r="H658">
        <v>0.99860000000000004</v>
      </c>
      <c r="I658">
        <v>2.89</v>
      </c>
      <c r="J658">
        <v>0.5</v>
      </c>
      <c r="K658">
        <v>9.6</v>
      </c>
      <c r="L658">
        <v>5</v>
      </c>
      <c r="M658" t="str">
        <f t="shared" si="80"/>
        <v>Medium</v>
      </c>
      <c r="N658">
        <f>(winequality_red[[#This Row],[Updated Quality &amp; Alcohol Analysis]]+winequality_red[[#This Row],[volatile acidity]]+winequality_red[[#This Row],[citric acid]])</f>
        <v>11.52</v>
      </c>
      <c r="O658">
        <f t="shared" si="81"/>
        <v>2.2395833333333334E-2</v>
      </c>
      <c r="S658" t="e">
        <f t="shared" si="82"/>
        <v>#N/A</v>
      </c>
      <c r="T658" t="e">
        <f t="shared" si="83"/>
        <v>#N/A</v>
      </c>
      <c r="U658">
        <f t="shared" si="84"/>
        <v>9.6</v>
      </c>
      <c r="V658">
        <f t="shared" si="85"/>
        <v>5</v>
      </c>
      <c r="W658" t="e">
        <f t="shared" si="86"/>
        <v>#N/A</v>
      </c>
      <c r="X658" t="e">
        <f t="shared" si="87"/>
        <v>#N/A</v>
      </c>
    </row>
    <row r="659" spans="1:24" x14ac:dyDescent="0.3">
      <c r="A659">
        <v>12</v>
      </c>
      <c r="B659">
        <v>0.5</v>
      </c>
      <c r="C659">
        <v>0.59</v>
      </c>
      <c r="D659">
        <v>1.4</v>
      </c>
      <c r="E659">
        <v>7.2999999999999995E-2</v>
      </c>
      <c r="F659">
        <v>23</v>
      </c>
      <c r="G659">
        <v>42</v>
      </c>
      <c r="H659">
        <v>0.998</v>
      </c>
      <c r="I659">
        <v>2.92</v>
      </c>
      <c r="J659">
        <v>0.68</v>
      </c>
      <c r="K659">
        <v>10.5</v>
      </c>
      <c r="L659">
        <v>7</v>
      </c>
      <c r="M659" t="str">
        <f t="shared" si="80"/>
        <v>High</v>
      </c>
      <c r="N659">
        <f>(winequality_red[[#This Row],[Updated Quality &amp; Alcohol Analysis]]+winequality_red[[#This Row],[volatile acidity]]+winequality_red[[#This Row],[citric acid]])</f>
        <v>13.09</v>
      </c>
      <c r="O659">
        <f t="shared" si="81"/>
        <v>3.2380952380952385E-2</v>
      </c>
      <c r="S659" t="e">
        <f t="shared" si="82"/>
        <v>#N/A</v>
      </c>
      <c r="T659" t="e">
        <f t="shared" si="83"/>
        <v>#N/A</v>
      </c>
      <c r="U659" t="e">
        <f t="shared" si="84"/>
        <v>#N/A</v>
      </c>
      <c r="V659" t="e">
        <f t="shared" si="85"/>
        <v>#N/A</v>
      </c>
      <c r="W659">
        <f t="shared" si="86"/>
        <v>10.5</v>
      </c>
      <c r="X659">
        <f t="shared" si="87"/>
        <v>7</v>
      </c>
    </row>
    <row r="660" spans="1:24" x14ac:dyDescent="0.3">
      <c r="A660">
        <v>7.2</v>
      </c>
      <c r="B660">
        <v>0.52</v>
      </c>
      <c r="C660">
        <v>7.0000000000000007E-2</v>
      </c>
      <c r="D660">
        <v>1.4</v>
      </c>
      <c r="E660">
        <v>7.400000000000001E-2</v>
      </c>
      <c r="F660">
        <v>5</v>
      </c>
      <c r="G660">
        <v>20</v>
      </c>
      <c r="H660">
        <v>0.99729999999999996</v>
      </c>
      <c r="I660">
        <v>3.32</v>
      </c>
      <c r="J660">
        <v>0.81</v>
      </c>
      <c r="K660">
        <v>9.6</v>
      </c>
      <c r="L660">
        <v>6</v>
      </c>
      <c r="M660" t="str">
        <f t="shared" si="80"/>
        <v>Medium</v>
      </c>
      <c r="N660">
        <f>(winequality_red[[#This Row],[Updated Quality &amp; Alcohol Analysis]]+winequality_red[[#This Row],[volatile acidity]]+winequality_red[[#This Row],[citric acid]])</f>
        <v>7.7900000000000009</v>
      </c>
      <c r="O660">
        <f t="shared" si="81"/>
        <v>4.3875000000000004E-2</v>
      </c>
      <c r="S660" t="e">
        <f t="shared" si="82"/>
        <v>#N/A</v>
      </c>
      <c r="T660" t="e">
        <f t="shared" si="83"/>
        <v>#N/A</v>
      </c>
      <c r="U660">
        <f t="shared" si="84"/>
        <v>9.6</v>
      </c>
      <c r="V660">
        <f t="shared" si="85"/>
        <v>6</v>
      </c>
      <c r="W660" t="e">
        <f t="shared" si="86"/>
        <v>#N/A</v>
      </c>
      <c r="X660" t="e">
        <f t="shared" si="87"/>
        <v>#N/A</v>
      </c>
    </row>
    <row r="661" spans="1:24" x14ac:dyDescent="0.3">
      <c r="A661">
        <v>7.1</v>
      </c>
      <c r="B661">
        <v>0.84</v>
      </c>
      <c r="C661">
        <v>0.02</v>
      </c>
      <c r="D661">
        <v>4.4000000000000004</v>
      </c>
      <c r="E661">
        <v>9.6000000000000002E-2</v>
      </c>
      <c r="F661">
        <v>5</v>
      </c>
      <c r="G661">
        <v>13</v>
      </c>
      <c r="H661">
        <v>0.997</v>
      </c>
      <c r="I661">
        <v>3.41</v>
      </c>
      <c r="J661">
        <v>0.56999999999999995</v>
      </c>
      <c r="K661">
        <v>11</v>
      </c>
      <c r="L661">
        <v>4</v>
      </c>
      <c r="M661" t="str">
        <f t="shared" si="80"/>
        <v>Low</v>
      </c>
      <c r="N661">
        <f>(winequality_red[[#This Row],[Updated Quality &amp; Alcohol Analysis]]+winequality_red[[#This Row],[volatile acidity]]+winequality_red[[#This Row],[citric acid]])</f>
        <v>7.9599999999999991</v>
      </c>
      <c r="O661">
        <f t="shared" si="81"/>
        <v>4.352727272727272E-2</v>
      </c>
      <c r="S661">
        <f t="shared" si="82"/>
        <v>11</v>
      </c>
      <c r="T661">
        <f t="shared" si="83"/>
        <v>4</v>
      </c>
      <c r="U661" t="e">
        <f t="shared" si="84"/>
        <v>#N/A</v>
      </c>
      <c r="V661" t="e">
        <f t="shared" si="85"/>
        <v>#N/A</v>
      </c>
      <c r="W661" t="e">
        <f t="shared" si="86"/>
        <v>#N/A</v>
      </c>
      <c r="X661" t="e">
        <f t="shared" si="87"/>
        <v>#N/A</v>
      </c>
    </row>
    <row r="662" spans="1:24" x14ac:dyDescent="0.3">
      <c r="A662">
        <v>7.2</v>
      </c>
      <c r="B662">
        <v>0.52</v>
      </c>
      <c r="C662">
        <v>7.0000000000000007E-2</v>
      </c>
      <c r="D662">
        <v>1.4</v>
      </c>
      <c r="E662">
        <v>7.400000000000001E-2</v>
      </c>
      <c r="F662">
        <v>5</v>
      </c>
      <c r="G662">
        <v>20</v>
      </c>
      <c r="H662">
        <v>0.99729999999999996</v>
      </c>
      <c r="I662">
        <v>3.32</v>
      </c>
      <c r="J662">
        <v>0.81</v>
      </c>
      <c r="K662">
        <v>9.6</v>
      </c>
      <c r="L662">
        <v>6</v>
      </c>
      <c r="M662" t="str">
        <f t="shared" si="80"/>
        <v>Medium</v>
      </c>
      <c r="N662">
        <f>(winequality_red[[#This Row],[Updated Quality &amp; Alcohol Analysis]]+winequality_red[[#This Row],[volatile acidity]]+winequality_red[[#This Row],[citric acid]])</f>
        <v>7.7900000000000009</v>
      </c>
      <c r="O662">
        <f t="shared" si="81"/>
        <v>4.3875000000000004E-2</v>
      </c>
      <c r="S662" t="e">
        <f t="shared" si="82"/>
        <v>#N/A</v>
      </c>
      <c r="T662" t="e">
        <f t="shared" si="83"/>
        <v>#N/A</v>
      </c>
      <c r="U662">
        <f t="shared" si="84"/>
        <v>9.6</v>
      </c>
      <c r="V662">
        <f t="shared" si="85"/>
        <v>6</v>
      </c>
      <c r="W662" t="e">
        <f t="shared" si="86"/>
        <v>#N/A</v>
      </c>
      <c r="X662" t="e">
        <f t="shared" si="87"/>
        <v>#N/A</v>
      </c>
    </row>
    <row r="663" spans="1:24" x14ac:dyDescent="0.3">
      <c r="A663">
        <v>7.5</v>
      </c>
      <c r="B663">
        <v>0.42</v>
      </c>
      <c r="C663">
        <v>0.31</v>
      </c>
      <c r="D663">
        <v>1.6</v>
      </c>
      <c r="E663">
        <v>0.08</v>
      </c>
      <c r="F663">
        <v>15</v>
      </c>
      <c r="G663">
        <v>42</v>
      </c>
      <c r="H663">
        <v>0.99780000000000002</v>
      </c>
      <c r="I663">
        <v>3.31</v>
      </c>
      <c r="J663">
        <v>0.64</v>
      </c>
      <c r="K663">
        <v>9</v>
      </c>
      <c r="L663">
        <v>5</v>
      </c>
      <c r="M663" t="str">
        <f t="shared" si="80"/>
        <v>Medium</v>
      </c>
      <c r="N663">
        <f>(winequality_red[[#This Row],[Updated Quality &amp; Alcohol Analysis]]+winequality_red[[#This Row],[volatile acidity]]+winequality_red[[#This Row],[citric acid]])</f>
        <v>8.23</v>
      </c>
      <c r="O663">
        <f t="shared" si="81"/>
        <v>2.9866666666666666E-2</v>
      </c>
      <c r="S663" t="e">
        <f t="shared" si="82"/>
        <v>#N/A</v>
      </c>
      <c r="T663" t="e">
        <f t="shared" si="83"/>
        <v>#N/A</v>
      </c>
      <c r="U663">
        <f t="shared" si="84"/>
        <v>9</v>
      </c>
      <c r="V663">
        <f t="shared" si="85"/>
        <v>5</v>
      </c>
      <c r="W663" t="e">
        <f t="shared" si="86"/>
        <v>#N/A</v>
      </c>
      <c r="X663" t="e">
        <f t="shared" si="87"/>
        <v>#N/A</v>
      </c>
    </row>
    <row r="664" spans="1:24" x14ac:dyDescent="0.3">
      <c r="A664">
        <v>7.2</v>
      </c>
      <c r="B664">
        <v>0.56999999999999995</v>
      </c>
      <c r="C664">
        <v>0.06</v>
      </c>
      <c r="D664">
        <v>1.6</v>
      </c>
      <c r="E664">
        <v>7.5999999999999998E-2</v>
      </c>
      <c r="F664">
        <v>9</v>
      </c>
      <c r="G664">
        <v>27</v>
      </c>
      <c r="H664">
        <v>0.99719999999999998</v>
      </c>
      <c r="I664">
        <v>3.36</v>
      </c>
      <c r="J664">
        <v>0.7</v>
      </c>
      <c r="K664">
        <v>9.6</v>
      </c>
      <c r="L664">
        <v>6</v>
      </c>
      <c r="M664" t="str">
        <f t="shared" si="80"/>
        <v>Medium</v>
      </c>
      <c r="N664">
        <f>(winequality_red[[#This Row],[Updated Quality &amp; Alcohol Analysis]]+winequality_red[[#This Row],[volatile acidity]]+winequality_red[[#This Row],[citric acid]])</f>
        <v>7.83</v>
      </c>
      <c r="O664">
        <f t="shared" si="81"/>
        <v>4.1562499999999995E-2</v>
      </c>
      <c r="S664" t="e">
        <f t="shared" si="82"/>
        <v>#N/A</v>
      </c>
      <c r="T664" t="e">
        <f t="shared" si="83"/>
        <v>#N/A</v>
      </c>
      <c r="U664">
        <f t="shared" si="84"/>
        <v>9.6</v>
      </c>
      <c r="V664">
        <f t="shared" si="85"/>
        <v>6</v>
      </c>
      <c r="W664" t="e">
        <f t="shared" si="86"/>
        <v>#N/A</v>
      </c>
      <c r="X664" t="e">
        <f t="shared" si="87"/>
        <v>#N/A</v>
      </c>
    </row>
    <row r="665" spans="1:24" x14ac:dyDescent="0.3">
      <c r="A665">
        <v>10.1</v>
      </c>
      <c r="B665">
        <v>0.28000000000000003</v>
      </c>
      <c r="C665">
        <v>0.46</v>
      </c>
      <c r="D665">
        <v>1.8</v>
      </c>
      <c r="E665">
        <v>0.05</v>
      </c>
      <c r="F665">
        <v>5</v>
      </c>
      <c r="G665">
        <v>13</v>
      </c>
      <c r="H665">
        <v>0.99739999999999995</v>
      </c>
      <c r="I665">
        <v>3.04</v>
      </c>
      <c r="J665">
        <v>0.79</v>
      </c>
      <c r="K665">
        <v>10.199999999999999</v>
      </c>
      <c r="L665">
        <v>6</v>
      </c>
      <c r="M665" t="str">
        <f t="shared" si="80"/>
        <v>Medium</v>
      </c>
      <c r="N665">
        <f>(winequality_red[[#This Row],[Updated Quality &amp; Alcohol Analysis]]+winequality_red[[#This Row],[volatile acidity]]+winequality_red[[#This Row],[citric acid]])</f>
        <v>10.84</v>
      </c>
      <c r="O665">
        <f t="shared" si="81"/>
        <v>2.1686274509803927E-2</v>
      </c>
      <c r="S665" t="e">
        <f t="shared" si="82"/>
        <v>#N/A</v>
      </c>
      <c r="T665" t="e">
        <f t="shared" si="83"/>
        <v>#N/A</v>
      </c>
      <c r="U665">
        <f t="shared" si="84"/>
        <v>10.199999999999999</v>
      </c>
      <c r="V665">
        <f t="shared" si="85"/>
        <v>6</v>
      </c>
      <c r="W665" t="e">
        <f t="shared" si="86"/>
        <v>#N/A</v>
      </c>
      <c r="X665" t="e">
        <f t="shared" si="87"/>
        <v>#N/A</v>
      </c>
    </row>
    <row r="666" spans="1:24" x14ac:dyDescent="0.3">
      <c r="A666">
        <v>12.1</v>
      </c>
      <c r="B666">
        <v>0.4</v>
      </c>
      <c r="C666">
        <v>0.52</v>
      </c>
      <c r="D666">
        <v>2</v>
      </c>
      <c r="E666">
        <v>9.1999999999999998E-2</v>
      </c>
      <c r="F666">
        <v>15</v>
      </c>
      <c r="G666">
        <v>54</v>
      </c>
      <c r="H666">
        <v>1</v>
      </c>
      <c r="I666">
        <v>3.03</v>
      </c>
      <c r="J666">
        <v>0.66</v>
      </c>
      <c r="K666">
        <v>10.199999999999999</v>
      </c>
      <c r="L666">
        <v>5</v>
      </c>
      <c r="M666" t="str">
        <f t="shared" si="80"/>
        <v>Medium</v>
      </c>
      <c r="N666">
        <f>(winequality_red[[#This Row],[Updated Quality &amp; Alcohol Analysis]]+winequality_red[[#This Row],[volatile acidity]]+winequality_red[[#This Row],[citric acid]])</f>
        <v>13.02</v>
      </c>
      <c r="O666">
        <f t="shared" si="81"/>
        <v>2.5882352941176474E-2</v>
      </c>
      <c r="S666" t="e">
        <f t="shared" si="82"/>
        <v>#N/A</v>
      </c>
      <c r="T666" t="e">
        <f t="shared" si="83"/>
        <v>#N/A</v>
      </c>
      <c r="U666">
        <f t="shared" si="84"/>
        <v>10.199999999999999</v>
      </c>
      <c r="V666">
        <f t="shared" si="85"/>
        <v>5</v>
      </c>
      <c r="W666" t="e">
        <f t="shared" si="86"/>
        <v>#N/A</v>
      </c>
      <c r="X666" t="e">
        <f t="shared" si="87"/>
        <v>#N/A</v>
      </c>
    </row>
    <row r="667" spans="1:24" x14ac:dyDescent="0.3">
      <c r="A667">
        <v>9.4</v>
      </c>
      <c r="B667">
        <v>0.59</v>
      </c>
      <c r="C667">
        <v>0.14000000000000001</v>
      </c>
      <c r="D667">
        <v>2</v>
      </c>
      <c r="E667">
        <v>8.4000000000000005E-2</v>
      </c>
      <c r="F667">
        <v>25</v>
      </c>
      <c r="G667">
        <v>48</v>
      </c>
      <c r="H667">
        <v>0.99809999999999999</v>
      </c>
      <c r="I667">
        <v>3.14</v>
      </c>
      <c r="J667">
        <v>0.56000000000000005</v>
      </c>
      <c r="K667">
        <v>9.6999999999999993</v>
      </c>
      <c r="L667">
        <v>5</v>
      </c>
      <c r="M667" t="str">
        <f t="shared" si="80"/>
        <v>Medium</v>
      </c>
      <c r="N667">
        <f>(winequality_red[[#This Row],[Updated Quality &amp; Alcohol Analysis]]+winequality_red[[#This Row],[volatile acidity]]+winequality_red[[#This Row],[citric acid]])</f>
        <v>10.130000000000001</v>
      </c>
      <c r="O667">
        <f t="shared" si="81"/>
        <v>3.40618556701031E-2</v>
      </c>
      <c r="S667" t="e">
        <f t="shared" si="82"/>
        <v>#N/A</v>
      </c>
      <c r="T667" t="e">
        <f t="shared" si="83"/>
        <v>#N/A</v>
      </c>
      <c r="U667">
        <f t="shared" si="84"/>
        <v>9.6999999999999993</v>
      </c>
      <c r="V667">
        <f t="shared" si="85"/>
        <v>5</v>
      </c>
      <c r="W667" t="e">
        <f t="shared" si="86"/>
        <v>#N/A</v>
      </c>
      <c r="X667" t="e">
        <f t="shared" si="87"/>
        <v>#N/A</v>
      </c>
    </row>
    <row r="668" spans="1:24" x14ac:dyDescent="0.3">
      <c r="A668">
        <v>8.3000000000000007</v>
      </c>
      <c r="B668">
        <v>0.49</v>
      </c>
      <c r="C668">
        <v>0.36</v>
      </c>
      <c r="D668">
        <v>1.8</v>
      </c>
      <c r="E668">
        <v>0.222</v>
      </c>
      <c r="F668">
        <v>6</v>
      </c>
      <c r="G668">
        <v>16</v>
      </c>
      <c r="H668">
        <v>0.998</v>
      </c>
      <c r="I668">
        <v>3.18</v>
      </c>
      <c r="J668">
        <v>0.6</v>
      </c>
      <c r="K668">
        <v>9.5</v>
      </c>
      <c r="L668">
        <v>6</v>
      </c>
      <c r="M668" t="str">
        <f t="shared" si="80"/>
        <v>Medium</v>
      </c>
      <c r="N668">
        <f>(winequality_red[[#This Row],[Updated Quality &amp; Alcohol Analysis]]+winequality_red[[#This Row],[volatile acidity]]+winequality_red[[#This Row],[citric acid]])</f>
        <v>9.15</v>
      </c>
      <c r="O668">
        <f t="shared" si="81"/>
        <v>3.094736842105263E-2</v>
      </c>
      <c r="S668" t="e">
        <f t="shared" si="82"/>
        <v>#N/A</v>
      </c>
      <c r="T668" t="e">
        <f t="shared" si="83"/>
        <v>#N/A</v>
      </c>
      <c r="U668">
        <f t="shared" si="84"/>
        <v>9.5</v>
      </c>
      <c r="V668">
        <f t="shared" si="85"/>
        <v>6</v>
      </c>
      <c r="W668" t="e">
        <f t="shared" si="86"/>
        <v>#N/A</v>
      </c>
      <c r="X668" t="e">
        <f t="shared" si="87"/>
        <v>#N/A</v>
      </c>
    </row>
    <row r="669" spans="1:24" x14ac:dyDescent="0.3">
      <c r="A669">
        <v>11.3</v>
      </c>
      <c r="B669">
        <v>0.34</v>
      </c>
      <c r="C669">
        <v>0.45</v>
      </c>
      <c r="D669">
        <v>2</v>
      </c>
      <c r="E669">
        <v>8.199999999999999E-2</v>
      </c>
      <c r="F669">
        <v>6</v>
      </c>
      <c r="G669">
        <v>15</v>
      </c>
      <c r="H669">
        <v>0.99880000000000002</v>
      </c>
      <c r="I669">
        <v>2.94</v>
      </c>
      <c r="J669">
        <v>0.66</v>
      </c>
      <c r="K669">
        <v>9.1999999999999993</v>
      </c>
      <c r="L669">
        <v>6</v>
      </c>
      <c r="M669" t="str">
        <f t="shared" si="80"/>
        <v>Medium</v>
      </c>
      <c r="N669">
        <f>(winequality_red[[#This Row],[Updated Quality &amp; Alcohol Analysis]]+winequality_red[[#This Row],[volatile acidity]]+winequality_red[[#This Row],[citric acid]])</f>
        <v>12.09</v>
      </c>
      <c r="O669">
        <f t="shared" si="81"/>
        <v>2.439130434782609E-2</v>
      </c>
      <c r="S669" t="e">
        <f t="shared" si="82"/>
        <v>#N/A</v>
      </c>
      <c r="T669" t="e">
        <f t="shared" si="83"/>
        <v>#N/A</v>
      </c>
      <c r="U669">
        <f t="shared" si="84"/>
        <v>9.1999999999999993</v>
      </c>
      <c r="V669">
        <f t="shared" si="85"/>
        <v>6</v>
      </c>
      <c r="W669" t="e">
        <f t="shared" si="86"/>
        <v>#N/A</v>
      </c>
      <c r="X669" t="e">
        <f t="shared" si="87"/>
        <v>#N/A</v>
      </c>
    </row>
    <row r="670" spans="1:24" x14ac:dyDescent="0.3">
      <c r="A670">
        <v>10</v>
      </c>
      <c r="B670">
        <v>0.73</v>
      </c>
      <c r="C670">
        <v>0.43</v>
      </c>
      <c r="D670">
        <v>2.2999999999999998</v>
      </c>
      <c r="E670">
        <v>5.9000000000000004E-2</v>
      </c>
      <c r="F670">
        <v>15</v>
      </c>
      <c r="G670">
        <v>31</v>
      </c>
      <c r="H670">
        <v>0.99660000000000004</v>
      </c>
      <c r="I670">
        <v>3.15</v>
      </c>
      <c r="J670">
        <v>0.56999999999999995</v>
      </c>
      <c r="K670">
        <v>11</v>
      </c>
      <c r="L670">
        <v>5</v>
      </c>
      <c r="M670" t="str">
        <f t="shared" si="80"/>
        <v>Medium</v>
      </c>
      <c r="N670">
        <f>(winequality_red[[#This Row],[Updated Quality &amp; Alcohol Analysis]]+winequality_red[[#This Row],[volatile acidity]]+winequality_red[[#This Row],[citric acid]])</f>
        <v>11.16</v>
      </c>
      <c r="O670">
        <f t="shared" si="81"/>
        <v>3.7827272727272723E-2</v>
      </c>
      <c r="S670" t="e">
        <f t="shared" si="82"/>
        <v>#N/A</v>
      </c>
      <c r="T670" t="e">
        <f t="shared" si="83"/>
        <v>#N/A</v>
      </c>
      <c r="U670">
        <f t="shared" si="84"/>
        <v>11</v>
      </c>
      <c r="V670">
        <f t="shared" si="85"/>
        <v>5</v>
      </c>
      <c r="W670" t="e">
        <f t="shared" si="86"/>
        <v>#N/A</v>
      </c>
      <c r="X670" t="e">
        <f t="shared" si="87"/>
        <v>#N/A</v>
      </c>
    </row>
    <row r="671" spans="1:24" x14ac:dyDescent="0.3">
      <c r="A671">
        <v>11.3</v>
      </c>
      <c r="B671">
        <v>0.34</v>
      </c>
      <c r="C671">
        <v>0.45</v>
      </c>
      <c r="D671">
        <v>2</v>
      </c>
      <c r="E671">
        <v>8.199999999999999E-2</v>
      </c>
      <c r="F671">
        <v>6</v>
      </c>
      <c r="G671">
        <v>15</v>
      </c>
      <c r="H671">
        <v>0.99880000000000002</v>
      </c>
      <c r="I671">
        <v>2.94</v>
      </c>
      <c r="J671">
        <v>0.66</v>
      </c>
      <c r="K671">
        <v>9.1999999999999993</v>
      </c>
      <c r="L671">
        <v>6</v>
      </c>
      <c r="M671" t="str">
        <f t="shared" si="80"/>
        <v>Medium</v>
      </c>
      <c r="N671">
        <f>(winequality_red[[#This Row],[Updated Quality &amp; Alcohol Analysis]]+winequality_red[[#This Row],[volatile acidity]]+winequality_red[[#This Row],[citric acid]])</f>
        <v>12.09</v>
      </c>
      <c r="O671">
        <f t="shared" si="81"/>
        <v>2.439130434782609E-2</v>
      </c>
      <c r="S671" t="e">
        <f t="shared" si="82"/>
        <v>#N/A</v>
      </c>
      <c r="T671" t="e">
        <f t="shared" si="83"/>
        <v>#N/A</v>
      </c>
      <c r="U671">
        <f t="shared" si="84"/>
        <v>9.1999999999999993</v>
      </c>
      <c r="V671">
        <f t="shared" si="85"/>
        <v>6</v>
      </c>
      <c r="W671" t="e">
        <f t="shared" si="86"/>
        <v>#N/A</v>
      </c>
      <c r="X671" t="e">
        <f t="shared" si="87"/>
        <v>#N/A</v>
      </c>
    </row>
    <row r="672" spans="1:24" x14ac:dyDescent="0.3">
      <c r="A672">
        <v>6.9</v>
      </c>
      <c r="B672">
        <v>0.4</v>
      </c>
      <c r="C672">
        <v>0.24</v>
      </c>
      <c r="D672">
        <v>2.5</v>
      </c>
      <c r="E672">
        <v>8.3000000000000004E-2</v>
      </c>
      <c r="F672">
        <v>30</v>
      </c>
      <c r="G672">
        <v>45</v>
      </c>
      <c r="H672">
        <v>0.99590000000000001</v>
      </c>
      <c r="I672">
        <v>3.26</v>
      </c>
      <c r="J672">
        <v>0.57999999999999996</v>
      </c>
      <c r="K672">
        <v>10</v>
      </c>
      <c r="L672">
        <v>5</v>
      </c>
      <c r="M672" t="str">
        <f t="shared" si="80"/>
        <v>Medium</v>
      </c>
      <c r="N672">
        <f>(winequality_red[[#This Row],[Updated Quality &amp; Alcohol Analysis]]+winequality_red[[#This Row],[volatile acidity]]+winequality_red[[#This Row],[citric acid]])</f>
        <v>7.5400000000000009</v>
      </c>
      <c r="O672">
        <f t="shared" si="81"/>
        <v>2.3199999999999998E-2</v>
      </c>
      <c r="S672" t="e">
        <f t="shared" si="82"/>
        <v>#N/A</v>
      </c>
      <c r="T672" t="e">
        <f t="shared" si="83"/>
        <v>#N/A</v>
      </c>
      <c r="U672">
        <f t="shared" si="84"/>
        <v>10</v>
      </c>
      <c r="V672">
        <f t="shared" si="85"/>
        <v>5</v>
      </c>
      <c r="W672" t="e">
        <f t="shared" si="86"/>
        <v>#N/A</v>
      </c>
      <c r="X672" t="e">
        <f t="shared" si="87"/>
        <v>#N/A</v>
      </c>
    </row>
    <row r="673" spans="1:24" x14ac:dyDescent="0.3">
      <c r="A673">
        <v>8.1999999999999993</v>
      </c>
      <c r="B673">
        <v>0.73</v>
      </c>
      <c r="C673">
        <v>0.21</v>
      </c>
      <c r="D673">
        <v>1.7</v>
      </c>
      <c r="E673">
        <v>7.400000000000001E-2</v>
      </c>
      <c r="F673">
        <v>5</v>
      </c>
      <c r="G673">
        <v>13</v>
      </c>
      <c r="H673">
        <v>0.99680000000000002</v>
      </c>
      <c r="I673">
        <v>3.2</v>
      </c>
      <c r="J673">
        <v>0.52</v>
      </c>
      <c r="K673">
        <v>9.5</v>
      </c>
      <c r="L673">
        <v>5</v>
      </c>
      <c r="M673" t="str">
        <f t="shared" si="80"/>
        <v>Medium</v>
      </c>
      <c r="N673">
        <f>(winequality_red[[#This Row],[Updated Quality &amp; Alcohol Analysis]]+winequality_red[[#This Row],[volatile acidity]]+winequality_red[[#This Row],[citric acid]])</f>
        <v>9.14</v>
      </c>
      <c r="O673">
        <f t="shared" si="81"/>
        <v>3.9957894736842102E-2</v>
      </c>
      <c r="S673" t="e">
        <f t="shared" si="82"/>
        <v>#N/A</v>
      </c>
      <c r="T673" t="e">
        <f t="shared" si="83"/>
        <v>#N/A</v>
      </c>
      <c r="U673">
        <f t="shared" si="84"/>
        <v>9.5</v>
      </c>
      <c r="V673">
        <f t="shared" si="85"/>
        <v>5</v>
      </c>
      <c r="W673" t="e">
        <f t="shared" si="86"/>
        <v>#N/A</v>
      </c>
      <c r="X673" t="e">
        <f t="shared" si="87"/>
        <v>#N/A</v>
      </c>
    </row>
    <row r="674" spans="1:24" x14ac:dyDescent="0.3">
      <c r="A674">
        <v>9.8000000000000007</v>
      </c>
      <c r="B674">
        <v>1.24</v>
      </c>
      <c r="C674">
        <v>0.34</v>
      </c>
      <c r="D674">
        <v>2</v>
      </c>
      <c r="E674">
        <v>7.9000000000000001E-2</v>
      </c>
      <c r="F674">
        <v>32</v>
      </c>
      <c r="G674">
        <v>151</v>
      </c>
      <c r="H674">
        <v>0.998</v>
      </c>
      <c r="I674">
        <v>3.15</v>
      </c>
      <c r="J674">
        <v>0.53</v>
      </c>
      <c r="K674">
        <v>9.5</v>
      </c>
      <c r="L674">
        <v>5</v>
      </c>
      <c r="M674" t="str">
        <f t="shared" si="80"/>
        <v>Medium</v>
      </c>
      <c r="N674">
        <f>(winequality_red[[#This Row],[Updated Quality &amp; Alcohol Analysis]]+winequality_red[[#This Row],[volatile acidity]]+winequality_red[[#This Row],[citric acid]])</f>
        <v>11.38</v>
      </c>
      <c r="O674">
        <f t="shared" si="81"/>
        <v>6.9178947368421048E-2</v>
      </c>
      <c r="S674" t="e">
        <f t="shared" si="82"/>
        <v>#N/A</v>
      </c>
      <c r="T674" t="e">
        <f t="shared" si="83"/>
        <v>#N/A</v>
      </c>
      <c r="U674">
        <f t="shared" si="84"/>
        <v>9.5</v>
      </c>
      <c r="V674">
        <f t="shared" si="85"/>
        <v>5</v>
      </c>
      <c r="W674" t="e">
        <f t="shared" si="86"/>
        <v>#N/A</v>
      </c>
      <c r="X674" t="e">
        <f t="shared" si="87"/>
        <v>#N/A</v>
      </c>
    </row>
    <row r="675" spans="1:24" x14ac:dyDescent="0.3">
      <c r="A675">
        <v>8.1999999999999993</v>
      </c>
      <c r="B675">
        <v>0.73</v>
      </c>
      <c r="C675">
        <v>0.21</v>
      </c>
      <c r="D675">
        <v>1.7</v>
      </c>
      <c r="E675">
        <v>7.400000000000001E-2</v>
      </c>
      <c r="F675">
        <v>5</v>
      </c>
      <c r="G675">
        <v>13</v>
      </c>
      <c r="H675">
        <v>0.99680000000000002</v>
      </c>
      <c r="I675">
        <v>3.2</v>
      </c>
      <c r="J675">
        <v>0.52</v>
      </c>
      <c r="K675">
        <v>9.5</v>
      </c>
      <c r="L675">
        <v>5</v>
      </c>
      <c r="M675" t="str">
        <f t="shared" si="80"/>
        <v>Medium</v>
      </c>
      <c r="N675">
        <f>(winequality_red[[#This Row],[Updated Quality &amp; Alcohol Analysis]]+winequality_red[[#This Row],[volatile acidity]]+winequality_red[[#This Row],[citric acid]])</f>
        <v>9.14</v>
      </c>
      <c r="O675">
        <f t="shared" si="81"/>
        <v>3.9957894736842102E-2</v>
      </c>
      <c r="S675" t="e">
        <f t="shared" si="82"/>
        <v>#N/A</v>
      </c>
      <c r="T675" t="e">
        <f t="shared" si="83"/>
        <v>#N/A</v>
      </c>
      <c r="U675">
        <f t="shared" si="84"/>
        <v>9.5</v>
      </c>
      <c r="V675">
        <f t="shared" si="85"/>
        <v>5</v>
      </c>
      <c r="W675" t="e">
        <f t="shared" si="86"/>
        <v>#N/A</v>
      </c>
      <c r="X675" t="e">
        <f t="shared" si="87"/>
        <v>#N/A</v>
      </c>
    </row>
    <row r="676" spans="1:24" x14ac:dyDescent="0.3">
      <c r="A676">
        <v>10.8</v>
      </c>
      <c r="B676">
        <v>0.4</v>
      </c>
      <c r="C676">
        <v>0.41</v>
      </c>
      <c r="D676">
        <v>2.2000000000000002</v>
      </c>
      <c r="E676">
        <v>8.4000000000000005E-2</v>
      </c>
      <c r="F676">
        <v>7</v>
      </c>
      <c r="G676">
        <v>17</v>
      </c>
      <c r="H676">
        <v>0.99839999999999995</v>
      </c>
      <c r="I676">
        <v>3.08</v>
      </c>
      <c r="J676">
        <v>0.67</v>
      </c>
      <c r="K676">
        <v>9.3000000000000007</v>
      </c>
      <c r="L676">
        <v>6</v>
      </c>
      <c r="M676" t="str">
        <f t="shared" si="80"/>
        <v>Medium</v>
      </c>
      <c r="N676">
        <f>(winequality_red[[#This Row],[Updated Quality &amp; Alcohol Analysis]]+winequality_red[[#This Row],[volatile acidity]]+winequality_red[[#This Row],[citric acid]])</f>
        <v>11.610000000000001</v>
      </c>
      <c r="O676">
        <f t="shared" si="81"/>
        <v>2.8817204301075268E-2</v>
      </c>
      <c r="S676" t="e">
        <f t="shared" si="82"/>
        <v>#N/A</v>
      </c>
      <c r="T676" t="e">
        <f t="shared" si="83"/>
        <v>#N/A</v>
      </c>
      <c r="U676">
        <f t="shared" si="84"/>
        <v>9.3000000000000007</v>
      </c>
      <c r="V676">
        <f t="shared" si="85"/>
        <v>6</v>
      </c>
      <c r="W676" t="e">
        <f t="shared" si="86"/>
        <v>#N/A</v>
      </c>
      <c r="X676" t="e">
        <f t="shared" si="87"/>
        <v>#N/A</v>
      </c>
    </row>
    <row r="677" spans="1:24" x14ac:dyDescent="0.3">
      <c r="A677">
        <v>9.3000000000000007</v>
      </c>
      <c r="B677">
        <v>0.41</v>
      </c>
      <c r="C677">
        <v>0.39</v>
      </c>
      <c r="D677">
        <v>2.2000000000000002</v>
      </c>
      <c r="E677">
        <v>6.4000000000000001E-2</v>
      </c>
      <c r="F677">
        <v>12</v>
      </c>
      <c r="G677">
        <v>31</v>
      </c>
      <c r="H677">
        <v>0.99839999999999995</v>
      </c>
      <c r="I677">
        <v>3.26</v>
      </c>
      <c r="J677">
        <v>0.65</v>
      </c>
      <c r="K677">
        <v>10.199999999999999</v>
      </c>
      <c r="L677">
        <v>5</v>
      </c>
      <c r="M677" t="str">
        <f t="shared" si="80"/>
        <v>Medium</v>
      </c>
      <c r="N677">
        <f>(winequality_red[[#This Row],[Updated Quality &amp; Alcohol Analysis]]+winequality_red[[#This Row],[volatile acidity]]+winequality_red[[#This Row],[citric acid]])</f>
        <v>10.100000000000001</v>
      </c>
      <c r="O677">
        <f t="shared" si="81"/>
        <v>2.612745098039216E-2</v>
      </c>
      <c r="S677" t="e">
        <f t="shared" si="82"/>
        <v>#N/A</v>
      </c>
      <c r="T677" t="e">
        <f t="shared" si="83"/>
        <v>#N/A</v>
      </c>
      <c r="U677">
        <f t="shared" si="84"/>
        <v>10.199999999999999</v>
      </c>
      <c r="V677">
        <f t="shared" si="85"/>
        <v>5</v>
      </c>
      <c r="W677" t="e">
        <f t="shared" si="86"/>
        <v>#N/A</v>
      </c>
      <c r="X677" t="e">
        <f t="shared" si="87"/>
        <v>#N/A</v>
      </c>
    </row>
    <row r="678" spans="1:24" x14ac:dyDescent="0.3">
      <c r="A678">
        <v>10.8</v>
      </c>
      <c r="B678">
        <v>0.4</v>
      </c>
      <c r="C678">
        <v>0.41</v>
      </c>
      <c r="D678">
        <v>2.2000000000000002</v>
      </c>
      <c r="E678">
        <v>8.4000000000000005E-2</v>
      </c>
      <c r="F678">
        <v>7</v>
      </c>
      <c r="G678">
        <v>17</v>
      </c>
      <c r="H678">
        <v>0.99839999999999995</v>
      </c>
      <c r="I678">
        <v>3.08</v>
      </c>
      <c r="J678">
        <v>0.67</v>
      </c>
      <c r="K678">
        <v>9.3000000000000007</v>
      </c>
      <c r="L678">
        <v>6</v>
      </c>
      <c r="M678" t="str">
        <f t="shared" si="80"/>
        <v>Medium</v>
      </c>
      <c r="N678">
        <f>(winequality_red[[#This Row],[Updated Quality &amp; Alcohol Analysis]]+winequality_red[[#This Row],[volatile acidity]]+winequality_red[[#This Row],[citric acid]])</f>
        <v>11.610000000000001</v>
      </c>
      <c r="O678">
        <f t="shared" si="81"/>
        <v>2.8817204301075268E-2</v>
      </c>
      <c r="S678" t="e">
        <f t="shared" si="82"/>
        <v>#N/A</v>
      </c>
      <c r="T678" t="e">
        <f t="shared" si="83"/>
        <v>#N/A</v>
      </c>
      <c r="U678">
        <f t="shared" si="84"/>
        <v>9.3000000000000007</v>
      </c>
      <c r="V678">
        <f t="shared" si="85"/>
        <v>6</v>
      </c>
      <c r="W678" t="e">
        <f t="shared" si="86"/>
        <v>#N/A</v>
      </c>
      <c r="X678" t="e">
        <f t="shared" si="87"/>
        <v>#N/A</v>
      </c>
    </row>
    <row r="679" spans="1:24" x14ac:dyDescent="0.3">
      <c r="A679">
        <v>8.6</v>
      </c>
      <c r="B679">
        <v>0.8</v>
      </c>
      <c r="C679">
        <v>0.11</v>
      </c>
      <c r="D679">
        <v>2.2999999999999998</v>
      </c>
      <c r="E679">
        <v>8.4000000000000005E-2</v>
      </c>
      <c r="F679">
        <v>12</v>
      </c>
      <c r="G679">
        <v>31</v>
      </c>
      <c r="H679">
        <v>0.99790000000000001</v>
      </c>
      <c r="I679">
        <v>3.4</v>
      </c>
      <c r="J679">
        <v>0.48</v>
      </c>
      <c r="K679">
        <v>9.9</v>
      </c>
      <c r="L679">
        <v>5</v>
      </c>
      <c r="M679" t="str">
        <f t="shared" si="80"/>
        <v>Medium</v>
      </c>
      <c r="N679">
        <f>(winequality_red[[#This Row],[Updated Quality &amp; Alcohol Analysis]]+winequality_red[[#This Row],[volatile acidity]]+winequality_red[[#This Row],[citric acid]])</f>
        <v>9.51</v>
      </c>
      <c r="O679">
        <f t="shared" si="81"/>
        <v>3.8787878787878788E-2</v>
      </c>
      <c r="S679" t="e">
        <f t="shared" si="82"/>
        <v>#N/A</v>
      </c>
      <c r="T679" t="e">
        <f t="shared" si="83"/>
        <v>#N/A</v>
      </c>
      <c r="U679">
        <f t="shared" si="84"/>
        <v>9.9</v>
      </c>
      <c r="V679">
        <f t="shared" si="85"/>
        <v>5</v>
      </c>
      <c r="W679" t="e">
        <f t="shared" si="86"/>
        <v>#N/A</v>
      </c>
      <c r="X679" t="e">
        <f t="shared" si="87"/>
        <v>#N/A</v>
      </c>
    </row>
    <row r="680" spans="1:24" x14ac:dyDescent="0.3">
      <c r="A680">
        <v>8.3000000000000007</v>
      </c>
      <c r="B680">
        <v>0.78</v>
      </c>
      <c r="C680">
        <v>0.1</v>
      </c>
      <c r="D680">
        <v>2.6</v>
      </c>
      <c r="E680">
        <v>8.1000000000000003E-2</v>
      </c>
      <c r="F680">
        <v>45</v>
      </c>
      <c r="G680">
        <v>87</v>
      </c>
      <c r="H680">
        <v>0.99829999999999997</v>
      </c>
      <c r="I680">
        <v>3.48</v>
      </c>
      <c r="J680">
        <v>0.53</v>
      </c>
      <c r="K680">
        <v>10</v>
      </c>
      <c r="L680">
        <v>5</v>
      </c>
      <c r="M680" t="str">
        <f t="shared" si="80"/>
        <v>Medium</v>
      </c>
      <c r="N680">
        <f>(winequality_red[[#This Row],[Updated Quality &amp; Alcohol Analysis]]+winequality_red[[#This Row],[volatile acidity]]+winequality_red[[#This Row],[citric acid]])</f>
        <v>9.18</v>
      </c>
      <c r="O680">
        <f t="shared" si="81"/>
        <v>4.1340000000000002E-2</v>
      </c>
      <c r="S680" t="e">
        <f t="shared" si="82"/>
        <v>#N/A</v>
      </c>
      <c r="T680" t="e">
        <f t="shared" si="83"/>
        <v>#N/A</v>
      </c>
      <c r="U680">
        <f t="shared" si="84"/>
        <v>10</v>
      </c>
      <c r="V680">
        <f t="shared" si="85"/>
        <v>5</v>
      </c>
      <c r="W680" t="e">
        <f t="shared" si="86"/>
        <v>#N/A</v>
      </c>
      <c r="X680" t="e">
        <f t="shared" si="87"/>
        <v>#N/A</v>
      </c>
    </row>
    <row r="681" spans="1:24" x14ac:dyDescent="0.3">
      <c r="A681">
        <v>10.8</v>
      </c>
      <c r="B681">
        <v>0.26</v>
      </c>
      <c r="C681">
        <v>0.45</v>
      </c>
      <c r="D681">
        <v>3.3</v>
      </c>
      <c r="E681">
        <v>0.06</v>
      </c>
      <c r="F681">
        <v>20</v>
      </c>
      <c r="G681">
        <v>49</v>
      </c>
      <c r="H681">
        <v>0.99719999999999998</v>
      </c>
      <c r="I681">
        <v>3.13</v>
      </c>
      <c r="J681">
        <v>0.54</v>
      </c>
      <c r="K681">
        <v>9.6</v>
      </c>
      <c r="L681">
        <v>5</v>
      </c>
      <c r="M681" t="str">
        <f t="shared" si="80"/>
        <v>Medium</v>
      </c>
      <c r="N681">
        <f>(winequality_red[[#This Row],[Updated Quality &amp; Alcohol Analysis]]+winequality_red[[#This Row],[volatile acidity]]+winequality_red[[#This Row],[citric acid]])</f>
        <v>11.51</v>
      </c>
      <c r="O681">
        <f t="shared" si="81"/>
        <v>1.4625000000000003E-2</v>
      </c>
      <c r="S681" t="e">
        <f t="shared" si="82"/>
        <v>#N/A</v>
      </c>
      <c r="T681" t="e">
        <f t="shared" si="83"/>
        <v>#N/A</v>
      </c>
      <c r="U681">
        <f t="shared" si="84"/>
        <v>9.6</v>
      </c>
      <c r="V681">
        <f t="shared" si="85"/>
        <v>5</v>
      </c>
      <c r="W681" t="e">
        <f t="shared" si="86"/>
        <v>#N/A</v>
      </c>
      <c r="X681" t="e">
        <f t="shared" si="87"/>
        <v>#N/A</v>
      </c>
    </row>
    <row r="682" spans="1:24" x14ac:dyDescent="0.3">
      <c r="A682">
        <v>13.3</v>
      </c>
      <c r="B682">
        <v>0.43</v>
      </c>
      <c r="C682">
        <v>0.57999999999999996</v>
      </c>
      <c r="D682">
        <v>1.9</v>
      </c>
      <c r="E682">
        <v>7.0000000000000007E-2</v>
      </c>
      <c r="F682">
        <v>15</v>
      </c>
      <c r="G682">
        <v>40</v>
      </c>
      <c r="H682">
        <v>1.0004</v>
      </c>
      <c r="I682">
        <v>3.06</v>
      </c>
      <c r="J682">
        <v>0.49</v>
      </c>
      <c r="K682">
        <v>9</v>
      </c>
      <c r="L682">
        <v>5</v>
      </c>
      <c r="M682" t="str">
        <f t="shared" si="80"/>
        <v>Medium</v>
      </c>
      <c r="N682">
        <f>(winequality_red[[#This Row],[Updated Quality &amp; Alcohol Analysis]]+winequality_red[[#This Row],[volatile acidity]]+winequality_red[[#This Row],[citric acid]])</f>
        <v>14.31</v>
      </c>
      <c r="O682">
        <f t="shared" si="81"/>
        <v>2.3411111111111112E-2</v>
      </c>
      <c r="S682" t="e">
        <f t="shared" si="82"/>
        <v>#N/A</v>
      </c>
      <c r="T682" t="e">
        <f t="shared" si="83"/>
        <v>#N/A</v>
      </c>
      <c r="U682">
        <f t="shared" si="84"/>
        <v>9</v>
      </c>
      <c r="V682">
        <f t="shared" si="85"/>
        <v>5</v>
      </c>
      <c r="W682" t="e">
        <f t="shared" si="86"/>
        <v>#N/A</v>
      </c>
      <c r="X682" t="e">
        <f t="shared" si="87"/>
        <v>#N/A</v>
      </c>
    </row>
    <row r="683" spans="1:24" x14ac:dyDescent="0.3">
      <c r="A683">
        <v>8</v>
      </c>
      <c r="B683">
        <v>0.45</v>
      </c>
      <c r="C683">
        <v>0.23</v>
      </c>
      <c r="D683">
        <v>2.2000000000000002</v>
      </c>
      <c r="E683">
        <v>9.4E-2</v>
      </c>
      <c r="F683">
        <v>16</v>
      </c>
      <c r="G683">
        <v>29</v>
      </c>
      <c r="H683">
        <v>0.99619999999999997</v>
      </c>
      <c r="I683">
        <v>3.21</v>
      </c>
      <c r="J683">
        <v>0.49</v>
      </c>
      <c r="K683">
        <v>10.199999999999999</v>
      </c>
      <c r="L683">
        <v>6</v>
      </c>
      <c r="M683" t="str">
        <f t="shared" si="80"/>
        <v>Medium</v>
      </c>
      <c r="N683">
        <f>(winequality_red[[#This Row],[Updated Quality &amp; Alcohol Analysis]]+winequality_red[[#This Row],[volatile acidity]]+winequality_red[[#This Row],[citric acid]])</f>
        <v>8.68</v>
      </c>
      <c r="O683">
        <f t="shared" si="81"/>
        <v>2.161764705882353E-2</v>
      </c>
      <c r="S683" t="e">
        <f t="shared" si="82"/>
        <v>#N/A</v>
      </c>
      <c r="T683" t="e">
        <f t="shared" si="83"/>
        <v>#N/A</v>
      </c>
      <c r="U683">
        <f t="shared" si="84"/>
        <v>10.199999999999999</v>
      </c>
      <c r="V683">
        <f t="shared" si="85"/>
        <v>6</v>
      </c>
      <c r="W683" t="e">
        <f t="shared" si="86"/>
        <v>#N/A</v>
      </c>
      <c r="X683" t="e">
        <f t="shared" si="87"/>
        <v>#N/A</v>
      </c>
    </row>
    <row r="684" spans="1:24" x14ac:dyDescent="0.3">
      <c r="A684">
        <v>8.5</v>
      </c>
      <c r="B684">
        <v>0.46</v>
      </c>
      <c r="C684">
        <v>0.31</v>
      </c>
      <c r="D684">
        <v>2.25</v>
      </c>
      <c r="E684">
        <v>7.8E-2</v>
      </c>
      <c r="F684">
        <v>32</v>
      </c>
      <c r="G684">
        <v>58</v>
      </c>
      <c r="H684">
        <v>0.998</v>
      </c>
      <c r="I684">
        <v>3.33</v>
      </c>
      <c r="J684">
        <v>0.54</v>
      </c>
      <c r="K684">
        <v>9.8000000000000007</v>
      </c>
      <c r="L684">
        <v>5</v>
      </c>
      <c r="M684" t="str">
        <f t="shared" si="80"/>
        <v>Medium</v>
      </c>
      <c r="N684">
        <f>(winequality_red[[#This Row],[Updated Quality &amp; Alcohol Analysis]]+winequality_red[[#This Row],[volatile acidity]]+winequality_red[[#This Row],[citric acid]])</f>
        <v>9.2700000000000014</v>
      </c>
      <c r="O684">
        <f t="shared" si="81"/>
        <v>2.5346938775510208E-2</v>
      </c>
      <c r="S684" t="e">
        <f t="shared" si="82"/>
        <v>#N/A</v>
      </c>
      <c r="T684" t="e">
        <f t="shared" si="83"/>
        <v>#N/A</v>
      </c>
      <c r="U684">
        <f t="shared" si="84"/>
        <v>9.8000000000000007</v>
      </c>
      <c r="V684">
        <f t="shared" si="85"/>
        <v>5</v>
      </c>
      <c r="W684" t="e">
        <f t="shared" si="86"/>
        <v>#N/A</v>
      </c>
      <c r="X684" t="e">
        <f t="shared" si="87"/>
        <v>#N/A</v>
      </c>
    </row>
    <row r="685" spans="1:24" x14ac:dyDescent="0.3">
      <c r="A685">
        <v>8.1</v>
      </c>
      <c r="B685">
        <v>0.78</v>
      </c>
      <c r="C685">
        <v>0.23</v>
      </c>
      <c r="D685">
        <v>2.6</v>
      </c>
      <c r="E685">
        <v>5.9000000000000004E-2</v>
      </c>
      <c r="F685">
        <v>5</v>
      </c>
      <c r="G685">
        <v>15</v>
      </c>
      <c r="H685">
        <v>0.997</v>
      </c>
      <c r="I685">
        <v>3.37</v>
      </c>
      <c r="J685">
        <v>0.56000000000000005</v>
      </c>
      <c r="K685">
        <v>11.3</v>
      </c>
      <c r="L685">
        <v>5</v>
      </c>
      <c r="M685" t="str">
        <f t="shared" si="80"/>
        <v>Medium</v>
      </c>
      <c r="N685">
        <f>(winequality_red[[#This Row],[Updated Quality &amp; Alcohol Analysis]]+winequality_red[[#This Row],[volatile acidity]]+winequality_red[[#This Row],[citric acid]])</f>
        <v>9.11</v>
      </c>
      <c r="O685">
        <f t="shared" si="81"/>
        <v>3.8654867256637172E-2</v>
      </c>
      <c r="S685" t="e">
        <f t="shared" si="82"/>
        <v>#N/A</v>
      </c>
      <c r="T685" t="e">
        <f t="shared" si="83"/>
        <v>#N/A</v>
      </c>
      <c r="U685">
        <f t="shared" si="84"/>
        <v>11.3</v>
      </c>
      <c r="V685">
        <f t="shared" si="85"/>
        <v>5</v>
      </c>
      <c r="W685" t="e">
        <f t="shared" si="86"/>
        <v>#N/A</v>
      </c>
      <c r="X685" t="e">
        <f t="shared" si="87"/>
        <v>#N/A</v>
      </c>
    </row>
    <row r="686" spans="1:24" x14ac:dyDescent="0.3">
      <c r="A686">
        <v>9.8000000000000007</v>
      </c>
      <c r="B686">
        <v>0.98</v>
      </c>
      <c r="C686">
        <v>0.32</v>
      </c>
      <c r="D686">
        <v>2.2999999999999998</v>
      </c>
      <c r="E686">
        <v>7.8E-2</v>
      </c>
      <c r="F686">
        <v>35</v>
      </c>
      <c r="G686">
        <v>152</v>
      </c>
      <c r="H686">
        <v>0.998</v>
      </c>
      <c r="I686">
        <v>3.25</v>
      </c>
      <c r="J686">
        <v>0.48</v>
      </c>
      <c r="K686">
        <v>9.4</v>
      </c>
      <c r="L686">
        <v>5</v>
      </c>
      <c r="M686" t="str">
        <f t="shared" si="80"/>
        <v>Medium</v>
      </c>
      <c r="N686">
        <f>(winequality_red[[#This Row],[Updated Quality &amp; Alcohol Analysis]]+winequality_red[[#This Row],[volatile acidity]]+winequality_red[[#This Row],[citric acid]])</f>
        <v>11.100000000000001</v>
      </c>
      <c r="O686">
        <f t="shared" si="81"/>
        <v>5.0042553191489356E-2</v>
      </c>
      <c r="S686" t="e">
        <f t="shared" si="82"/>
        <v>#N/A</v>
      </c>
      <c r="T686" t="e">
        <f t="shared" si="83"/>
        <v>#N/A</v>
      </c>
      <c r="U686">
        <f t="shared" si="84"/>
        <v>9.4</v>
      </c>
      <c r="V686">
        <f t="shared" si="85"/>
        <v>5</v>
      </c>
      <c r="W686" t="e">
        <f t="shared" si="86"/>
        <v>#N/A</v>
      </c>
      <c r="X686" t="e">
        <f t="shared" si="87"/>
        <v>#N/A</v>
      </c>
    </row>
    <row r="687" spans="1:24" x14ac:dyDescent="0.3">
      <c r="A687">
        <v>8.1</v>
      </c>
      <c r="B687">
        <v>0.78</v>
      </c>
      <c r="C687">
        <v>0.23</v>
      </c>
      <c r="D687">
        <v>2.6</v>
      </c>
      <c r="E687">
        <v>5.9000000000000004E-2</v>
      </c>
      <c r="F687">
        <v>5</v>
      </c>
      <c r="G687">
        <v>15</v>
      </c>
      <c r="H687">
        <v>0.997</v>
      </c>
      <c r="I687">
        <v>3.37</v>
      </c>
      <c r="J687">
        <v>0.56000000000000005</v>
      </c>
      <c r="K687">
        <v>11.3</v>
      </c>
      <c r="L687">
        <v>5</v>
      </c>
      <c r="M687" t="str">
        <f t="shared" si="80"/>
        <v>Medium</v>
      </c>
      <c r="N687">
        <f>(winequality_red[[#This Row],[Updated Quality &amp; Alcohol Analysis]]+winequality_red[[#This Row],[volatile acidity]]+winequality_red[[#This Row],[citric acid]])</f>
        <v>9.11</v>
      </c>
      <c r="O687">
        <f t="shared" si="81"/>
        <v>3.8654867256637172E-2</v>
      </c>
      <c r="S687" t="e">
        <f t="shared" si="82"/>
        <v>#N/A</v>
      </c>
      <c r="T687" t="e">
        <f t="shared" si="83"/>
        <v>#N/A</v>
      </c>
      <c r="U687">
        <f t="shared" si="84"/>
        <v>11.3</v>
      </c>
      <c r="V687">
        <f t="shared" si="85"/>
        <v>5</v>
      </c>
      <c r="W687" t="e">
        <f t="shared" si="86"/>
        <v>#N/A</v>
      </c>
      <c r="X687" t="e">
        <f t="shared" si="87"/>
        <v>#N/A</v>
      </c>
    </row>
    <row r="688" spans="1:24" x14ac:dyDescent="0.3">
      <c r="A688">
        <v>7.1</v>
      </c>
      <c r="B688">
        <v>0.65</v>
      </c>
      <c r="C688">
        <v>0.18</v>
      </c>
      <c r="D688">
        <v>1.8</v>
      </c>
      <c r="E688">
        <v>7.0000000000000007E-2</v>
      </c>
      <c r="F688">
        <v>13</v>
      </c>
      <c r="G688">
        <v>40</v>
      </c>
      <c r="H688">
        <v>0.997</v>
      </c>
      <c r="I688">
        <v>3.44</v>
      </c>
      <c r="J688">
        <v>0.6</v>
      </c>
      <c r="K688">
        <v>9.1</v>
      </c>
      <c r="L688">
        <v>5</v>
      </c>
      <c r="M688" t="str">
        <f t="shared" si="80"/>
        <v>Medium</v>
      </c>
      <c r="N688">
        <f>(winequality_red[[#This Row],[Updated Quality &amp; Alcohol Analysis]]+winequality_red[[#This Row],[volatile acidity]]+winequality_red[[#This Row],[citric acid]])</f>
        <v>7.93</v>
      </c>
      <c r="O688">
        <f t="shared" si="81"/>
        <v>4.2857142857142858E-2</v>
      </c>
      <c r="S688" t="e">
        <f t="shared" si="82"/>
        <v>#N/A</v>
      </c>
      <c r="T688" t="e">
        <f t="shared" si="83"/>
        <v>#N/A</v>
      </c>
      <c r="U688">
        <f t="shared" si="84"/>
        <v>9.1</v>
      </c>
      <c r="V688">
        <f t="shared" si="85"/>
        <v>5</v>
      </c>
      <c r="W688" t="e">
        <f t="shared" si="86"/>
        <v>#N/A</v>
      </c>
      <c r="X688" t="e">
        <f t="shared" si="87"/>
        <v>#N/A</v>
      </c>
    </row>
    <row r="689" spans="1:24" x14ac:dyDescent="0.3">
      <c r="A689">
        <v>9.1</v>
      </c>
      <c r="B689">
        <v>0.64</v>
      </c>
      <c r="C689">
        <v>0.23</v>
      </c>
      <c r="D689">
        <v>3.1</v>
      </c>
      <c r="E689">
        <v>9.5000000000000001E-2</v>
      </c>
      <c r="F689">
        <v>13</v>
      </c>
      <c r="G689">
        <v>38</v>
      </c>
      <c r="H689">
        <v>0.99980000000000002</v>
      </c>
      <c r="I689">
        <v>3.28</v>
      </c>
      <c r="J689">
        <v>0.59</v>
      </c>
      <c r="K689">
        <v>9.6999999999999993</v>
      </c>
      <c r="L689">
        <v>5</v>
      </c>
      <c r="M689" t="str">
        <f t="shared" si="80"/>
        <v>Medium</v>
      </c>
      <c r="N689">
        <f>(winequality_red[[#This Row],[Updated Quality &amp; Alcohol Analysis]]+winequality_red[[#This Row],[volatile acidity]]+winequality_red[[#This Row],[citric acid]])</f>
        <v>9.9700000000000006</v>
      </c>
      <c r="O689">
        <f t="shared" si="81"/>
        <v>3.8927835051546393E-2</v>
      </c>
      <c r="S689" t="e">
        <f t="shared" si="82"/>
        <v>#N/A</v>
      </c>
      <c r="T689" t="e">
        <f t="shared" si="83"/>
        <v>#N/A</v>
      </c>
      <c r="U689">
        <f t="shared" si="84"/>
        <v>9.6999999999999993</v>
      </c>
      <c r="V689">
        <f t="shared" si="85"/>
        <v>5</v>
      </c>
      <c r="W689" t="e">
        <f t="shared" si="86"/>
        <v>#N/A</v>
      </c>
      <c r="X689" t="e">
        <f t="shared" si="87"/>
        <v>#N/A</v>
      </c>
    </row>
    <row r="690" spans="1:24" x14ac:dyDescent="0.3">
      <c r="A690">
        <v>7.7</v>
      </c>
      <c r="B690">
        <v>0.66</v>
      </c>
      <c r="C690">
        <v>0.04</v>
      </c>
      <c r="D690">
        <v>1.6</v>
      </c>
      <c r="E690">
        <v>3.9E-2</v>
      </c>
      <c r="F690">
        <v>4</v>
      </c>
      <c r="G690">
        <v>9</v>
      </c>
      <c r="H690">
        <v>0.99619999999999997</v>
      </c>
      <c r="I690">
        <v>3.4</v>
      </c>
      <c r="J690">
        <v>0.47</v>
      </c>
      <c r="K690">
        <v>9.4</v>
      </c>
      <c r="L690">
        <v>5</v>
      </c>
      <c r="M690" t="str">
        <f t="shared" si="80"/>
        <v>Medium</v>
      </c>
      <c r="N690">
        <f>(winequality_red[[#This Row],[Updated Quality &amp; Alcohol Analysis]]+winequality_red[[#This Row],[volatile acidity]]+winequality_red[[#This Row],[citric acid]])</f>
        <v>8.3999999999999986</v>
      </c>
      <c r="O690">
        <f t="shared" si="81"/>
        <v>3.2999999999999995E-2</v>
      </c>
      <c r="S690" t="e">
        <f t="shared" si="82"/>
        <v>#N/A</v>
      </c>
      <c r="T690" t="e">
        <f t="shared" si="83"/>
        <v>#N/A</v>
      </c>
      <c r="U690">
        <f t="shared" si="84"/>
        <v>9.4</v>
      </c>
      <c r="V690">
        <f t="shared" si="85"/>
        <v>5</v>
      </c>
      <c r="W690" t="e">
        <f t="shared" si="86"/>
        <v>#N/A</v>
      </c>
      <c r="X690" t="e">
        <f t="shared" si="87"/>
        <v>#N/A</v>
      </c>
    </row>
    <row r="691" spans="1:24" x14ac:dyDescent="0.3">
      <c r="A691">
        <v>8.1</v>
      </c>
      <c r="B691">
        <v>0.38</v>
      </c>
      <c r="C691">
        <v>0.48</v>
      </c>
      <c r="D691">
        <v>1.8</v>
      </c>
      <c r="E691">
        <v>0.157</v>
      </c>
      <c r="F691">
        <v>5</v>
      </c>
      <c r="G691">
        <v>17</v>
      </c>
      <c r="H691">
        <v>0.99760000000000004</v>
      </c>
      <c r="I691">
        <v>3.3</v>
      </c>
      <c r="J691">
        <v>1.05</v>
      </c>
      <c r="K691">
        <v>9.4</v>
      </c>
      <c r="L691">
        <v>5</v>
      </c>
      <c r="M691" t="str">
        <f t="shared" si="80"/>
        <v>Medium</v>
      </c>
      <c r="N691">
        <f>(winequality_red[[#This Row],[Updated Quality &amp; Alcohol Analysis]]+winequality_red[[#This Row],[volatile acidity]]+winequality_red[[#This Row],[citric acid]])</f>
        <v>8.9600000000000009</v>
      </c>
      <c r="O691">
        <f t="shared" si="81"/>
        <v>4.2446808510638298E-2</v>
      </c>
      <c r="S691" t="e">
        <f t="shared" si="82"/>
        <v>#N/A</v>
      </c>
      <c r="T691" t="e">
        <f t="shared" si="83"/>
        <v>#N/A</v>
      </c>
      <c r="U691">
        <f t="shared" si="84"/>
        <v>9.4</v>
      </c>
      <c r="V691">
        <f t="shared" si="85"/>
        <v>5</v>
      </c>
      <c r="W691" t="e">
        <f t="shared" si="86"/>
        <v>#N/A</v>
      </c>
      <c r="X691" t="e">
        <f t="shared" si="87"/>
        <v>#N/A</v>
      </c>
    </row>
    <row r="692" spans="1:24" x14ac:dyDescent="0.3">
      <c r="A692">
        <v>7.4</v>
      </c>
      <c r="B692">
        <v>1.1850000000000001</v>
      </c>
      <c r="C692">
        <v>0</v>
      </c>
      <c r="D692">
        <v>4.25</v>
      </c>
      <c r="E692">
        <v>9.6999999999999989E-2</v>
      </c>
      <c r="F692">
        <v>5</v>
      </c>
      <c r="G692">
        <v>14</v>
      </c>
      <c r="H692">
        <v>0.99660000000000004</v>
      </c>
      <c r="I692">
        <v>3.63</v>
      </c>
      <c r="J692">
        <v>0.54</v>
      </c>
      <c r="K692">
        <v>10.7</v>
      </c>
      <c r="L692">
        <v>3</v>
      </c>
      <c r="M692" t="str">
        <f t="shared" si="80"/>
        <v>Low</v>
      </c>
      <c r="N692">
        <f>(winequality_red[[#This Row],[Updated Quality &amp; Alcohol Analysis]]+winequality_red[[#This Row],[volatile acidity]]+winequality_red[[#This Row],[citric acid]])</f>
        <v>8.5850000000000009</v>
      </c>
      <c r="O692">
        <f t="shared" si="81"/>
        <v>5.9803738317757017E-2</v>
      </c>
      <c r="S692">
        <f t="shared" si="82"/>
        <v>10.7</v>
      </c>
      <c r="T692">
        <f t="shared" si="83"/>
        <v>3</v>
      </c>
      <c r="U692" t="e">
        <f t="shared" si="84"/>
        <v>#N/A</v>
      </c>
      <c r="V692" t="e">
        <f t="shared" si="85"/>
        <v>#N/A</v>
      </c>
      <c r="W692" t="e">
        <f t="shared" si="86"/>
        <v>#N/A</v>
      </c>
      <c r="X692" t="e">
        <f t="shared" si="87"/>
        <v>#N/A</v>
      </c>
    </row>
    <row r="693" spans="1:24" x14ac:dyDescent="0.3">
      <c r="A693">
        <v>9.1999999999999993</v>
      </c>
      <c r="B693">
        <v>0.92</v>
      </c>
      <c r="C693">
        <v>0.24</v>
      </c>
      <c r="D693">
        <v>2.6</v>
      </c>
      <c r="E693">
        <v>8.6999999999999994E-2</v>
      </c>
      <c r="F693">
        <v>12</v>
      </c>
      <c r="G693">
        <v>93</v>
      </c>
      <c r="H693">
        <v>0.99980000000000002</v>
      </c>
      <c r="I693">
        <v>3.48</v>
      </c>
      <c r="J693">
        <v>0.54</v>
      </c>
      <c r="K693">
        <v>9.8000000000000007</v>
      </c>
      <c r="L693">
        <v>5</v>
      </c>
      <c r="M693" t="str">
        <f t="shared" si="80"/>
        <v>Medium</v>
      </c>
      <c r="N693">
        <f>(winequality_red[[#This Row],[Updated Quality &amp; Alcohol Analysis]]+winequality_red[[#This Row],[volatile acidity]]+winequality_red[[#This Row],[citric acid]])</f>
        <v>10.36</v>
      </c>
      <c r="O693">
        <f t="shared" si="81"/>
        <v>5.0693877551020415E-2</v>
      </c>
      <c r="S693" t="e">
        <f t="shared" si="82"/>
        <v>#N/A</v>
      </c>
      <c r="T693" t="e">
        <f t="shared" si="83"/>
        <v>#N/A</v>
      </c>
      <c r="U693">
        <f t="shared" si="84"/>
        <v>9.8000000000000007</v>
      </c>
      <c r="V693">
        <f t="shared" si="85"/>
        <v>5</v>
      </c>
      <c r="W693" t="e">
        <f t="shared" si="86"/>
        <v>#N/A</v>
      </c>
      <c r="X693" t="e">
        <f t="shared" si="87"/>
        <v>#N/A</v>
      </c>
    </row>
    <row r="694" spans="1:24" x14ac:dyDescent="0.3">
      <c r="A694">
        <v>8.6</v>
      </c>
      <c r="B694">
        <v>0.49</v>
      </c>
      <c r="C694">
        <v>0.51</v>
      </c>
      <c r="D694">
        <v>2</v>
      </c>
      <c r="E694">
        <v>0.42200000000000004</v>
      </c>
      <c r="F694">
        <v>16</v>
      </c>
      <c r="G694">
        <v>62</v>
      </c>
      <c r="H694">
        <v>0.99790000000000001</v>
      </c>
      <c r="I694">
        <v>3.03</v>
      </c>
      <c r="J694">
        <v>1.17</v>
      </c>
      <c r="K694">
        <v>9</v>
      </c>
      <c r="L694">
        <v>5</v>
      </c>
      <c r="M694" t="str">
        <f t="shared" si="80"/>
        <v>Medium</v>
      </c>
      <c r="N694">
        <f>(winequality_red[[#This Row],[Updated Quality &amp; Alcohol Analysis]]+winequality_red[[#This Row],[volatile acidity]]+winequality_red[[#This Row],[citric acid]])</f>
        <v>9.6</v>
      </c>
      <c r="O694">
        <f t="shared" si="81"/>
        <v>6.3699999999999993E-2</v>
      </c>
      <c r="S694" t="e">
        <f t="shared" si="82"/>
        <v>#N/A</v>
      </c>
      <c r="T694" t="e">
        <f t="shared" si="83"/>
        <v>#N/A</v>
      </c>
      <c r="U694">
        <f t="shared" si="84"/>
        <v>9</v>
      </c>
      <c r="V694">
        <f t="shared" si="85"/>
        <v>5</v>
      </c>
      <c r="W694" t="e">
        <f t="shared" si="86"/>
        <v>#N/A</v>
      </c>
      <c r="X694" t="e">
        <f t="shared" si="87"/>
        <v>#N/A</v>
      </c>
    </row>
    <row r="695" spans="1:24" x14ac:dyDescent="0.3">
      <c r="A695">
        <v>9</v>
      </c>
      <c r="B695">
        <v>0.48</v>
      </c>
      <c r="C695">
        <v>0.32</v>
      </c>
      <c r="D695">
        <v>2.8</v>
      </c>
      <c r="E695">
        <v>8.4000000000000005E-2</v>
      </c>
      <c r="F695">
        <v>21</v>
      </c>
      <c r="G695">
        <v>122</v>
      </c>
      <c r="H695">
        <v>0.99839999999999995</v>
      </c>
      <c r="I695">
        <v>3.32</v>
      </c>
      <c r="J695">
        <v>0.62</v>
      </c>
      <c r="K695">
        <v>9.4</v>
      </c>
      <c r="L695">
        <v>5</v>
      </c>
      <c r="M695" t="str">
        <f t="shared" si="80"/>
        <v>Medium</v>
      </c>
      <c r="N695">
        <f>(winequality_red[[#This Row],[Updated Quality &amp; Alcohol Analysis]]+winequality_red[[#This Row],[volatile acidity]]+winequality_red[[#This Row],[citric acid]])</f>
        <v>9.8000000000000007</v>
      </c>
      <c r="O695">
        <f t="shared" si="81"/>
        <v>3.1659574468085101E-2</v>
      </c>
      <c r="S695" t="e">
        <f t="shared" si="82"/>
        <v>#N/A</v>
      </c>
      <c r="T695" t="e">
        <f t="shared" si="83"/>
        <v>#N/A</v>
      </c>
      <c r="U695">
        <f t="shared" si="84"/>
        <v>9.4</v>
      </c>
      <c r="V695">
        <f t="shared" si="85"/>
        <v>5</v>
      </c>
      <c r="W695" t="e">
        <f t="shared" si="86"/>
        <v>#N/A</v>
      </c>
      <c r="X695" t="e">
        <f t="shared" si="87"/>
        <v>#N/A</v>
      </c>
    </row>
    <row r="696" spans="1:24" x14ac:dyDescent="0.3">
      <c r="A696">
        <v>9</v>
      </c>
      <c r="B696">
        <v>0.47</v>
      </c>
      <c r="C696">
        <v>0.31</v>
      </c>
      <c r="D696">
        <v>2.7</v>
      </c>
      <c r="E696">
        <v>8.4000000000000005E-2</v>
      </c>
      <c r="F696">
        <v>24</v>
      </c>
      <c r="G696">
        <v>125</v>
      </c>
      <c r="H696">
        <v>0.99839999999999995</v>
      </c>
      <c r="I696">
        <v>3.31</v>
      </c>
      <c r="J696">
        <v>0.61</v>
      </c>
      <c r="K696">
        <v>9.4</v>
      </c>
      <c r="L696">
        <v>5</v>
      </c>
      <c r="M696" t="str">
        <f t="shared" si="80"/>
        <v>Medium</v>
      </c>
      <c r="N696">
        <f>(winequality_red[[#This Row],[Updated Quality &amp; Alcohol Analysis]]+winequality_red[[#This Row],[volatile acidity]]+winequality_red[[#This Row],[citric acid]])</f>
        <v>9.7800000000000011</v>
      </c>
      <c r="O696">
        <f t="shared" si="81"/>
        <v>3.0499999999999992E-2</v>
      </c>
      <c r="S696" t="e">
        <f t="shared" si="82"/>
        <v>#N/A</v>
      </c>
      <c r="T696" t="e">
        <f t="shared" si="83"/>
        <v>#N/A</v>
      </c>
      <c r="U696">
        <f t="shared" si="84"/>
        <v>9.4</v>
      </c>
      <c r="V696">
        <f t="shared" si="85"/>
        <v>5</v>
      </c>
      <c r="W696" t="e">
        <f t="shared" si="86"/>
        <v>#N/A</v>
      </c>
      <c r="X696" t="e">
        <f t="shared" si="87"/>
        <v>#N/A</v>
      </c>
    </row>
    <row r="697" spans="1:24" x14ac:dyDescent="0.3">
      <c r="A697">
        <v>5.0999999999999996</v>
      </c>
      <c r="B697">
        <v>0.47</v>
      </c>
      <c r="C697">
        <v>0.02</v>
      </c>
      <c r="D697">
        <v>1.3</v>
      </c>
      <c r="E697">
        <v>3.4000000000000002E-2</v>
      </c>
      <c r="F697">
        <v>18</v>
      </c>
      <c r="G697">
        <v>44</v>
      </c>
      <c r="H697">
        <v>0.99209999999999998</v>
      </c>
      <c r="I697">
        <v>3.9</v>
      </c>
      <c r="J697">
        <v>0.62</v>
      </c>
      <c r="K697">
        <v>12.8</v>
      </c>
      <c r="L697">
        <v>6</v>
      </c>
      <c r="M697" t="str">
        <f t="shared" si="80"/>
        <v>Medium</v>
      </c>
      <c r="N697">
        <f>(winequality_red[[#This Row],[Updated Quality &amp; Alcohol Analysis]]+winequality_red[[#This Row],[volatile acidity]]+winequality_red[[#This Row],[citric acid]])</f>
        <v>5.589999999999999</v>
      </c>
      <c r="O697">
        <f t="shared" si="81"/>
        <v>2.2765624999999998E-2</v>
      </c>
      <c r="S697" t="e">
        <f t="shared" si="82"/>
        <v>#N/A</v>
      </c>
      <c r="T697" t="e">
        <f t="shared" si="83"/>
        <v>#N/A</v>
      </c>
      <c r="U697">
        <f t="shared" si="84"/>
        <v>12.8</v>
      </c>
      <c r="V697">
        <f t="shared" si="85"/>
        <v>6</v>
      </c>
      <c r="W697" t="e">
        <f t="shared" si="86"/>
        <v>#N/A</v>
      </c>
      <c r="X697" t="e">
        <f t="shared" si="87"/>
        <v>#N/A</v>
      </c>
    </row>
    <row r="698" spans="1:24" x14ac:dyDescent="0.3">
      <c r="A698">
        <v>7</v>
      </c>
      <c r="B698">
        <v>0.65</v>
      </c>
      <c r="C698">
        <v>0.02</v>
      </c>
      <c r="D698">
        <v>2.1</v>
      </c>
      <c r="E698">
        <v>6.6000000000000003E-2</v>
      </c>
      <c r="F698">
        <v>8</v>
      </c>
      <c r="G698">
        <v>25</v>
      </c>
      <c r="H698">
        <v>0.99719999999999998</v>
      </c>
      <c r="I698">
        <v>3.47</v>
      </c>
      <c r="J698">
        <v>0.67</v>
      </c>
      <c r="K698">
        <v>9.5</v>
      </c>
      <c r="L698">
        <v>6</v>
      </c>
      <c r="M698" t="str">
        <f t="shared" si="80"/>
        <v>Medium</v>
      </c>
      <c r="N698">
        <f>(winequality_red[[#This Row],[Updated Quality &amp; Alcohol Analysis]]+winequality_red[[#This Row],[volatile acidity]]+winequality_red[[#This Row],[citric acid]])</f>
        <v>7.67</v>
      </c>
      <c r="O698">
        <f t="shared" si="81"/>
        <v>4.5842105263157899E-2</v>
      </c>
      <c r="S698" t="e">
        <f t="shared" si="82"/>
        <v>#N/A</v>
      </c>
      <c r="T698" t="e">
        <f t="shared" si="83"/>
        <v>#N/A</v>
      </c>
      <c r="U698">
        <f t="shared" si="84"/>
        <v>9.5</v>
      </c>
      <c r="V698">
        <f t="shared" si="85"/>
        <v>6</v>
      </c>
      <c r="W698" t="e">
        <f t="shared" si="86"/>
        <v>#N/A</v>
      </c>
      <c r="X698" t="e">
        <f t="shared" si="87"/>
        <v>#N/A</v>
      </c>
    </row>
    <row r="699" spans="1:24" x14ac:dyDescent="0.3">
      <c r="A699">
        <v>7</v>
      </c>
      <c r="B699">
        <v>0.65</v>
      </c>
      <c r="C699">
        <v>0.02</v>
      </c>
      <c r="D699">
        <v>2.1</v>
      </c>
      <c r="E699">
        <v>6.6000000000000003E-2</v>
      </c>
      <c r="F699">
        <v>8</v>
      </c>
      <c r="G699">
        <v>25</v>
      </c>
      <c r="H699">
        <v>0.99719999999999998</v>
      </c>
      <c r="I699">
        <v>3.47</v>
      </c>
      <c r="J699">
        <v>0.67</v>
      </c>
      <c r="K699">
        <v>9.5</v>
      </c>
      <c r="L699">
        <v>6</v>
      </c>
      <c r="M699" t="str">
        <f t="shared" si="80"/>
        <v>Medium</v>
      </c>
      <c r="N699">
        <f>(winequality_red[[#This Row],[Updated Quality &amp; Alcohol Analysis]]+winequality_red[[#This Row],[volatile acidity]]+winequality_red[[#This Row],[citric acid]])</f>
        <v>7.67</v>
      </c>
      <c r="O699">
        <f t="shared" si="81"/>
        <v>4.5842105263157899E-2</v>
      </c>
      <c r="S699" t="e">
        <f t="shared" si="82"/>
        <v>#N/A</v>
      </c>
      <c r="T699" t="e">
        <f t="shared" si="83"/>
        <v>#N/A</v>
      </c>
      <c r="U699">
        <f t="shared" si="84"/>
        <v>9.5</v>
      </c>
      <c r="V699">
        <f t="shared" si="85"/>
        <v>6</v>
      </c>
      <c r="W699" t="e">
        <f t="shared" si="86"/>
        <v>#N/A</v>
      </c>
      <c r="X699" t="e">
        <f t="shared" si="87"/>
        <v>#N/A</v>
      </c>
    </row>
    <row r="700" spans="1:24" x14ac:dyDescent="0.3">
      <c r="A700">
        <v>9.4</v>
      </c>
      <c r="B700">
        <v>0.61499999999999999</v>
      </c>
      <c r="C700">
        <v>0.28000000000000003</v>
      </c>
      <c r="D700">
        <v>3.2</v>
      </c>
      <c r="E700">
        <v>8.6999999999999994E-2</v>
      </c>
      <c r="F700">
        <v>18</v>
      </c>
      <c r="G700">
        <v>72</v>
      </c>
      <c r="H700">
        <v>1.0001</v>
      </c>
      <c r="I700">
        <v>3.31</v>
      </c>
      <c r="J700">
        <v>0.53</v>
      </c>
      <c r="K700">
        <v>9.6999999999999993</v>
      </c>
      <c r="L700">
        <v>5</v>
      </c>
      <c r="M700" t="str">
        <f t="shared" si="80"/>
        <v>Medium</v>
      </c>
      <c r="N700">
        <f>(winequality_red[[#This Row],[Updated Quality &amp; Alcohol Analysis]]+winequality_red[[#This Row],[volatile acidity]]+winequality_red[[#This Row],[citric acid]])</f>
        <v>10.295</v>
      </c>
      <c r="O700">
        <f t="shared" si="81"/>
        <v>3.3603092783505158E-2</v>
      </c>
      <c r="S700" t="e">
        <f t="shared" si="82"/>
        <v>#N/A</v>
      </c>
      <c r="T700" t="e">
        <f t="shared" si="83"/>
        <v>#N/A</v>
      </c>
      <c r="U700">
        <f t="shared" si="84"/>
        <v>9.6999999999999993</v>
      </c>
      <c r="V700">
        <f t="shared" si="85"/>
        <v>5</v>
      </c>
      <c r="W700" t="e">
        <f t="shared" si="86"/>
        <v>#N/A</v>
      </c>
      <c r="X700" t="e">
        <f t="shared" si="87"/>
        <v>#N/A</v>
      </c>
    </row>
    <row r="701" spans="1:24" x14ac:dyDescent="0.3">
      <c r="A701">
        <v>11.8</v>
      </c>
      <c r="B701">
        <v>0.38</v>
      </c>
      <c r="C701">
        <v>0.55000000000000004</v>
      </c>
      <c r="D701">
        <v>2.1</v>
      </c>
      <c r="E701">
        <v>7.0999999999999994E-2</v>
      </c>
      <c r="F701">
        <v>5</v>
      </c>
      <c r="G701">
        <v>19</v>
      </c>
      <c r="H701">
        <v>0.99860000000000004</v>
      </c>
      <c r="I701">
        <v>3.11</v>
      </c>
      <c r="J701">
        <v>0.62</v>
      </c>
      <c r="K701">
        <v>10.8</v>
      </c>
      <c r="L701">
        <v>6</v>
      </c>
      <c r="M701" t="str">
        <f t="shared" si="80"/>
        <v>Medium</v>
      </c>
      <c r="N701">
        <f>(winequality_red[[#This Row],[Updated Quality &amp; Alcohol Analysis]]+winequality_red[[#This Row],[volatile acidity]]+winequality_red[[#This Row],[citric acid]])</f>
        <v>12.730000000000002</v>
      </c>
      <c r="O701">
        <f t="shared" si="81"/>
        <v>2.1814814814814815E-2</v>
      </c>
      <c r="S701" t="e">
        <f t="shared" si="82"/>
        <v>#N/A</v>
      </c>
      <c r="T701" t="e">
        <f t="shared" si="83"/>
        <v>#N/A</v>
      </c>
      <c r="U701">
        <f t="shared" si="84"/>
        <v>10.8</v>
      </c>
      <c r="V701">
        <f t="shared" si="85"/>
        <v>6</v>
      </c>
      <c r="W701" t="e">
        <f t="shared" si="86"/>
        <v>#N/A</v>
      </c>
      <c r="X701" t="e">
        <f t="shared" si="87"/>
        <v>#N/A</v>
      </c>
    </row>
    <row r="702" spans="1:24" x14ac:dyDescent="0.3">
      <c r="A702">
        <v>10.6</v>
      </c>
      <c r="B702">
        <v>1.02</v>
      </c>
      <c r="C702">
        <v>0.43</v>
      </c>
      <c r="D702">
        <v>2.9</v>
      </c>
      <c r="E702">
        <v>7.5999999999999998E-2</v>
      </c>
      <c r="F702">
        <v>26</v>
      </c>
      <c r="G702">
        <v>88</v>
      </c>
      <c r="H702">
        <v>0.99839999999999995</v>
      </c>
      <c r="I702">
        <v>3.08</v>
      </c>
      <c r="J702">
        <v>0.56999999999999995</v>
      </c>
      <c r="K702">
        <v>10.1</v>
      </c>
      <c r="L702">
        <v>6</v>
      </c>
      <c r="M702" t="str">
        <f t="shared" si="80"/>
        <v>Medium</v>
      </c>
      <c r="N702">
        <f>(winequality_red[[#This Row],[Updated Quality &amp; Alcohol Analysis]]+winequality_red[[#This Row],[volatile acidity]]+winequality_red[[#This Row],[citric acid]])</f>
        <v>12.049999999999999</v>
      </c>
      <c r="O702">
        <f t="shared" si="81"/>
        <v>5.756435643564356E-2</v>
      </c>
      <c r="S702" t="e">
        <f t="shared" si="82"/>
        <v>#N/A</v>
      </c>
      <c r="T702" t="e">
        <f t="shared" si="83"/>
        <v>#N/A</v>
      </c>
      <c r="U702">
        <f t="shared" si="84"/>
        <v>10.1</v>
      </c>
      <c r="V702">
        <f t="shared" si="85"/>
        <v>6</v>
      </c>
      <c r="W702" t="e">
        <f t="shared" si="86"/>
        <v>#N/A</v>
      </c>
      <c r="X702" t="e">
        <f t="shared" si="87"/>
        <v>#N/A</v>
      </c>
    </row>
    <row r="703" spans="1:24" x14ac:dyDescent="0.3">
      <c r="A703">
        <v>7</v>
      </c>
      <c r="B703">
        <v>0.65</v>
      </c>
      <c r="C703">
        <v>0.02</v>
      </c>
      <c r="D703">
        <v>2.1</v>
      </c>
      <c r="E703">
        <v>6.6000000000000003E-2</v>
      </c>
      <c r="F703">
        <v>8</v>
      </c>
      <c r="G703">
        <v>25</v>
      </c>
      <c r="H703">
        <v>0.99719999999999998</v>
      </c>
      <c r="I703">
        <v>3.47</v>
      </c>
      <c r="J703">
        <v>0.67</v>
      </c>
      <c r="K703">
        <v>9.5</v>
      </c>
      <c r="L703">
        <v>6</v>
      </c>
      <c r="M703" t="str">
        <f t="shared" si="80"/>
        <v>Medium</v>
      </c>
      <c r="N703">
        <f>(winequality_red[[#This Row],[Updated Quality &amp; Alcohol Analysis]]+winequality_red[[#This Row],[volatile acidity]]+winequality_red[[#This Row],[citric acid]])</f>
        <v>7.67</v>
      </c>
      <c r="O703">
        <f t="shared" si="81"/>
        <v>4.5842105263157899E-2</v>
      </c>
      <c r="S703" t="e">
        <f t="shared" si="82"/>
        <v>#N/A</v>
      </c>
      <c r="T703" t="e">
        <f t="shared" si="83"/>
        <v>#N/A</v>
      </c>
      <c r="U703">
        <f t="shared" si="84"/>
        <v>9.5</v>
      </c>
      <c r="V703">
        <f t="shared" si="85"/>
        <v>6</v>
      </c>
      <c r="W703" t="e">
        <f t="shared" si="86"/>
        <v>#N/A</v>
      </c>
      <c r="X703" t="e">
        <f t="shared" si="87"/>
        <v>#N/A</v>
      </c>
    </row>
    <row r="704" spans="1:24" x14ac:dyDescent="0.3">
      <c r="A704">
        <v>7</v>
      </c>
      <c r="B704">
        <v>0.64</v>
      </c>
      <c r="C704">
        <v>0.02</v>
      </c>
      <c r="D704">
        <v>2.1</v>
      </c>
      <c r="E704">
        <v>6.7000000000000004E-2</v>
      </c>
      <c r="F704">
        <v>9</v>
      </c>
      <c r="G704">
        <v>23</v>
      </c>
      <c r="H704">
        <v>0.997</v>
      </c>
      <c r="I704">
        <v>3.47</v>
      </c>
      <c r="J704">
        <v>0.67</v>
      </c>
      <c r="K704">
        <v>9.4</v>
      </c>
      <c r="L704">
        <v>6</v>
      </c>
      <c r="M704" t="str">
        <f t="shared" si="80"/>
        <v>Medium</v>
      </c>
      <c r="N704">
        <f>(winequality_red[[#This Row],[Updated Quality &amp; Alcohol Analysis]]+winequality_red[[#This Row],[volatile acidity]]+winequality_red[[#This Row],[citric acid]])</f>
        <v>7.6599999999999993</v>
      </c>
      <c r="O704">
        <f t="shared" si="81"/>
        <v>4.5617021276595747E-2</v>
      </c>
      <c r="S704" t="e">
        <f t="shared" si="82"/>
        <v>#N/A</v>
      </c>
      <c r="T704" t="e">
        <f t="shared" si="83"/>
        <v>#N/A</v>
      </c>
      <c r="U704">
        <f t="shared" si="84"/>
        <v>9.4</v>
      </c>
      <c r="V704">
        <f t="shared" si="85"/>
        <v>6</v>
      </c>
      <c r="W704" t="e">
        <f t="shared" si="86"/>
        <v>#N/A</v>
      </c>
      <c r="X704" t="e">
        <f t="shared" si="87"/>
        <v>#N/A</v>
      </c>
    </row>
    <row r="705" spans="1:24" x14ac:dyDescent="0.3">
      <c r="A705">
        <v>7.5</v>
      </c>
      <c r="B705">
        <v>0.38</v>
      </c>
      <c r="C705">
        <v>0.48</v>
      </c>
      <c r="D705">
        <v>2.6</v>
      </c>
      <c r="E705">
        <v>7.2999999999999995E-2</v>
      </c>
      <c r="F705">
        <v>22</v>
      </c>
      <c r="G705">
        <v>84</v>
      </c>
      <c r="H705">
        <v>0.99719999999999998</v>
      </c>
      <c r="I705">
        <v>3.32</v>
      </c>
      <c r="J705">
        <v>0.7</v>
      </c>
      <c r="K705">
        <v>9.6</v>
      </c>
      <c r="L705">
        <v>4</v>
      </c>
      <c r="M705" t="str">
        <f t="shared" si="80"/>
        <v>Low</v>
      </c>
      <c r="N705">
        <f>(winequality_red[[#This Row],[Updated Quality &amp; Alcohol Analysis]]+winequality_red[[#This Row],[volatile acidity]]+winequality_red[[#This Row],[citric acid]])</f>
        <v>8.36</v>
      </c>
      <c r="O705">
        <f t="shared" si="81"/>
        <v>2.7708333333333331E-2</v>
      </c>
      <c r="S705">
        <f t="shared" si="82"/>
        <v>9.6</v>
      </c>
      <c r="T705">
        <f t="shared" si="83"/>
        <v>4</v>
      </c>
      <c r="U705" t="e">
        <f t="shared" si="84"/>
        <v>#N/A</v>
      </c>
      <c r="V705" t="e">
        <f t="shared" si="85"/>
        <v>#N/A</v>
      </c>
      <c r="W705" t="e">
        <f t="shared" si="86"/>
        <v>#N/A</v>
      </c>
      <c r="X705" t="e">
        <f t="shared" si="87"/>
        <v>#N/A</v>
      </c>
    </row>
    <row r="706" spans="1:24" x14ac:dyDescent="0.3">
      <c r="A706">
        <v>9.1</v>
      </c>
      <c r="B706">
        <v>0.76500000000000001</v>
      </c>
      <c r="C706">
        <v>0.04</v>
      </c>
      <c r="D706">
        <v>1.6</v>
      </c>
      <c r="E706">
        <v>7.8E-2</v>
      </c>
      <c r="F706">
        <v>4</v>
      </c>
      <c r="G706">
        <v>14</v>
      </c>
      <c r="H706">
        <v>0.998</v>
      </c>
      <c r="I706">
        <v>3.29</v>
      </c>
      <c r="J706">
        <v>0.54</v>
      </c>
      <c r="K706">
        <v>9.6999999999999993</v>
      </c>
      <c r="L706">
        <v>4</v>
      </c>
      <c r="M706" t="str">
        <f t="shared" ref="M706:M769" si="88">IF($L706&gt;=7,"High",IF($L706&gt;=5,"Medium","Low"))</f>
        <v>Low</v>
      </c>
      <c r="N706">
        <f>(winequality_red[[#This Row],[Updated Quality &amp; Alcohol Analysis]]+winequality_red[[#This Row],[volatile acidity]]+winequality_red[[#This Row],[citric acid]])</f>
        <v>9.9049999999999994</v>
      </c>
      <c r="O706">
        <f t="shared" ref="O706:O769" si="89">($B706*$J706)/$K706</f>
        <v>4.2587628865979388E-2</v>
      </c>
      <c r="S706">
        <f t="shared" si="82"/>
        <v>9.6999999999999993</v>
      </c>
      <c r="T706">
        <f t="shared" si="83"/>
        <v>4</v>
      </c>
      <c r="U706" t="e">
        <f t="shared" si="84"/>
        <v>#N/A</v>
      </c>
      <c r="V706" t="e">
        <f t="shared" si="85"/>
        <v>#N/A</v>
      </c>
      <c r="W706" t="e">
        <f t="shared" si="86"/>
        <v>#N/A</v>
      </c>
      <c r="X706" t="e">
        <f t="shared" si="87"/>
        <v>#N/A</v>
      </c>
    </row>
    <row r="707" spans="1:24" x14ac:dyDescent="0.3">
      <c r="A707">
        <v>8.4</v>
      </c>
      <c r="B707">
        <v>1.0349999999999999</v>
      </c>
      <c r="C707">
        <v>0.15</v>
      </c>
      <c r="D707">
        <v>6</v>
      </c>
      <c r="E707">
        <v>7.2999999999999995E-2</v>
      </c>
      <c r="F707">
        <v>11</v>
      </c>
      <c r="G707">
        <v>54</v>
      </c>
      <c r="H707">
        <v>0.99900000000000011</v>
      </c>
      <c r="I707">
        <v>3.37</v>
      </c>
      <c r="J707">
        <v>0.49</v>
      </c>
      <c r="K707">
        <v>9.9</v>
      </c>
      <c r="L707">
        <v>5</v>
      </c>
      <c r="M707" t="str">
        <f t="shared" si="88"/>
        <v>Medium</v>
      </c>
      <c r="N707">
        <f>(winequality_red[[#This Row],[Updated Quality &amp; Alcohol Analysis]]+winequality_red[[#This Row],[volatile acidity]]+winequality_red[[#This Row],[citric acid]])</f>
        <v>9.5850000000000009</v>
      </c>
      <c r="O707">
        <f t="shared" si="89"/>
        <v>5.1227272727272725E-2</v>
      </c>
      <c r="S707" t="e">
        <f t="shared" ref="S707:S770" si="90">IF($M707="Low",$K707,NA())</f>
        <v>#N/A</v>
      </c>
      <c r="T707" t="e">
        <f t="shared" ref="T707:T770" si="91">IF($M707="Low",$L707,NA())</f>
        <v>#N/A</v>
      </c>
      <c r="U707">
        <f t="shared" ref="U707:U770" si="92">IF($M707="Medium",$K707,NA())</f>
        <v>9.9</v>
      </c>
      <c r="V707">
        <f t="shared" ref="V707:V770" si="93">IF($M707="Medium",$L707,NA())</f>
        <v>5</v>
      </c>
      <c r="W707" t="e">
        <f t="shared" ref="W707:W770" si="94">IF($M707="High",$K707,NA())</f>
        <v>#N/A</v>
      </c>
      <c r="X707" t="e">
        <f t="shared" ref="X707:X770" si="95">IF($M707="High",$L707,NA())</f>
        <v>#N/A</v>
      </c>
    </row>
    <row r="708" spans="1:24" x14ac:dyDescent="0.3">
      <c r="A708">
        <v>7</v>
      </c>
      <c r="B708">
        <v>0.78</v>
      </c>
      <c r="C708">
        <v>0.08</v>
      </c>
      <c r="D708">
        <v>2</v>
      </c>
      <c r="E708">
        <v>9.3000000000000013E-2</v>
      </c>
      <c r="F708">
        <v>10</v>
      </c>
      <c r="G708">
        <v>19</v>
      </c>
      <c r="H708">
        <v>0.99560000000000004</v>
      </c>
      <c r="I708">
        <v>3.4</v>
      </c>
      <c r="J708">
        <v>0.47</v>
      </c>
      <c r="K708">
        <v>10</v>
      </c>
      <c r="L708">
        <v>5</v>
      </c>
      <c r="M708" t="str">
        <f t="shared" si="88"/>
        <v>Medium</v>
      </c>
      <c r="N708">
        <f>(winequality_red[[#This Row],[Updated Quality &amp; Alcohol Analysis]]+winequality_red[[#This Row],[volatile acidity]]+winequality_red[[#This Row],[citric acid]])</f>
        <v>7.86</v>
      </c>
      <c r="O708">
        <f t="shared" si="89"/>
        <v>3.6659999999999998E-2</v>
      </c>
      <c r="S708" t="e">
        <f t="shared" si="90"/>
        <v>#N/A</v>
      </c>
      <c r="T708" t="e">
        <f t="shared" si="91"/>
        <v>#N/A</v>
      </c>
      <c r="U708">
        <f t="shared" si="92"/>
        <v>10</v>
      </c>
      <c r="V708">
        <f t="shared" si="93"/>
        <v>5</v>
      </c>
      <c r="W708" t="e">
        <f t="shared" si="94"/>
        <v>#N/A</v>
      </c>
      <c r="X708" t="e">
        <f t="shared" si="95"/>
        <v>#N/A</v>
      </c>
    </row>
    <row r="709" spans="1:24" x14ac:dyDescent="0.3">
      <c r="A709">
        <v>7.4</v>
      </c>
      <c r="B709">
        <v>0.49</v>
      </c>
      <c r="C709">
        <v>0.19</v>
      </c>
      <c r="D709">
        <v>3</v>
      </c>
      <c r="E709">
        <v>7.6999999999999999E-2</v>
      </c>
      <c r="F709">
        <v>16</v>
      </c>
      <c r="G709">
        <v>37</v>
      </c>
      <c r="H709">
        <v>0.99660000000000004</v>
      </c>
      <c r="I709">
        <v>3.37</v>
      </c>
      <c r="J709">
        <v>0.51</v>
      </c>
      <c r="K709">
        <v>10.5</v>
      </c>
      <c r="L709">
        <v>5</v>
      </c>
      <c r="M709" t="str">
        <f t="shared" si="88"/>
        <v>Medium</v>
      </c>
      <c r="N709">
        <f>(winequality_red[[#This Row],[Updated Quality &amp; Alcohol Analysis]]+winequality_red[[#This Row],[volatile acidity]]+winequality_red[[#This Row],[citric acid]])</f>
        <v>8.08</v>
      </c>
      <c r="O709">
        <f t="shared" si="89"/>
        <v>2.3800000000000002E-2</v>
      </c>
      <c r="S709" t="e">
        <f t="shared" si="90"/>
        <v>#N/A</v>
      </c>
      <c r="T709" t="e">
        <f t="shared" si="91"/>
        <v>#N/A</v>
      </c>
      <c r="U709">
        <f t="shared" si="92"/>
        <v>10.5</v>
      </c>
      <c r="V709">
        <f t="shared" si="93"/>
        <v>5</v>
      </c>
      <c r="W709" t="e">
        <f t="shared" si="94"/>
        <v>#N/A</v>
      </c>
      <c r="X709" t="e">
        <f t="shared" si="95"/>
        <v>#N/A</v>
      </c>
    </row>
    <row r="710" spans="1:24" x14ac:dyDescent="0.3">
      <c r="A710">
        <v>7.8</v>
      </c>
      <c r="B710">
        <v>0.54500000000000004</v>
      </c>
      <c r="C710">
        <v>0.12</v>
      </c>
      <c r="D710">
        <v>2.5</v>
      </c>
      <c r="E710">
        <v>6.8000000000000005E-2</v>
      </c>
      <c r="F710">
        <v>11</v>
      </c>
      <c r="G710">
        <v>35</v>
      </c>
      <c r="H710">
        <v>0.996</v>
      </c>
      <c r="I710">
        <v>3.34</v>
      </c>
      <c r="J710">
        <v>0.61</v>
      </c>
      <c r="K710">
        <v>11.6</v>
      </c>
      <c r="L710">
        <v>6</v>
      </c>
      <c r="M710" t="str">
        <f t="shared" si="88"/>
        <v>Medium</v>
      </c>
      <c r="N710">
        <f>(winequality_red[[#This Row],[Updated Quality &amp; Alcohol Analysis]]+winequality_red[[#This Row],[volatile acidity]]+winequality_red[[#This Row],[citric acid]])</f>
        <v>8.4649999999999999</v>
      </c>
      <c r="O710">
        <f t="shared" si="89"/>
        <v>2.8659482758620694E-2</v>
      </c>
      <c r="S710" t="e">
        <f t="shared" si="90"/>
        <v>#N/A</v>
      </c>
      <c r="T710" t="e">
        <f t="shared" si="91"/>
        <v>#N/A</v>
      </c>
      <c r="U710">
        <f t="shared" si="92"/>
        <v>11.6</v>
      </c>
      <c r="V710">
        <f t="shared" si="93"/>
        <v>6</v>
      </c>
      <c r="W710" t="e">
        <f t="shared" si="94"/>
        <v>#N/A</v>
      </c>
      <c r="X710" t="e">
        <f t="shared" si="95"/>
        <v>#N/A</v>
      </c>
    </row>
    <row r="711" spans="1:24" x14ac:dyDescent="0.3">
      <c r="A711">
        <v>9.6999999999999993</v>
      </c>
      <c r="B711">
        <v>0.31</v>
      </c>
      <c r="C711">
        <v>0.47</v>
      </c>
      <c r="D711">
        <v>1.6</v>
      </c>
      <c r="E711">
        <v>6.2E-2</v>
      </c>
      <c r="F711">
        <v>13</v>
      </c>
      <c r="G711">
        <v>33</v>
      </c>
      <c r="H711">
        <v>0.99829999999999997</v>
      </c>
      <c r="I711">
        <v>3.27</v>
      </c>
      <c r="J711">
        <v>0.66</v>
      </c>
      <c r="K711">
        <v>10</v>
      </c>
      <c r="L711">
        <v>6</v>
      </c>
      <c r="M711" t="str">
        <f t="shared" si="88"/>
        <v>Medium</v>
      </c>
      <c r="N711">
        <f>(winequality_red[[#This Row],[Updated Quality &amp; Alcohol Analysis]]+winequality_red[[#This Row],[volatile acidity]]+winequality_red[[#This Row],[citric acid]])</f>
        <v>10.48</v>
      </c>
      <c r="O711">
        <f t="shared" si="89"/>
        <v>2.0459999999999999E-2</v>
      </c>
      <c r="S711" t="e">
        <f t="shared" si="90"/>
        <v>#N/A</v>
      </c>
      <c r="T711" t="e">
        <f t="shared" si="91"/>
        <v>#N/A</v>
      </c>
      <c r="U711">
        <f t="shared" si="92"/>
        <v>10</v>
      </c>
      <c r="V711">
        <f t="shared" si="93"/>
        <v>6</v>
      </c>
      <c r="W711" t="e">
        <f t="shared" si="94"/>
        <v>#N/A</v>
      </c>
      <c r="X711" t="e">
        <f t="shared" si="95"/>
        <v>#N/A</v>
      </c>
    </row>
    <row r="712" spans="1:24" x14ac:dyDescent="0.3">
      <c r="A712">
        <v>10.6</v>
      </c>
      <c r="B712">
        <v>1.0249999999999999</v>
      </c>
      <c r="C712">
        <v>0.43</v>
      </c>
      <c r="D712">
        <v>2.8</v>
      </c>
      <c r="E712">
        <v>0.08</v>
      </c>
      <c r="F712">
        <v>21</v>
      </c>
      <c r="G712">
        <v>84</v>
      </c>
      <c r="H712">
        <v>0.99850000000000005</v>
      </c>
      <c r="I712">
        <v>3.06</v>
      </c>
      <c r="J712">
        <v>0.56999999999999995</v>
      </c>
      <c r="K712">
        <v>10.1</v>
      </c>
      <c r="L712">
        <v>5</v>
      </c>
      <c r="M712" t="str">
        <f t="shared" si="88"/>
        <v>Medium</v>
      </c>
      <c r="N712">
        <f>(winequality_red[[#This Row],[Updated Quality &amp; Alcohol Analysis]]+winequality_red[[#This Row],[volatile acidity]]+winequality_red[[#This Row],[citric acid]])</f>
        <v>12.055</v>
      </c>
      <c r="O712">
        <f t="shared" si="89"/>
        <v>5.7846534653465342E-2</v>
      </c>
      <c r="S712" t="e">
        <f t="shared" si="90"/>
        <v>#N/A</v>
      </c>
      <c r="T712" t="e">
        <f t="shared" si="91"/>
        <v>#N/A</v>
      </c>
      <c r="U712">
        <f t="shared" si="92"/>
        <v>10.1</v>
      </c>
      <c r="V712">
        <f t="shared" si="93"/>
        <v>5</v>
      </c>
      <c r="W712" t="e">
        <f t="shared" si="94"/>
        <v>#N/A</v>
      </c>
      <c r="X712" t="e">
        <f t="shared" si="95"/>
        <v>#N/A</v>
      </c>
    </row>
    <row r="713" spans="1:24" x14ac:dyDescent="0.3">
      <c r="A713">
        <v>8.9</v>
      </c>
      <c r="B713">
        <v>0.56499999999999995</v>
      </c>
      <c r="C713">
        <v>0.34</v>
      </c>
      <c r="D713">
        <v>3</v>
      </c>
      <c r="E713">
        <v>9.3000000000000013E-2</v>
      </c>
      <c r="F713">
        <v>16</v>
      </c>
      <c r="G713">
        <v>112</v>
      </c>
      <c r="H713">
        <v>0.99980000000000002</v>
      </c>
      <c r="I713">
        <v>3.38</v>
      </c>
      <c r="J713">
        <v>0.61</v>
      </c>
      <c r="K713">
        <v>9.5</v>
      </c>
      <c r="L713">
        <v>5</v>
      </c>
      <c r="M713" t="str">
        <f t="shared" si="88"/>
        <v>Medium</v>
      </c>
      <c r="N713">
        <f>(winequality_red[[#This Row],[Updated Quality &amp; Alcohol Analysis]]+winequality_red[[#This Row],[volatile acidity]]+winequality_red[[#This Row],[citric acid]])</f>
        <v>9.8049999999999997</v>
      </c>
      <c r="O713">
        <f t="shared" si="89"/>
        <v>3.627894736842105E-2</v>
      </c>
      <c r="S713" t="e">
        <f t="shared" si="90"/>
        <v>#N/A</v>
      </c>
      <c r="T713" t="e">
        <f t="shared" si="91"/>
        <v>#N/A</v>
      </c>
      <c r="U713">
        <f t="shared" si="92"/>
        <v>9.5</v>
      </c>
      <c r="V713">
        <f t="shared" si="93"/>
        <v>5</v>
      </c>
      <c r="W713" t="e">
        <f t="shared" si="94"/>
        <v>#N/A</v>
      </c>
      <c r="X713" t="e">
        <f t="shared" si="95"/>
        <v>#N/A</v>
      </c>
    </row>
    <row r="714" spans="1:24" x14ac:dyDescent="0.3">
      <c r="A714">
        <v>8.6999999999999993</v>
      </c>
      <c r="B714">
        <v>0.69</v>
      </c>
      <c r="C714">
        <v>0</v>
      </c>
      <c r="D714">
        <v>3.2</v>
      </c>
      <c r="E714">
        <v>8.4000000000000005E-2</v>
      </c>
      <c r="F714">
        <v>13</v>
      </c>
      <c r="G714">
        <v>33</v>
      </c>
      <c r="H714">
        <v>0.99919999999999998</v>
      </c>
      <c r="I714">
        <v>3.36</v>
      </c>
      <c r="J714">
        <v>0.45</v>
      </c>
      <c r="K714">
        <v>9.4</v>
      </c>
      <c r="L714">
        <v>5</v>
      </c>
      <c r="M714" t="str">
        <f t="shared" si="88"/>
        <v>Medium</v>
      </c>
      <c r="N714">
        <f>(winequality_red[[#This Row],[Updated Quality &amp; Alcohol Analysis]]+winequality_red[[#This Row],[volatile acidity]]+winequality_red[[#This Row],[citric acid]])</f>
        <v>9.3899999999999988</v>
      </c>
      <c r="O714">
        <f t="shared" si="89"/>
        <v>3.3031914893617023E-2</v>
      </c>
      <c r="S714" t="e">
        <f t="shared" si="90"/>
        <v>#N/A</v>
      </c>
      <c r="T714" t="e">
        <f t="shared" si="91"/>
        <v>#N/A</v>
      </c>
      <c r="U714">
        <f t="shared" si="92"/>
        <v>9.4</v>
      </c>
      <c r="V714">
        <f t="shared" si="93"/>
        <v>5</v>
      </c>
      <c r="W714" t="e">
        <f t="shared" si="94"/>
        <v>#N/A</v>
      </c>
      <c r="X714" t="e">
        <f t="shared" si="95"/>
        <v>#N/A</v>
      </c>
    </row>
    <row r="715" spans="1:24" x14ac:dyDescent="0.3">
      <c r="A715">
        <v>8</v>
      </c>
      <c r="B715">
        <v>0.43</v>
      </c>
      <c r="C715">
        <v>0.36</v>
      </c>
      <c r="D715">
        <v>2.2999999999999998</v>
      </c>
      <c r="E715">
        <v>7.4999999999999997E-2</v>
      </c>
      <c r="F715">
        <v>10</v>
      </c>
      <c r="G715">
        <v>48</v>
      </c>
      <c r="H715">
        <v>0.99760000000000004</v>
      </c>
      <c r="I715">
        <v>3.34</v>
      </c>
      <c r="J715">
        <v>0.46</v>
      </c>
      <c r="K715">
        <v>9.4</v>
      </c>
      <c r="L715">
        <v>5</v>
      </c>
      <c r="M715" t="str">
        <f t="shared" si="88"/>
        <v>Medium</v>
      </c>
      <c r="N715">
        <f>(winequality_red[[#This Row],[Updated Quality &amp; Alcohol Analysis]]+winequality_red[[#This Row],[volatile acidity]]+winequality_red[[#This Row],[citric acid]])</f>
        <v>8.7899999999999991</v>
      </c>
      <c r="O715">
        <f t="shared" si="89"/>
        <v>2.1042553191489361E-2</v>
      </c>
      <c r="S715" t="e">
        <f t="shared" si="90"/>
        <v>#N/A</v>
      </c>
      <c r="T715" t="e">
        <f t="shared" si="91"/>
        <v>#N/A</v>
      </c>
      <c r="U715">
        <f t="shared" si="92"/>
        <v>9.4</v>
      </c>
      <c r="V715">
        <f t="shared" si="93"/>
        <v>5</v>
      </c>
      <c r="W715" t="e">
        <f t="shared" si="94"/>
        <v>#N/A</v>
      </c>
      <c r="X715" t="e">
        <f t="shared" si="95"/>
        <v>#N/A</v>
      </c>
    </row>
    <row r="716" spans="1:24" x14ac:dyDescent="0.3">
      <c r="A716">
        <v>9.9</v>
      </c>
      <c r="B716">
        <v>0.74</v>
      </c>
      <c r="C716">
        <v>0.28000000000000003</v>
      </c>
      <c r="D716">
        <v>2.6</v>
      </c>
      <c r="E716">
        <v>7.8E-2</v>
      </c>
      <c r="F716">
        <v>21</v>
      </c>
      <c r="G716">
        <v>77</v>
      </c>
      <c r="H716">
        <v>0.998</v>
      </c>
      <c r="I716">
        <v>3.28</v>
      </c>
      <c r="J716">
        <v>0.51</v>
      </c>
      <c r="K716">
        <v>9.8000000000000007</v>
      </c>
      <c r="L716">
        <v>5</v>
      </c>
      <c r="M716" t="str">
        <f t="shared" si="88"/>
        <v>Medium</v>
      </c>
      <c r="N716">
        <f>(winequality_red[[#This Row],[Updated Quality &amp; Alcohol Analysis]]+winequality_red[[#This Row],[volatile acidity]]+winequality_red[[#This Row],[citric acid]])</f>
        <v>10.92</v>
      </c>
      <c r="O716">
        <f t="shared" si="89"/>
        <v>3.8510204081632651E-2</v>
      </c>
      <c r="S716" t="e">
        <f t="shared" si="90"/>
        <v>#N/A</v>
      </c>
      <c r="T716" t="e">
        <f t="shared" si="91"/>
        <v>#N/A</v>
      </c>
      <c r="U716">
        <f t="shared" si="92"/>
        <v>9.8000000000000007</v>
      </c>
      <c r="V716">
        <f t="shared" si="93"/>
        <v>5</v>
      </c>
      <c r="W716" t="e">
        <f t="shared" si="94"/>
        <v>#N/A</v>
      </c>
      <c r="X716" t="e">
        <f t="shared" si="95"/>
        <v>#N/A</v>
      </c>
    </row>
    <row r="717" spans="1:24" x14ac:dyDescent="0.3">
      <c r="A717">
        <v>7.2</v>
      </c>
      <c r="B717">
        <v>0.49</v>
      </c>
      <c r="C717">
        <v>0.18</v>
      </c>
      <c r="D717">
        <v>2.7</v>
      </c>
      <c r="E717">
        <v>6.9000000000000006E-2</v>
      </c>
      <c r="F717">
        <v>13</v>
      </c>
      <c r="G717">
        <v>34</v>
      </c>
      <c r="H717">
        <v>0.99670000000000003</v>
      </c>
      <c r="I717">
        <v>3.29</v>
      </c>
      <c r="J717">
        <v>0.48</v>
      </c>
      <c r="K717">
        <v>9.1999999999999993</v>
      </c>
      <c r="L717">
        <v>6</v>
      </c>
      <c r="M717" t="str">
        <f t="shared" si="88"/>
        <v>Medium</v>
      </c>
      <c r="N717">
        <f>(winequality_red[[#This Row],[Updated Quality &amp; Alcohol Analysis]]+winequality_red[[#This Row],[volatile acidity]]+winequality_red[[#This Row],[citric acid]])</f>
        <v>7.87</v>
      </c>
      <c r="O717">
        <f t="shared" si="89"/>
        <v>2.5565217391304348E-2</v>
      </c>
      <c r="S717" t="e">
        <f t="shared" si="90"/>
        <v>#N/A</v>
      </c>
      <c r="T717" t="e">
        <f t="shared" si="91"/>
        <v>#N/A</v>
      </c>
      <c r="U717">
        <f t="shared" si="92"/>
        <v>9.1999999999999993</v>
      </c>
      <c r="V717">
        <f t="shared" si="93"/>
        <v>6</v>
      </c>
      <c r="W717" t="e">
        <f t="shared" si="94"/>
        <v>#N/A</v>
      </c>
      <c r="X717" t="e">
        <f t="shared" si="95"/>
        <v>#N/A</v>
      </c>
    </row>
    <row r="718" spans="1:24" x14ac:dyDescent="0.3">
      <c r="A718">
        <v>8</v>
      </c>
      <c r="B718">
        <v>0.43</v>
      </c>
      <c r="C718">
        <v>0.36</v>
      </c>
      <c r="D718">
        <v>2.2999999999999998</v>
      </c>
      <c r="E718">
        <v>7.4999999999999997E-2</v>
      </c>
      <c r="F718">
        <v>10</v>
      </c>
      <c r="G718">
        <v>48</v>
      </c>
      <c r="H718">
        <v>0.99760000000000004</v>
      </c>
      <c r="I718">
        <v>3.34</v>
      </c>
      <c r="J718">
        <v>0.46</v>
      </c>
      <c r="K718">
        <v>9.4</v>
      </c>
      <c r="L718">
        <v>5</v>
      </c>
      <c r="M718" t="str">
        <f t="shared" si="88"/>
        <v>Medium</v>
      </c>
      <c r="N718">
        <f>(winequality_red[[#This Row],[Updated Quality &amp; Alcohol Analysis]]+winequality_red[[#This Row],[volatile acidity]]+winequality_red[[#This Row],[citric acid]])</f>
        <v>8.7899999999999991</v>
      </c>
      <c r="O718">
        <f t="shared" si="89"/>
        <v>2.1042553191489361E-2</v>
      </c>
      <c r="S718" t="e">
        <f t="shared" si="90"/>
        <v>#N/A</v>
      </c>
      <c r="T718" t="e">
        <f t="shared" si="91"/>
        <v>#N/A</v>
      </c>
      <c r="U718">
        <f t="shared" si="92"/>
        <v>9.4</v>
      </c>
      <c r="V718">
        <f t="shared" si="93"/>
        <v>5</v>
      </c>
      <c r="W718" t="e">
        <f t="shared" si="94"/>
        <v>#N/A</v>
      </c>
      <c r="X718" t="e">
        <f t="shared" si="95"/>
        <v>#N/A</v>
      </c>
    </row>
    <row r="719" spans="1:24" x14ac:dyDescent="0.3">
      <c r="A719">
        <v>7.6</v>
      </c>
      <c r="B719">
        <v>0.46</v>
      </c>
      <c r="C719">
        <v>0.11</v>
      </c>
      <c r="D719">
        <v>2.6</v>
      </c>
      <c r="E719">
        <v>7.9000000000000001E-2</v>
      </c>
      <c r="F719">
        <v>12</v>
      </c>
      <c r="G719">
        <v>49</v>
      </c>
      <c r="H719">
        <v>0.99680000000000002</v>
      </c>
      <c r="I719">
        <v>3.21</v>
      </c>
      <c r="J719">
        <v>0.56999999999999995</v>
      </c>
      <c r="K719">
        <v>10</v>
      </c>
      <c r="L719">
        <v>5</v>
      </c>
      <c r="M719" t="str">
        <f t="shared" si="88"/>
        <v>Medium</v>
      </c>
      <c r="N719">
        <f>(winequality_red[[#This Row],[Updated Quality &amp; Alcohol Analysis]]+winequality_red[[#This Row],[volatile acidity]]+winequality_red[[#This Row],[citric acid]])</f>
        <v>8.17</v>
      </c>
      <c r="O719">
        <f t="shared" si="89"/>
        <v>2.622E-2</v>
      </c>
      <c r="S719" t="e">
        <f t="shared" si="90"/>
        <v>#N/A</v>
      </c>
      <c r="T719" t="e">
        <f t="shared" si="91"/>
        <v>#N/A</v>
      </c>
      <c r="U719">
        <f t="shared" si="92"/>
        <v>10</v>
      </c>
      <c r="V719">
        <f t="shared" si="93"/>
        <v>5</v>
      </c>
      <c r="W719" t="e">
        <f t="shared" si="94"/>
        <v>#N/A</v>
      </c>
      <c r="X719" t="e">
        <f t="shared" si="95"/>
        <v>#N/A</v>
      </c>
    </row>
    <row r="720" spans="1:24" x14ac:dyDescent="0.3">
      <c r="A720">
        <v>8.4</v>
      </c>
      <c r="B720">
        <v>0.56000000000000005</v>
      </c>
      <c r="C720">
        <v>0.04</v>
      </c>
      <c r="D720">
        <v>2</v>
      </c>
      <c r="E720">
        <v>8.199999999999999E-2</v>
      </c>
      <c r="F720">
        <v>10</v>
      </c>
      <c r="G720">
        <v>22</v>
      </c>
      <c r="H720">
        <v>0.99760000000000004</v>
      </c>
      <c r="I720">
        <v>3.22</v>
      </c>
      <c r="J720">
        <v>0.44</v>
      </c>
      <c r="K720">
        <v>9.6</v>
      </c>
      <c r="L720">
        <v>5</v>
      </c>
      <c r="M720" t="str">
        <f t="shared" si="88"/>
        <v>Medium</v>
      </c>
      <c r="N720">
        <f>(winequality_red[[#This Row],[Updated Quality &amp; Alcohol Analysis]]+winequality_red[[#This Row],[volatile acidity]]+winequality_red[[#This Row],[citric acid]])</f>
        <v>9</v>
      </c>
      <c r="O720">
        <f t="shared" si="89"/>
        <v>2.5666666666666671E-2</v>
      </c>
      <c r="S720" t="e">
        <f t="shared" si="90"/>
        <v>#N/A</v>
      </c>
      <c r="T720" t="e">
        <f t="shared" si="91"/>
        <v>#N/A</v>
      </c>
      <c r="U720">
        <f t="shared" si="92"/>
        <v>9.6</v>
      </c>
      <c r="V720">
        <f t="shared" si="93"/>
        <v>5</v>
      </c>
      <c r="W720" t="e">
        <f t="shared" si="94"/>
        <v>#N/A</v>
      </c>
      <c r="X720" t="e">
        <f t="shared" si="95"/>
        <v>#N/A</v>
      </c>
    </row>
    <row r="721" spans="1:24" x14ac:dyDescent="0.3">
      <c r="A721">
        <v>7.1</v>
      </c>
      <c r="B721">
        <v>0.66</v>
      </c>
      <c r="C721">
        <v>0</v>
      </c>
      <c r="D721">
        <v>3.9</v>
      </c>
      <c r="E721">
        <v>8.5999999999999993E-2</v>
      </c>
      <c r="F721">
        <v>17</v>
      </c>
      <c r="G721">
        <v>45</v>
      </c>
      <c r="H721">
        <v>0.99760000000000004</v>
      </c>
      <c r="I721">
        <v>3.46</v>
      </c>
      <c r="J721">
        <v>0.54</v>
      </c>
      <c r="K721">
        <v>9.5</v>
      </c>
      <c r="L721">
        <v>5</v>
      </c>
      <c r="M721" t="str">
        <f t="shared" si="88"/>
        <v>Medium</v>
      </c>
      <c r="N721">
        <f>(winequality_red[[#This Row],[Updated Quality &amp; Alcohol Analysis]]+winequality_red[[#This Row],[volatile acidity]]+winequality_red[[#This Row],[citric acid]])</f>
        <v>7.76</v>
      </c>
      <c r="O721">
        <f t="shared" si="89"/>
        <v>3.7515789473684218E-2</v>
      </c>
      <c r="S721" t="e">
        <f t="shared" si="90"/>
        <v>#N/A</v>
      </c>
      <c r="T721" t="e">
        <f t="shared" si="91"/>
        <v>#N/A</v>
      </c>
      <c r="U721">
        <f t="shared" si="92"/>
        <v>9.5</v>
      </c>
      <c r="V721">
        <f t="shared" si="93"/>
        <v>5</v>
      </c>
      <c r="W721" t="e">
        <f t="shared" si="94"/>
        <v>#N/A</v>
      </c>
      <c r="X721" t="e">
        <f t="shared" si="95"/>
        <v>#N/A</v>
      </c>
    </row>
    <row r="722" spans="1:24" x14ac:dyDescent="0.3">
      <c r="A722">
        <v>8.4</v>
      </c>
      <c r="B722">
        <v>0.56000000000000005</v>
      </c>
      <c r="C722">
        <v>0.04</v>
      </c>
      <c r="D722">
        <v>2</v>
      </c>
      <c r="E722">
        <v>8.199999999999999E-2</v>
      </c>
      <c r="F722">
        <v>10</v>
      </c>
      <c r="G722">
        <v>22</v>
      </c>
      <c r="H722">
        <v>0.99760000000000004</v>
      </c>
      <c r="I722">
        <v>3.22</v>
      </c>
      <c r="J722">
        <v>0.44</v>
      </c>
      <c r="K722">
        <v>9.6</v>
      </c>
      <c r="L722">
        <v>5</v>
      </c>
      <c r="M722" t="str">
        <f t="shared" si="88"/>
        <v>Medium</v>
      </c>
      <c r="N722">
        <f>(winequality_red[[#This Row],[Updated Quality &amp; Alcohol Analysis]]+winequality_red[[#This Row],[volatile acidity]]+winequality_red[[#This Row],[citric acid]])</f>
        <v>9</v>
      </c>
      <c r="O722">
        <f t="shared" si="89"/>
        <v>2.5666666666666671E-2</v>
      </c>
      <c r="S722" t="e">
        <f t="shared" si="90"/>
        <v>#N/A</v>
      </c>
      <c r="T722" t="e">
        <f t="shared" si="91"/>
        <v>#N/A</v>
      </c>
      <c r="U722">
        <f t="shared" si="92"/>
        <v>9.6</v>
      </c>
      <c r="V722">
        <f t="shared" si="93"/>
        <v>5</v>
      </c>
      <c r="W722" t="e">
        <f t="shared" si="94"/>
        <v>#N/A</v>
      </c>
      <c r="X722" t="e">
        <f t="shared" si="95"/>
        <v>#N/A</v>
      </c>
    </row>
    <row r="723" spans="1:24" x14ac:dyDescent="0.3">
      <c r="A723">
        <v>8.9</v>
      </c>
      <c r="B723">
        <v>0.48</v>
      </c>
      <c r="C723">
        <v>0.24</v>
      </c>
      <c r="D723">
        <v>2.85</v>
      </c>
      <c r="E723">
        <v>9.4E-2</v>
      </c>
      <c r="F723">
        <v>35</v>
      </c>
      <c r="G723">
        <v>106</v>
      </c>
      <c r="H723">
        <v>0.99819999999999998</v>
      </c>
      <c r="I723">
        <v>3.1</v>
      </c>
      <c r="J723">
        <v>0.53</v>
      </c>
      <c r="K723">
        <v>9.1999999999999993</v>
      </c>
      <c r="L723">
        <v>5</v>
      </c>
      <c r="M723" t="str">
        <f t="shared" si="88"/>
        <v>Medium</v>
      </c>
      <c r="N723">
        <f>(winequality_red[[#This Row],[Updated Quality &amp; Alcohol Analysis]]+winequality_red[[#This Row],[volatile acidity]]+winequality_red[[#This Row],[citric acid]])</f>
        <v>9.620000000000001</v>
      </c>
      <c r="O723">
        <f t="shared" si="89"/>
        <v>2.7652173913043483E-2</v>
      </c>
      <c r="S723" t="e">
        <f t="shared" si="90"/>
        <v>#N/A</v>
      </c>
      <c r="T723" t="e">
        <f t="shared" si="91"/>
        <v>#N/A</v>
      </c>
      <c r="U723">
        <f t="shared" si="92"/>
        <v>9.1999999999999993</v>
      </c>
      <c r="V723">
        <f t="shared" si="93"/>
        <v>5</v>
      </c>
      <c r="W723" t="e">
        <f t="shared" si="94"/>
        <v>#N/A</v>
      </c>
      <c r="X723" t="e">
        <f t="shared" si="95"/>
        <v>#N/A</v>
      </c>
    </row>
    <row r="724" spans="1:24" x14ac:dyDescent="0.3">
      <c r="A724">
        <v>7.6</v>
      </c>
      <c r="B724">
        <v>0.42</v>
      </c>
      <c r="C724">
        <v>0.08</v>
      </c>
      <c r="D724">
        <v>2.7</v>
      </c>
      <c r="E724">
        <v>8.4000000000000005E-2</v>
      </c>
      <c r="F724">
        <v>15</v>
      </c>
      <c r="G724">
        <v>48</v>
      </c>
      <c r="H724">
        <v>0.99680000000000002</v>
      </c>
      <c r="I724">
        <v>3.21</v>
      </c>
      <c r="J724">
        <v>0.59</v>
      </c>
      <c r="K724">
        <v>10</v>
      </c>
      <c r="L724">
        <v>5</v>
      </c>
      <c r="M724" t="str">
        <f t="shared" si="88"/>
        <v>Medium</v>
      </c>
      <c r="N724">
        <f>(winequality_red[[#This Row],[Updated Quality &amp; Alcohol Analysis]]+winequality_red[[#This Row],[volatile acidity]]+winequality_red[[#This Row],[citric acid]])</f>
        <v>8.1</v>
      </c>
      <c r="O724">
        <f t="shared" si="89"/>
        <v>2.4779999999999996E-2</v>
      </c>
      <c r="S724" t="e">
        <f t="shared" si="90"/>
        <v>#N/A</v>
      </c>
      <c r="T724" t="e">
        <f t="shared" si="91"/>
        <v>#N/A</v>
      </c>
      <c r="U724">
        <f t="shared" si="92"/>
        <v>10</v>
      </c>
      <c r="V724">
        <f t="shared" si="93"/>
        <v>5</v>
      </c>
      <c r="W724" t="e">
        <f t="shared" si="94"/>
        <v>#N/A</v>
      </c>
      <c r="X724" t="e">
        <f t="shared" si="95"/>
        <v>#N/A</v>
      </c>
    </row>
    <row r="725" spans="1:24" x14ac:dyDescent="0.3">
      <c r="A725">
        <v>7.1</v>
      </c>
      <c r="B725">
        <v>0.31</v>
      </c>
      <c r="C725">
        <v>0.3</v>
      </c>
      <c r="D725">
        <v>2.2000000000000002</v>
      </c>
      <c r="E725">
        <v>5.2999999999999999E-2</v>
      </c>
      <c r="F725">
        <v>36</v>
      </c>
      <c r="G725">
        <v>127</v>
      </c>
      <c r="H725">
        <v>0.99650000000000005</v>
      </c>
      <c r="I725">
        <v>2.94</v>
      </c>
      <c r="J725">
        <v>1.62</v>
      </c>
      <c r="K725">
        <v>9.5</v>
      </c>
      <c r="L725">
        <v>5</v>
      </c>
      <c r="M725" t="str">
        <f t="shared" si="88"/>
        <v>Medium</v>
      </c>
      <c r="N725">
        <f>(winequality_red[[#This Row],[Updated Quality &amp; Alcohol Analysis]]+winequality_red[[#This Row],[volatile acidity]]+winequality_red[[#This Row],[citric acid]])</f>
        <v>7.7099999999999991</v>
      </c>
      <c r="O725">
        <f t="shared" si="89"/>
        <v>5.2863157894736841E-2</v>
      </c>
      <c r="S725" t="e">
        <f t="shared" si="90"/>
        <v>#N/A</v>
      </c>
      <c r="T725" t="e">
        <f t="shared" si="91"/>
        <v>#N/A</v>
      </c>
      <c r="U725">
        <f t="shared" si="92"/>
        <v>9.5</v>
      </c>
      <c r="V725">
        <f t="shared" si="93"/>
        <v>5</v>
      </c>
      <c r="W725" t="e">
        <f t="shared" si="94"/>
        <v>#N/A</v>
      </c>
      <c r="X725" t="e">
        <f t="shared" si="95"/>
        <v>#N/A</v>
      </c>
    </row>
    <row r="726" spans="1:24" x14ac:dyDescent="0.3">
      <c r="A726">
        <v>7.5</v>
      </c>
      <c r="B726">
        <v>1.115</v>
      </c>
      <c r="C726">
        <v>0.1</v>
      </c>
      <c r="D726">
        <v>3.1</v>
      </c>
      <c r="E726">
        <v>8.5999999999999993E-2</v>
      </c>
      <c r="F726">
        <v>5</v>
      </c>
      <c r="G726">
        <v>12</v>
      </c>
      <c r="H726">
        <v>0.99580000000000002</v>
      </c>
      <c r="I726">
        <v>3.54</v>
      </c>
      <c r="J726">
        <v>0.6</v>
      </c>
      <c r="K726">
        <v>11.2</v>
      </c>
      <c r="L726">
        <v>4</v>
      </c>
      <c r="M726" t="str">
        <f t="shared" si="88"/>
        <v>Low</v>
      </c>
      <c r="N726">
        <f>(winequality_red[[#This Row],[Updated Quality &amp; Alcohol Analysis]]+winequality_red[[#This Row],[volatile acidity]]+winequality_red[[#This Row],[citric acid]])</f>
        <v>8.7149999999999999</v>
      </c>
      <c r="O726">
        <f t="shared" si="89"/>
        <v>5.9732142857142852E-2</v>
      </c>
      <c r="S726">
        <f t="shared" si="90"/>
        <v>11.2</v>
      </c>
      <c r="T726">
        <f t="shared" si="91"/>
        <v>4</v>
      </c>
      <c r="U726" t="e">
        <f t="shared" si="92"/>
        <v>#N/A</v>
      </c>
      <c r="V726" t="e">
        <f t="shared" si="93"/>
        <v>#N/A</v>
      </c>
      <c r="W726" t="e">
        <f t="shared" si="94"/>
        <v>#N/A</v>
      </c>
      <c r="X726" t="e">
        <f t="shared" si="95"/>
        <v>#N/A</v>
      </c>
    </row>
    <row r="727" spans="1:24" x14ac:dyDescent="0.3">
      <c r="A727">
        <v>9</v>
      </c>
      <c r="B727">
        <v>0.66</v>
      </c>
      <c r="C727">
        <v>0.17</v>
      </c>
      <c r="D727">
        <v>3</v>
      </c>
      <c r="E727">
        <v>7.6999999999999999E-2</v>
      </c>
      <c r="F727">
        <v>5</v>
      </c>
      <c r="G727">
        <v>13</v>
      </c>
      <c r="H727">
        <v>0.99760000000000004</v>
      </c>
      <c r="I727">
        <v>3.29</v>
      </c>
      <c r="J727">
        <v>0.55000000000000004</v>
      </c>
      <c r="K727">
        <v>10.4</v>
      </c>
      <c r="L727">
        <v>5</v>
      </c>
      <c r="M727" t="str">
        <f t="shared" si="88"/>
        <v>Medium</v>
      </c>
      <c r="N727">
        <f>(winequality_red[[#This Row],[Updated Quality &amp; Alcohol Analysis]]+winequality_red[[#This Row],[volatile acidity]]+winequality_red[[#This Row],[citric acid]])</f>
        <v>9.83</v>
      </c>
      <c r="O727">
        <f t="shared" si="89"/>
        <v>3.490384615384616E-2</v>
      </c>
      <c r="S727" t="e">
        <f t="shared" si="90"/>
        <v>#N/A</v>
      </c>
      <c r="T727" t="e">
        <f t="shared" si="91"/>
        <v>#N/A</v>
      </c>
      <c r="U727">
        <f t="shared" si="92"/>
        <v>10.4</v>
      </c>
      <c r="V727">
        <f t="shared" si="93"/>
        <v>5</v>
      </c>
      <c r="W727" t="e">
        <f t="shared" si="94"/>
        <v>#N/A</v>
      </c>
      <c r="X727" t="e">
        <f t="shared" si="95"/>
        <v>#N/A</v>
      </c>
    </row>
    <row r="728" spans="1:24" x14ac:dyDescent="0.3">
      <c r="A728">
        <v>8.1</v>
      </c>
      <c r="B728">
        <v>0.72</v>
      </c>
      <c r="C728">
        <v>0.09</v>
      </c>
      <c r="D728">
        <v>2.8</v>
      </c>
      <c r="E728">
        <v>8.4000000000000005E-2</v>
      </c>
      <c r="F728">
        <v>18</v>
      </c>
      <c r="G728">
        <v>49</v>
      </c>
      <c r="H728">
        <v>0.99939999999999996</v>
      </c>
      <c r="I728">
        <v>3.43</v>
      </c>
      <c r="J728">
        <v>0.72</v>
      </c>
      <c r="K728">
        <v>11.1</v>
      </c>
      <c r="L728">
        <v>6</v>
      </c>
      <c r="M728" t="str">
        <f t="shared" si="88"/>
        <v>Medium</v>
      </c>
      <c r="N728">
        <f>(winequality_red[[#This Row],[Updated Quality &amp; Alcohol Analysis]]+winequality_red[[#This Row],[volatile acidity]]+winequality_red[[#This Row],[citric acid]])</f>
        <v>8.91</v>
      </c>
      <c r="O728">
        <f t="shared" si="89"/>
        <v>4.67027027027027E-2</v>
      </c>
      <c r="S728" t="e">
        <f t="shared" si="90"/>
        <v>#N/A</v>
      </c>
      <c r="T728" t="e">
        <f t="shared" si="91"/>
        <v>#N/A</v>
      </c>
      <c r="U728">
        <f t="shared" si="92"/>
        <v>11.1</v>
      </c>
      <c r="V728">
        <f t="shared" si="93"/>
        <v>6</v>
      </c>
      <c r="W728" t="e">
        <f t="shared" si="94"/>
        <v>#N/A</v>
      </c>
      <c r="X728" t="e">
        <f t="shared" si="95"/>
        <v>#N/A</v>
      </c>
    </row>
    <row r="729" spans="1:24" x14ac:dyDescent="0.3">
      <c r="A729">
        <v>6.4</v>
      </c>
      <c r="B729">
        <v>0.56999999999999995</v>
      </c>
      <c r="C729">
        <v>0.02</v>
      </c>
      <c r="D729">
        <v>1.8</v>
      </c>
      <c r="E729">
        <v>6.7000000000000004E-2</v>
      </c>
      <c r="F729">
        <v>4</v>
      </c>
      <c r="G729">
        <v>11</v>
      </c>
      <c r="H729">
        <v>0.997</v>
      </c>
      <c r="I729">
        <v>3.46</v>
      </c>
      <c r="J729">
        <v>0.68</v>
      </c>
      <c r="K729">
        <v>9.5</v>
      </c>
      <c r="L729">
        <v>5</v>
      </c>
      <c r="M729" t="str">
        <f t="shared" si="88"/>
        <v>Medium</v>
      </c>
      <c r="N729">
        <f>(winequality_red[[#This Row],[Updated Quality &amp; Alcohol Analysis]]+winequality_red[[#This Row],[volatile acidity]]+winequality_red[[#This Row],[citric acid]])</f>
        <v>6.99</v>
      </c>
      <c r="O729">
        <f t="shared" si="89"/>
        <v>4.0800000000000003E-2</v>
      </c>
      <c r="S729" t="e">
        <f t="shared" si="90"/>
        <v>#N/A</v>
      </c>
      <c r="T729" t="e">
        <f t="shared" si="91"/>
        <v>#N/A</v>
      </c>
      <c r="U729">
        <f t="shared" si="92"/>
        <v>9.5</v>
      </c>
      <c r="V729">
        <f t="shared" si="93"/>
        <v>5</v>
      </c>
      <c r="W729" t="e">
        <f t="shared" si="94"/>
        <v>#N/A</v>
      </c>
      <c r="X729" t="e">
        <f t="shared" si="95"/>
        <v>#N/A</v>
      </c>
    </row>
    <row r="730" spans="1:24" x14ac:dyDescent="0.3">
      <c r="A730">
        <v>6.4</v>
      </c>
      <c r="B730">
        <v>0.56999999999999995</v>
      </c>
      <c r="C730">
        <v>0.02</v>
      </c>
      <c r="D730">
        <v>1.8</v>
      </c>
      <c r="E730">
        <v>6.7000000000000004E-2</v>
      </c>
      <c r="F730">
        <v>4</v>
      </c>
      <c r="G730">
        <v>11</v>
      </c>
      <c r="H730">
        <v>0.997</v>
      </c>
      <c r="I730">
        <v>3.46</v>
      </c>
      <c r="J730">
        <v>0.68</v>
      </c>
      <c r="K730">
        <v>9.5</v>
      </c>
      <c r="L730">
        <v>5</v>
      </c>
      <c r="M730" t="str">
        <f t="shared" si="88"/>
        <v>Medium</v>
      </c>
      <c r="N730">
        <f>(winequality_red[[#This Row],[Updated Quality &amp; Alcohol Analysis]]+winequality_red[[#This Row],[volatile acidity]]+winequality_red[[#This Row],[citric acid]])</f>
        <v>6.99</v>
      </c>
      <c r="O730">
        <f t="shared" si="89"/>
        <v>4.0800000000000003E-2</v>
      </c>
      <c r="S730" t="e">
        <f t="shared" si="90"/>
        <v>#N/A</v>
      </c>
      <c r="T730" t="e">
        <f t="shared" si="91"/>
        <v>#N/A</v>
      </c>
      <c r="U730">
        <f t="shared" si="92"/>
        <v>9.5</v>
      </c>
      <c r="V730">
        <f t="shared" si="93"/>
        <v>5</v>
      </c>
      <c r="W730" t="e">
        <f t="shared" si="94"/>
        <v>#N/A</v>
      </c>
      <c r="X730" t="e">
        <f t="shared" si="95"/>
        <v>#N/A</v>
      </c>
    </row>
    <row r="731" spans="1:24" x14ac:dyDescent="0.3">
      <c r="A731">
        <v>6.4</v>
      </c>
      <c r="B731">
        <v>0.86499999999999999</v>
      </c>
      <c r="C731">
        <v>0.03</v>
      </c>
      <c r="D731">
        <v>3.2</v>
      </c>
      <c r="E731">
        <v>7.0999999999999994E-2</v>
      </c>
      <c r="F731">
        <v>27</v>
      </c>
      <c r="G731">
        <v>58</v>
      </c>
      <c r="H731">
        <v>0.995</v>
      </c>
      <c r="I731">
        <v>3.61</v>
      </c>
      <c r="J731">
        <v>0.49</v>
      </c>
      <c r="K731">
        <v>12.7</v>
      </c>
      <c r="L731">
        <v>6</v>
      </c>
      <c r="M731" t="str">
        <f t="shared" si="88"/>
        <v>Medium</v>
      </c>
      <c r="N731">
        <f>(winequality_red[[#This Row],[Updated Quality &amp; Alcohol Analysis]]+winequality_red[[#This Row],[volatile acidity]]+winequality_red[[#This Row],[citric acid]])</f>
        <v>7.2950000000000008</v>
      </c>
      <c r="O731">
        <f t="shared" si="89"/>
        <v>3.3374015748031498E-2</v>
      </c>
      <c r="S731" t="e">
        <f t="shared" si="90"/>
        <v>#N/A</v>
      </c>
      <c r="T731" t="e">
        <f t="shared" si="91"/>
        <v>#N/A</v>
      </c>
      <c r="U731">
        <f t="shared" si="92"/>
        <v>12.7</v>
      </c>
      <c r="V731">
        <f t="shared" si="93"/>
        <v>6</v>
      </c>
      <c r="W731" t="e">
        <f t="shared" si="94"/>
        <v>#N/A</v>
      </c>
      <c r="X731" t="e">
        <f t="shared" si="95"/>
        <v>#N/A</v>
      </c>
    </row>
    <row r="732" spans="1:24" x14ac:dyDescent="0.3">
      <c r="A732">
        <v>9.5</v>
      </c>
      <c r="B732">
        <v>0.55000000000000004</v>
      </c>
      <c r="C732">
        <v>0.66</v>
      </c>
      <c r="D732">
        <v>2.2999999999999998</v>
      </c>
      <c r="E732">
        <v>0.38700000000000001</v>
      </c>
      <c r="F732">
        <v>12</v>
      </c>
      <c r="G732">
        <v>37</v>
      </c>
      <c r="H732">
        <v>0.99819999999999998</v>
      </c>
      <c r="I732">
        <v>3.17</v>
      </c>
      <c r="J732">
        <v>0.67</v>
      </c>
      <c r="K732">
        <v>9.6</v>
      </c>
      <c r="L732">
        <v>5</v>
      </c>
      <c r="M732" t="str">
        <f t="shared" si="88"/>
        <v>Medium</v>
      </c>
      <c r="N732">
        <f>(winequality_red[[#This Row],[Updated Quality &amp; Alcohol Analysis]]+winequality_red[[#This Row],[volatile acidity]]+winequality_red[[#This Row],[citric acid]])</f>
        <v>10.71</v>
      </c>
      <c r="O732">
        <f t="shared" si="89"/>
        <v>3.8385416666666672E-2</v>
      </c>
      <c r="S732" t="e">
        <f t="shared" si="90"/>
        <v>#N/A</v>
      </c>
      <c r="T732" t="e">
        <f t="shared" si="91"/>
        <v>#N/A</v>
      </c>
      <c r="U732">
        <f t="shared" si="92"/>
        <v>9.6</v>
      </c>
      <c r="V732">
        <f t="shared" si="93"/>
        <v>5</v>
      </c>
      <c r="W732" t="e">
        <f t="shared" si="94"/>
        <v>#N/A</v>
      </c>
      <c r="X732" t="e">
        <f t="shared" si="95"/>
        <v>#N/A</v>
      </c>
    </row>
    <row r="733" spans="1:24" x14ac:dyDescent="0.3">
      <c r="A733">
        <v>8.9</v>
      </c>
      <c r="B733">
        <v>0.875</v>
      </c>
      <c r="C733">
        <v>0.13</v>
      </c>
      <c r="D733">
        <v>3.45</v>
      </c>
      <c r="E733">
        <v>8.8000000000000009E-2</v>
      </c>
      <c r="F733">
        <v>4</v>
      </c>
      <c r="G733">
        <v>14</v>
      </c>
      <c r="H733">
        <v>0.99939999999999996</v>
      </c>
      <c r="I733">
        <v>3.44</v>
      </c>
      <c r="J733">
        <v>0.52</v>
      </c>
      <c r="K733">
        <v>11.5</v>
      </c>
      <c r="L733">
        <v>5</v>
      </c>
      <c r="M733" t="str">
        <f t="shared" si="88"/>
        <v>Medium</v>
      </c>
      <c r="N733">
        <f>(winequality_red[[#This Row],[Updated Quality &amp; Alcohol Analysis]]+winequality_red[[#This Row],[volatile acidity]]+winequality_red[[#This Row],[citric acid]])</f>
        <v>9.9050000000000011</v>
      </c>
      <c r="O733">
        <f t="shared" si="89"/>
        <v>3.956521739130435E-2</v>
      </c>
      <c r="S733" t="e">
        <f t="shared" si="90"/>
        <v>#N/A</v>
      </c>
      <c r="T733" t="e">
        <f t="shared" si="91"/>
        <v>#N/A</v>
      </c>
      <c r="U733">
        <f t="shared" si="92"/>
        <v>11.5</v>
      </c>
      <c r="V733">
        <f t="shared" si="93"/>
        <v>5</v>
      </c>
      <c r="W733" t="e">
        <f t="shared" si="94"/>
        <v>#N/A</v>
      </c>
      <c r="X733" t="e">
        <f t="shared" si="95"/>
        <v>#N/A</v>
      </c>
    </row>
    <row r="734" spans="1:24" x14ac:dyDescent="0.3">
      <c r="A734">
        <v>7.3</v>
      </c>
      <c r="B734">
        <v>0.83499999999999996</v>
      </c>
      <c r="C734">
        <v>0.03</v>
      </c>
      <c r="D734">
        <v>2.1</v>
      </c>
      <c r="E734">
        <v>9.1999999999999998E-2</v>
      </c>
      <c r="F734">
        <v>10</v>
      </c>
      <c r="G734">
        <v>19</v>
      </c>
      <c r="H734">
        <v>0.99660000000000004</v>
      </c>
      <c r="I734">
        <v>3.39</v>
      </c>
      <c r="J734">
        <v>0.47</v>
      </c>
      <c r="K734">
        <v>9.6</v>
      </c>
      <c r="L734">
        <v>5</v>
      </c>
      <c r="M734" t="str">
        <f t="shared" si="88"/>
        <v>Medium</v>
      </c>
      <c r="N734">
        <f>(winequality_red[[#This Row],[Updated Quality &amp; Alcohol Analysis]]+winequality_red[[#This Row],[volatile acidity]]+winequality_red[[#This Row],[citric acid]])</f>
        <v>8.1649999999999991</v>
      </c>
      <c r="O734">
        <f t="shared" si="89"/>
        <v>4.0880208333333334E-2</v>
      </c>
      <c r="S734" t="e">
        <f t="shared" si="90"/>
        <v>#N/A</v>
      </c>
      <c r="T734" t="e">
        <f t="shared" si="91"/>
        <v>#N/A</v>
      </c>
      <c r="U734">
        <f t="shared" si="92"/>
        <v>9.6</v>
      </c>
      <c r="V734">
        <f t="shared" si="93"/>
        <v>5</v>
      </c>
      <c r="W734" t="e">
        <f t="shared" si="94"/>
        <v>#N/A</v>
      </c>
      <c r="X734" t="e">
        <f t="shared" si="95"/>
        <v>#N/A</v>
      </c>
    </row>
    <row r="735" spans="1:24" x14ac:dyDescent="0.3">
      <c r="A735">
        <v>7</v>
      </c>
      <c r="B735">
        <v>0.45</v>
      </c>
      <c r="C735">
        <v>0.34</v>
      </c>
      <c r="D735">
        <v>2.7</v>
      </c>
      <c r="E735">
        <v>8.199999999999999E-2</v>
      </c>
      <c r="F735">
        <v>16</v>
      </c>
      <c r="G735">
        <v>72</v>
      </c>
      <c r="H735">
        <v>0.998</v>
      </c>
      <c r="I735">
        <v>3.55</v>
      </c>
      <c r="J735">
        <v>0.6</v>
      </c>
      <c r="K735">
        <v>9.5</v>
      </c>
      <c r="L735">
        <v>5</v>
      </c>
      <c r="M735" t="str">
        <f t="shared" si="88"/>
        <v>Medium</v>
      </c>
      <c r="N735">
        <f>(winequality_red[[#This Row],[Updated Quality &amp; Alcohol Analysis]]+winequality_red[[#This Row],[volatile acidity]]+winequality_red[[#This Row],[citric acid]])</f>
        <v>7.79</v>
      </c>
      <c r="O735">
        <f t="shared" si="89"/>
        <v>2.8421052631578948E-2</v>
      </c>
      <c r="S735" t="e">
        <f t="shared" si="90"/>
        <v>#N/A</v>
      </c>
      <c r="T735" t="e">
        <f t="shared" si="91"/>
        <v>#N/A</v>
      </c>
      <c r="U735">
        <f t="shared" si="92"/>
        <v>9.5</v>
      </c>
      <c r="V735">
        <f t="shared" si="93"/>
        <v>5</v>
      </c>
      <c r="W735" t="e">
        <f t="shared" si="94"/>
        <v>#N/A</v>
      </c>
      <c r="X735" t="e">
        <f t="shared" si="95"/>
        <v>#N/A</v>
      </c>
    </row>
    <row r="736" spans="1:24" x14ac:dyDescent="0.3">
      <c r="A736">
        <v>7.7</v>
      </c>
      <c r="B736">
        <v>0.56000000000000005</v>
      </c>
      <c r="C736">
        <v>0.2</v>
      </c>
      <c r="D736">
        <v>2</v>
      </c>
      <c r="E736">
        <v>7.4999999999999997E-2</v>
      </c>
      <c r="F736">
        <v>9</v>
      </c>
      <c r="G736">
        <v>39</v>
      </c>
      <c r="H736">
        <v>0.99870000000000003</v>
      </c>
      <c r="I736">
        <v>3.48</v>
      </c>
      <c r="J736">
        <v>0.62</v>
      </c>
      <c r="K736">
        <v>9.3000000000000007</v>
      </c>
      <c r="L736">
        <v>5</v>
      </c>
      <c r="M736" t="str">
        <f t="shared" si="88"/>
        <v>Medium</v>
      </c>
      <c r="N736">
        <f>(winequality_red[[#This Row],[Updated Quality &amp; Alcohol Analysis]]+winequality_red[[#This Row],[volatile acidity]]+winequality_red[[#This Row],[citric acid]])</f>
        <v>8.4599999999999991</v>
      </c>
      <c r="O736">
        <f t="shared" si="89"/>
        <v>3.7333333333333329E-2</v>
      </c>
      <c r="S736" t="e">
        <f t="shared" si="90"/>
        <v>#N/A</v>
      </c>
      <c r="T736" t="e">
        <f t="shared" si="91"/>
        <v>#N/A</v>
      </c>
      <c r="U736">
        <f t="shared" si="92"/>
        <v>9.3000000000000007</v>
      </c>
      <c r="V736">
        <f t="shared" si="93"/>
        <v>5</v>
      </c>
      <c r="W736" t="e">
        <f t="shared" si="94"/>
        <v>#N/A</v>
      </c>
      <c r="X736" t="e">
        <f t="shared" si="95"/>
        <v>#N/A</v>
      </c>
    </row>
    <row r="737" spans="1:24" x14ac:dyDescent="0.3">
      <c r="A737">
        <v>7.7</v>
      </c>
      <c r="B737">
        <v>0.96499999999999997</v>
      </c>
      <c r="C737">
        <v>0.1</v>
      </c>
      <c r="D737">
        <v>2.1</v>
      </c>
      <c r="E737">
        <v>0.11199999999999999</v>
      </c>
      <c r="F737">
        <v>11</v>
      </c>
      <c r="G737">
        <v>22</v>
      </c>
      <c r="H737">
        <v>0.99629999999999996</v>
      </c>
      <c r="I737">
        <v>3.26</v>
      </c>
      <c r="J737">
        <v>0.5</v>
      </c>
      <c r="K737">
        <v>9.5</v>
      </c>
      <c r="L737">
        <v>5</v>
      </c>
      <c r="M737" t="str">
        <f t="shared" si="88"/>
        <v>Medium</v>
      </c>
      <c r="N737">
        <f>(winequality_red[[#This Row],[Updated Quality &amp; Alcohol Analysis]]+winequality_red[[#This Row],[volatile acidity]]+winequality_red[[#This Row],[citric acid]])</f>
        <v>8.7650000000000006</v>
      </c>
      <c r="O737">
        <f t="shared" si="89"/>
        <v>5.0789473684210523E-2</v>
      </c>
      <c r="S737" t="e">
        <f t="shared" si="90"/>
        <v>#N/A</v>
      </c>
      <c r="T737" t="e">
        <f t="shared" si="91"/>
        <v>#N/A</v>
      </c>
      <c r="U737">
        <f t="shared" si="92"/>
        <v>9.5</v>
      </c>
      <c r="V737">
        <f t="shared" si="93"/>
        <v>5</v>
      </c>
      <c r="W737" t="e">
        <f t="shared" si="94"/>
        <v>#N/A</v>
      </c>
      <c r="X737" t="e">
        <f t="shared" si="95"/>
        <v>#N/A</v>
      </c>
    </row>
    <row r="738" spans="1:24" x14ac:dyDescent="0.3">
      <c r="A738">
        <v>7.7</v>
      </c>
      <c r="B738">
        <v>0.96499999999999997</v>
      </c>
      <c r="C738">
        <v>0.1</v>
      </c>
      <c r="D738">
        <v>2.1</v>
      </c>
      <c r="E738">
        <v>0.11199999999999999</v>
      </c>
      <c r="F738">
        <v>11</v>
      </c>
      <c r="G738">
        <v>22</v>
      </c>
      <c r="H738">
        <v>0.99629999999999996</v>
      </c>
      <c r="I738">
        <v>3.26</v>
      </c>
      <c r="J738">
        <v>0.5</v>
      </c>
      <c r="K738">
        <v>9.5</v>
      </c>
      <c r="L738">
        <v>5</v>
      </c>
      <c r="M738" t="str">
        <f t="shared" si="88"/>
        <v>Medium</v>
      </c>
      <c r="N738">
        <f>(winequality_red[[#This Row],[Updated Quality &amp; Alcohol Analysis]]+winequality_red[[#This Row],[volatile acidity]]+winequality_red[[#This Row],[citric acid]])</f>
        <v>8.7650000000000006</v>
      </c>
      <c r="O738">
        <f t="shared" si="89"/>
        <v>5.0789473684210523E-2</v>
      </c>
      <c r="S738" t="e">
        <f t="shared" si="90"/>
        <v>#N/A</v>
      </c>
      <c r="T738" t="e">
        <f t="shared" si="91"/>
        <v>#N/A</v>
      </c>
      <c r="U738">
        <f t="shared" si="92"/>
        <v>9.5</v>
      </c>
      <c r="V738">
        <f t="shared" si="93"/>
        <v>5</v>
      </c>
      <c r="W738" t="e">
        <f t="shared" si="94"/>
        <v>#N/A</v>
      </c>
      <c r="X738" t="e">
        <f t="shared" si="95"/>
        <v>#N/A</v>
      </c>
    </row>
    <row r="739" spans="1:24" x14ac:dyDescent="0.3">
      <c r="A739">
        <v>8.1999999999999993</v>
      </c>
      <c r="B739">
        <v>0.59</v>
      </c>
      <c r="C739">
        <v>0</v>
      </c>
      <c r="D739">
        <v>2.5</v>
      </c>
      <c r="E739">
        <v>9.3000000000000013E-2</v>
      </c>
      <c r="F739">
        <v>19</v>
      </c>
      <c r="G739">
        <v>58</v>
      </c>
      <c r="H739">
        <v>1.0002</v>
      </c>
      <c r="I739">
        <v>3.5</v>
      </c>
      <c r="J739">
        <v>0.65</v>
      </c>
      <c r="K739">
        <v>9.3000000000000007</v>
      </c>
      <c r="L739">
        <v>6</v>
      </c>
      <c r="M739" t="str">
        <f t="shared" si="88"/>
        <v>Medium</v>
      </c>
      <c r="N739">
        <f>(winequality_red[[#This Row],[Updated Quality &amp; Alcohol Analysis]]+winequality_red[[#This Row],[volatile acidity]]+winequality_red[[#This Row],[citric acid]])</f>
        <v>8.7899999999999991</v>
      </c>
      <c r="O739">
        <f t="shared" si="89"/>
        <v>4.1236559139784947E-2</v>
      </c>
      <c r="S739" t="e">
        <f t="shared" si="90"/>
        <v>#N/A</v>
      </c>
      <c r="T739" t="e">
        <f t="shared" si="91"/>
        <v>#N/A</v>
      </c>
      <c r="U739">
        <f t="shared" si="92"/>
        <v>9.3000000000000007</v>
      </c>
      <c r="V739">
        <f t="shared" si="93"/>
        <v>6</v>
      </c>
      <c r="W739" t="e">
        <f t="shared" si="94"/>
        <v>#N/A</v>
      </c>
      <c r="X739" t="e">
        <f t="shared" si="95"/>
        <v>#N/A</v>
      </c>
    </row>
    <row r="740" spans="1:24" x14ac:dyDescent="0.3">
      <c r="A740">
        <v>9</v>
      </c>
      <c r="B740">
        <v>0.46</v>
      </c>
      <c r="C740">
        <v>0.23</v>
      </c>
      <c r="D740">
        <v>2.8</v>
      </c>
      <c r="E740">
        <v>9.1999999999999998E-2</v>
      </c>
      <c r="F740">
        <v>28</v>
      </c>
      <c r="G740">
        <v>104</v>
      </c>
      <c r="H740">
        <v>0.99829999999999997</v>
      </c>
      <c r="I740">
        <v>3.1</v>
      </c>
      <c r="J740">
        <v>0.56000000000000005</v>
      </c>
      <c r="K740">
        <v>9.1999999999999993</v>
      </c>
      <c r="L740">
        <v>5</v>
      </c>
      <c r="M740" t="str">
        <f t="shared" si="88"/>
        <v>Medium</v>
      </c>
      <c r="N740">
        <f>(winequality_red[[#This Row],[Updated Quality &amp; Alcohol Analysis]]+winequality_red[[#This Row],[volatile acidity]]+winequality_red[[#This Row],[citric acid]])</f>
        <v>9.6900000000000013</v>
      </c>
      <c r="O740">
        <f t="shared" si="89"/>
        <v>2.8000000000000008E-2</v>
      </c>
      <c r="S740" t="e">
        <f t="shared" si="90"/>
        <v>#N/A</v>
      </c>
      <c r="T740" t="e">
        <f t="shared" si="91"/>
        <v>#N/A</v>
      </c>
      <c r="U740">
        <f t="shared" si="92"/>
        <v>9.1999999999999993</v>
      </c>
      <c r="V740">
        <f t="shared" si="93"/>
        <v>5</v>
      </c>
      <c r="W740" t="e">
        <f t="shared" si="94"/>
        <v>#N/A</v>
      </c>
      <c r="X740" t="e">
        <f t="shared" si="95"/>
        <v>#N/A</v>
      </c>
    </row>
    <row r="741" spans="1:24" x14ac:dyDescent="0.3">
      <c r="A741">
        <v>9</v>
      </c>
      <c r="B741">
        <v>0.69</v>
      </c>
      <c r="C741">
        <v>0</v>
      </c>
      <c r="D741">
        <v>2.4</v>
      </c>
      <c r="E741">
        <v>8.8000000000000009E-2</v>
      </c>
      <c r="F741">
        <v>19</v>
      </c>
      <c r="G741">
        <v>38</v>
      </c>
      <c r="H741">
        <v>0.99900000000000011</v>
      </c>
      <c r="I741">
        <v>3.35</v>
      </c>
      <c r="J741">
        <v>0.6</v>
      </c>
      <c r="K741">
        <v>9.3000000000000007</v>
      </c>
      <c r="L741">
        <v>5</v>
      </c>
      <c r="M741" t="str">
        <f t="shared" si="88"/>
        <v>Medium</v>
      </c>
      <c r="N741">
        <f>(winequality_red[[#This Row],[Updated Quality &amp; Alcohol Analysis]]+winequality_red[[#This Row],[volatile acidity]]+winequality_red[[#This Row],[citric acid]])</f>
        <v>9.69</v>
      </c>
      <c r="O741">
        <f t="shared" si="89"/>
        <v>4.4516129032258059E-2</v>
      </c>
      <c r="S741" t="e">
        <f t="shared" si="90"/>
        <v>#N/A</v>
      </c>
      <c r="T741" t="e">
        <f t="shared" si="91"/>
        <v>#N/A</v>
      </c>
      <c r="U741">
        <f t="shared" si="92"/>
        <v>9.3000000000000007</v>
      </c>
      <c r="V741">
        <f t="shared" si="93"/>
        <v>5</v>
      </c>
      <c r="W741" t="e">
        <f t="shared" si="94"/>
        <v>#N/A</v>
      </c>
      <c r="X741" t="e">
        <f t="shared" si="95"/>
        <v>#N/A</v>
      </c>
    </row>
    <row r="742" spans="1:24" x14ac:dyDescent="0.3">
      <c r="A742">
        <v>8.3000000000000007</v>
      </c>
      <c r="B742">
        <v>0.76</v>
      </c>
      <c r="C742">
        <v>0.28999999999999998</v>
      </c>
      <c r="D742">
        <v>4.2</v>
      </c>
      <c r="E742">
        <v>7.4999999999999997E-2</v>
      </c>
      <c r="F742">
        <v>12</v>
      </c>
      <c r="G742">
        <v>16</v>
      </c>
      <c r="H742">
        <v>0.99650000000000005</v>
      </c>
      <c r="I742">
        <v>3.45</v>
      </c>
      <c r="J742">
        <v>0.68</v>
      </c>
      <c r="K742">
        <v>11.5</v>
      </c>
      <c r="L742">
        <v>6</v>
      </c>
      <c r="M742" t="str">
        <f t="shared" si="88"/>
        <v>Medium</v>
      </c>
      <c r="N742">
        <f>(winequality_red[[#This Row],[Updated Quality &amp; Alcohol Analysis]]+winequality_red[[#This Row],[volatile acidity]]+winequality_red[[#This Row],[citric acid]])</f>
        <v>9.35</v>
      </c>
      <c r="O742">
        <f t="shared" si="89"/>
        <v>4.4939130434782613E-2</v>
      </c>
      <c r="S742" t="e">
        <f t="shared" si="90"/>
        <v>#N/A</v>
      </c>
      <c r="T742" t="e">
        <f t="shared" si="91"/>
        <v>#N/A</v>
      </c>
      <c r="U742">
        <f t="shared" si="92"/>
        <v>11.5</v>
      </c>
      <c r="V742">
        <f t="shared" si="93"/>
        <v>6</v>
      </c>
      <c r="W742" t="e">
        <f t="shared" si="94"/>
        <v>#N/A</v>
      </c>
      <c r="X742" t="e">
        <f t="shared" si="95"/>
        <v>#N/A</v>
      </c>
    </row>
    <row r="743" spans="1:24" x14ac:dyDescent="0.3">
      <c r="A743">
        <v>9.1999999999999993</v>
      </c>
      <c r="B743">
        <v>0.53</v>
      </c>
      <c r="C743">
        <v>0.24</v>
      </c>
      <c r="D743">
        <v>2.6</v>
      </c>
      <c r="E743">
        <v>7.8E-2</v>
      </c>
      <c r="F743">
        <v>28</v>
      </c>
      <c r="G743">
        <v>139</v>
      </c>
      <c r="H743">
        <v>0.99787999999999988</v>
      </c>
      <c r="I743">
        <v>3.21</v>
      </c>
      <c r="J743">
        <v>0.56999999999999995</v>
      </c>
      <c r="K743">
        <v>9.5</v>
      </c>
      <c r="L743">
        <v>5</v>
      </c>
      <c r="M743" t="str">
        <f t="shared" si="88"/>
        <v>Medium</v>
      </c>
      <c r="N743">
        <f>(winequality_red[[#This Row],[Updated Quality &amp; Alcohol Analysis]]+winequality_red[[#This Row],[volatile acidity]]+winequality_red[[#This Row],[citric acid]])</f>
        <v>9.9699999999999989</v>
      </c>
      <c r="O743">
        <f t="shared" si="89"/>
        <v>3.1799999999999995E-2</v>
      </c>
      <c r="S743" t="e">
        <f t="shared" si="90"/>
        <v>#N/A</v>
      </c>
      <c r="T743" t="e">
        <f t="shared" si="91"/>
        <v>#N/A</v>
      </c>
      <c r="U743">
        <f t="shared" si="92"/>
        <v>9.5</v>
      </c>
      <c r="V743">
        <f t="shared" si="93"/>
        <v>5</v>
      </c>
      <c r="W743" t="e">
        <f t="shared" si="94"/>
        <v>#N/A</v>
      </c>
      <c r="X743" t="e">
        <f t="shared" si="95"/>
        <v>#N/A</v>
      </c>
    </row>
    <row r="744" spans="1:24" x14ac:dyDescent="0.3">
      <c r="A744">
        <v>6.5</v>
      </c>
      <c r="B744">
        <v>0.61499999999999999</v>
      </c>
      <c r="C744">
        <v>0</v>
      </c>
      <c r="D744">
        <v>1.9</v>
      </c>
      <c r="E744">
        <v>6.5000000000000002E-2</v>
      </c>
      <c r="F744">
        <v>9</v>
      </c>
      <c r="G744">
        <v>18</v>
      </c>
      <c r="H744">
        <v>0.99719999999999998</v>
      </c>
      <c r="I744">
        <v>3.46</v>
      </c>
      <c r="J744">
        <v>0.65</v>
      </c>
      <c r="K744">
        <v>9.1999999999999993</v>
      </c>
      <c r="L744">
        <v>5</v>
      </c>
      <c r="M744" t="str">
        <f t="shared" si="88"/>
        <v>Medium</v>
      </c>
      <c r="N744">
        <f>(winequality_red[[#This Row],[Updated Quality &amp; Alcohol Analysis]]+winequality_red[[#This Row],[volatile acidity]]+winequality_red[[#This Row],[citric acid]])</f>
        <v>7.1150000000000002</v>
      </c>
      <c r="O744">
        <f t="shared" si="89"/>
        <v>4.3451086956521744E-2</v>
      </c>
      <c r="S744" t="e">
        <f t="shared" si="90"/>
        <v>#N/A</v>
      </c>
      <c r="T744" t="e">
        <f t="shared" si="91"/>
        <v>#N/A</v>
      </c>
      <c r="U744">
        <f t="shared" si="92"/>
        <v>9.1999999999999993</v>
      </c>
      <c r="V744">
        <f t="shared" si="93"/>
        <v>5</v>
      </c>
      <c r="W744" t="e">
        <f t="shared" si="94"/>
        <v>#N/A</v>
      </c>
      <c r="X744" t="e">
        <f t="shared" si="95"/>
        <v>#N/A</v>
      </c>
    </row>
    <row r="745" spans="1:24" x14ac:dyDescent="0.3">
      <c r="A745">
        <v>11.6</v>
      </c>
      <c r="B745">
        <v>0.41</v>
      </c>
      <c r="C745">
        <v>0.57999999999999996</v>
      </c>
      <c r="D745">
        <v>2.8</v>
      </c>
      <c r="E745">
        <v>9.6000000000000002E-2</v>
      </c>
      <c r="F745">
        <v>25</v>
      </c>
      <c r="G745">
        <v>101</v>
      </c>
      <c r="H745">
        <v>1.00024</v>
      </c>
      <c r="I745">
        <v>3.13</v>
      </c>
      <c r="J745">
        <v>0.53</v>
      </c>
      <c r="K745">
        <v>10</v>
      </c>
      <c r="L745">
        <v>5</v>
      </c>
      <c r="M745" t="str">
        <f t="shared" si="88"/>
        <v>Medium</v>
      </c>
      <c r="N745">
        <f>(winequality_red[[#This Row],[Updated Quality &amp; Alcohol Analysis]]+winequality_red[[#This Row],[volatile acidity]]+winequality_red[[#This Row],[citric acid]])</f>
        <v>12.59</v>
      </c>
      <c r="O745">
        <f t="shared" si="89"/>
        <v>2.1729999999999999E-2</v>
      </c>
      <c r="S745" t="e">
        <f t="shared" si="90"/>
        <v>#N/A</v>
      </c>
      <c r="T745" t="e">
        <f t="shared" si="91"/>
        <v>#N/A</v>
      </c>
      <c r="U745">
        <f t="shared" si="92"/>
        <v>10</v>
      </c>
      <c r="V745">
        <f t="shared" si="93"/>
        <v>5</v>
      </c>
      <c r="W745" t="e">
        <f t="shared" si="94"/>
        <v>#N/A</v>
      </c>
      <c r="X745" t="e">
        <f t="shared" si="95"/>
        <v>#N/A</v>
      </c>
    </row>
    <row r="746" spans="1:24" x14ac:dyDescent="0.3">
      <c r="A746">
        <v>11.1</v>
      </c>
      <c r="B746">
        <v>0.39</v>
      </c>
      <c r="C746">
        <v>0.54</v>
      </c>
      <c r="D746">
        <v>2.7</v>
      </c>
      <c r="E746">
        <v>9.5000000000000001E-2</v>
      </c>
      <c r="F746">
        <v>21</v>
      </c>
      <c r="G746">
        <v>101</v>
      </c>
      <c r="H746">
        <v>1.0001</v>
      </c>
      <c r="I746">
        <v>3.13</v>
      </c>
      <c r="J746">
        <v>0.51</v>
      </c>
      <c r="K746">
        <v>9.5</v>
      </c>
      <c r="L746">
        <v>5</v>
      </c>
      <c r="M746" t="str">
        <f t="shared" si="88"/>
        <v>Medium</v>
      </c>
      <c r="N746">
        <f>(winequality_red[[#This Row],[Updated Quality &amp; Alcohol Analysis]]+winequality_red[[#This Row],[volatile acidity]]+winequality_red[[#This Row],[citric acid]])</f>
        <v>12.030000000000001</v>
      </c>
      <c r="O746">
        <f t="shared" si="89"/>
        <v>2.093684210526316E-2</v>
      </c>
      <c r="S746" t="e">
        <f t="shared" si="90"/>
        <v>#N/A</v>
      </c>
      <c r="T746" t="e">
        <f t="shared" si="91"/>
        <v>#N/A</v>
      </c>
      <c r="U746">
        <f t="shared" si="92"/>
        <v>9.5</v>
      </c>
      <c r="V746">
        <f t="shared" si="93"/>
        <v>5</v>
      </c>
      <c r="W746" t="e">
        <f t="shared" si="94"/>
        <v>#N/A</v>
      </c>
      <c r="X746" t="e">
        <f t="shared" si="95"/>
        <v>#N/A</v>
      </c>
    </row>
    <row r="747" spans="1:24" x14ac:dyDescent="0.3">
      <c r="A747">
        <v>7.3</v>
      </c>
      <c r="B747">
        <v>0.51</v>
      </c>
      <c r="C747">
        <v>0.18</v>
      </c>
      <c r="D747">
        <v>2.1</v>
      </c>
      <c r="E747">
        <v>7.0000000000000007E-2</v>
      </c>
      <c r="F747">
        <v>12</v>
      </c>
      <c r="G747">
        <v>28</v>
      </c>
      <c r="H747">
        <v>0.9976799999999999</v>
      </c>
      <c r="I747">
        <v>3.52</v>
      </c>
      <c r="J747">
        <v>0.73</v>
      </c>
      <c r="K747">
        <v>9.5</v>
      </c>
      <c r="L747">
        <v>6</v>
      </c>
      <c r="M747" t="str">
        <f t="shared" si="88"/>
        <v>Medium</v>
      </c>
      <c r="N747">
        <f>(winequality_red[[#This Row],[Updated Quality &amp; Alcohol Analysis]]+winequality_red[[#This Row],[volatile acidity]]+winequality_red[[#This Row],[citric acid]])</f>
        <v>7.9899999999999993</v>
      </c>
      <c r="O747">
        <f t="shared" si="89"/>
        <v>3.9189473684210531E-2</v>
      </c>
      <c r="S747" t="e">
        <f t="shared" si="90"/>
        <v>#N/A</v>
      </c>
      <c r="T747" t="e">
        <f t="shared" si="91"/>
        <v>#N/A</v>
      </c>
      <c r="U747">
        <f t="shared" si="92"/>
        <v>9.5</v>
      </c>
      <c r="V747">
        <f t="shared" si="93"/>
        <v>6</v>
      </c>
      <c r="W747" t="e">
        <f t="shared" si="94"/>
        <v>#N/A</v>
      </c>
      <c r="X747" t="e">
        <f t="shared" si="95"/>
        <v>#N/A</v>
      </c>
    </row>
    <row r="748" spans="1:24" x14ac:dyDescent="0.3">
      <c r="A748">
        <v>8.1999999999999993</v>
      </c>
      <c r="B748">
        <v>0.34</v>
      </c>
      <c r="C748">
        <v>0.38</v>
      </c>
      <c r="D748">
        <v>2.5</v>
      </c>
      <c r="E748">
        <v>0.08</v>
      </c>
      <c r="F748">
        <v>12</v>
      </c>
      <c r="G748">
        <v>57</v>
      </c>
      <c r="H748">
        <v>0.99780000000000002</v>
      </c>
      <c r="I748">
        <v>3.3</v>
      </c>
      <c r="J748">
        <v>0.47</v>
      </c>
      <c r="K748">
        <v>9</v>
      </c>
      <c r="L748">
        <v>6</v>
      </c>
      <c r="M748" t="str">
        <f t="shared" si="88"/>
        <v>Medium</v>
      </c>
      <c r="N748">
        <f>(winequality_red[[#This Row],[Updated Quality &amp; Alcohol Analysis]]+winequality_red[[#This Row],[volatile acidity]]+winequality_red[[#This Row],[citric acid]])</f>
        <v>8.92</v>
      </c>
      <c r="O748">
        <f t="shared" si="89"/>
        <v>1.7755555555555556E-2</v>
      </c>
      <c r="S748" t="e">
        <f t="shared" si="90"/>
        <v>#N/A</v>
      </c>
      <c r="T748" t="e">
        <f t="shared" si="91"/>
        <v>#N/A</v>
      </c>
      <c r="U748">
        <f t="shared" si="92"/>
        <v>9</v>
      </c>
      <c r="V748">
        <f t="shared" si="93"/>
        <v>6</v>
      </c>
      <c r="W748" t="e">
        <f t="shared" si="94"/>
        <v>#N/A</v>
      </c>
      <c r="X748" t="e">
        <f t="shared" si="95"/>
        <v>#N/A</v>
      </c>
    </row>
    <row r="749" spans="1:24" x14ac:dyDescent="0.3">
      <c r="A749">
        <v>8.6</v>
      </c>
      <c r="B749">
        <v>0.33</v>
      </c>
      <c r="C749">
        <v>0.4</v>
      </c>
      <c r="D749">
        <v>2.6</v>
      </c>
      <c r="E749">
        <v>8.3000000000000004E-2</v>
      </c>
      <c r="F749">
        <v>16</v>
      </c>
      <c r="G749">
        <v>68</v>
      </c>
      <c r="H749">
        <v>0.99782000000000004</v>
      </c>
      <c r="I749">
        <v>3.3</v>
      </c>
      <c r="J749">
        <v>0.48</v>
      </c>
      <c r="K749">
        <v>9.4</v>
      </c>
      <c r="L749">
        <v>5</v>
      </c>
      <c r="M749" t="str">
        <f t="shared" si="88"/>
        <v>Medium</v>
      </c>
      <c r="N749">
        <f>(winequality_red[[#This Row],[Updated Quality &amp; Alcohol Analysis]]+winequality_red[[#This Row],[volatile acidity]]+winequality_red[[#This Row],[citric acid]])</f>
        <v>9.33</v>
      </c>
      <c r="O749">
        <f t="shared" si="89"/>
        <v>1.6851063829787235E-2</v>
      </c>
      <c r="S749" t="e">
        <f t="shared" si="90"/>
        <v>#N/A</v>
      </c>
      <c r="T749" t="e">
        <f t="shared" si="91"/>
        <v>#N/A</v>
      </c>
      <c r="U749">
        <f t="shared" si="92"/>
        <v>9.4</v>
      </c>
      <c r="V749">
        <f t="shared" si="93"/>
        <v>5</v>
      </c>
      <c r="W749" t="e">
        <f t="shared" si="94"/>
        <v>#N/A</v>
      </c>
      <c r="X749" t="e">
        <f t="shared" si="95"/>
        <v>#N/A</v>
      </c>
    </row>
    <row r="750" spans="1:24" x14ac:dyDescent="0.3">
      <c r="A750">
        <v>7.2</v>
      </c>
      <c r="B750">
        <v>0.5</v>
      </c>
      <c r="C750">
        <v>0.18</v>
      </c>
      <c r="D750">
        <v>2.1</v>
      </c>
      <c r="E750">
        <v>7.0999999999999994E-2</v>
      </c>
      <c r="F750">
        <v>12</v>
      </c>
      <c r="G750">
        <v>31</v>
      </c>
      <c r="H750">
        <v>0.99761</v>
      </c>
      <c r="I750">
        <v>3.52</v>
      </c>
      <c r="J750">
        <v>0.72</v>
      </c>
      <c r="K750">
        <v>9.6</v>
      </c>
      <c r="L750">
        <v>6</v>
      </c>
      <c r="M750" t="str">
        <f t="shared" si="88"/>
        <v>Medium</v>
      </c>
      <c r="N750">
        <f>(winequality_red[[#This Row],[Updated Quality &amp; Alcohol Analysis]]+winequality_red[[#This Row],[volatile acidity]]+winequality_red[[#This Row],[citric acid]])</f>
        <v>7.88</v>
      </c>
      <c r="O750">
        <f t="shared" si="89"/>
        <v>3.7499999999999999E-2</v>
      </c>
      <c r="S750" t="e">
        <f t="shared" si="90"/>
        <v>#N/A</v>
      </c>
      <c r="T750" t="e">
        <f t="shared" si="91"/>
        <v>#N/A</v>
      </c>
      <c r="U750">
        <f t="shared" si="92"/>
        <v>9.6</v>
      </c>
      <c r="V750">
        <f t="shared" si="93"/>
        <v>6</v>
      </c>
      <c r="W750" t="e">
        <f t="shared" si="94"/>
        <v>#N/A</v>
      </c>
      <c r="X750" t="e">
        <f t="shared" si="95"/>
        <v>#N/A</v>
      </c>
    </row>
    <row r="751" spans="1:24" x14ac:dyDescent="0.3">
      <c r="A751">
        <v>7.3</v>
      </c>
      <c r="B751">
        <v>0.51</v>
      </c>
      <c r="C751">
        <v>0.18</v>
      </c>
      <c r="D751">
        <v>2.1</v>
      </c>
      <c r="E751">
        <v>7.0000000000000007E-2</v>
      </c>
      <c r="F751">
        <v>12</v>
      </c>
      <c r="G751">
        <v>28</v>
      </c>
      <c r="H751">
        <v>0.9976799999999999</v>
      </c>
      <c r="I751">
        <v>3.52</v>
      </c>
      <c r="J751">
        <v>0.73</v>
      </c>
      <c r="K751">
        <v>9.5</v>
      </c>
      <c r="L751">
        <v>6</v>
      </c>
      <c r="M751" t="str">
        <f t="shared" si="88"/>
        <v>Medium</v>
      </c>
      <c r="N751">
        <f>(winequality_red[[#This Row],[Updated Quality &amp; Alcohol Analysis]]+winequality_red[[#This Row],[volatile acidity]]+winequality_red[[#This Row],[citric acid]])</f>
        <v>7.9899999999999993</v>
      </c>
      <c r="O751">
        <f t="shared" si="89"/>
        <v>3.9189473684210531E-2</v>
      </c>
      <c r="S751" t="e">
        <f t="shared" si="90"/>
        <v>#N/A</v>
      </c>
      <c r="T751" t="e">
        <f t="shared" si="91"/>
        <v>#N/A</v>
      </c>
      <c r="U751">
        <f t="shared" si="92"/>
        <v>9.5</v>
      </c>
      <c r="V751">
        <f t="shared" si="93"/>
        <v>6</v>
      </c>
      <c r="W751" t="e">
        <f t="shared" si="94"/>
        <v>#N/A</v>
      </c>
      <c r="X751" t="e">
        <f t="shared" si="95"/>
        <v>#N/A</v>
      </c>
    </row>
    <row r="752" spans="1:24" x14ac:dyDescent="0.3">
      <c r="A752">
        <v>8.3000000000000007</v>
      </c>
      <c r="B752">
        <v>0.65</v>
      </c>
      <c r="C752">
        <v>0.1</v>
      </c>
      <c r="D752">
        <v>2.9</v>
      </c>
      <c r="E752">
        <v>8.900000000000001E-2</v>
      </c>
      <c r="F752">
        <v>17</v>
      </c>
      <c r="G752">
        <v>40</v>
      </c>
      <c r="H752">
        <v>0.99802999999999997</v>
      </c>
      <c r="I752">
        <v>3.29</v>
      </c>
      <c r="J752">
        <v>0.55000000000000004</v>
      </c>
      <c r="K752">
        <v>9.5</v>
      </c>
      <c r="L752">
        <v>5</v>
      </c>
      <c r="M752" t="str">
        <f t="shared" si="88"/>
        <v>Medium</v>
      </c>
      <c r="N752">
        <f>(winequality_red[[#This Row],[Updated Quality &amp; Alcohol Analysis]]+winequality_red[[#This Row],[volatile acidity]]+winequality_red[[#This Row],[citric acid]])</f>
        <v>9.0500000000000007</v>
      </c>
      <c r="O752">
        <f t="shared" si="89"/>
        <v>3.7631578947368426E-2</v>
      </c>
      <c r="S752" t="e">
        <f t="shared" si="90"/>
        <v>#N/A</v>
      </c>
      <c r="T752" t="e">
        <f t="shared" si="91"/>
        <v>#N/A</v>
      </c>
      <c r="U752">
        <f t="shared" si="92"/>
        <v>9.5</v>
      </c>
      <c r="V752">
        <f t="shared" si="93"/>
        <v>5</v>
      </c>
      <c r="W752" t="e">
        <f t="shared" si="94"/>
        <v>#N/A</v>
      </c>
      <c r="X752" t="e">
        <f t="shared" si="95"/>
        <v>#N/A</v>
      </c>
    </row>
    <row r="753" spans="1:24" x14ac:dyDescent="0.3">
      <c r="A753">
        <v>8.3000000000000007</v>
      </c>
      <c r="B753">
        <v>0.65</v>
      </c>
      <c r="C753">
        <v>0.1</v>
      </c>
      <c r="D753">
        <v>2.9</v>
      </c>
      <c r="E753">
        <v>8.900000000000001E-2</v>
      </c>
      <c r="F753">
        <v>17</v>
      </c>
      <c r="G753">
        <v>40</v>
      </c>
      <c r="H753">
        <v>0.99802999999999997</v>
      </c>
      <c r="I753">
        <v>3.29</v>
      </c>
      <c r="J753">
        <v>0.55000000000000004</v>
      </c>
      <c r="K753">
        <v>9.5</v>
      </c>
      <c r="L753">
        <v>5</v>
      </c>
      <c r="M753" t="str">
        <f t="shared" si="88"/>
        <v>Medium</v>
      </c>
      <c r="N753">
        <f>(winequality_red[[#This Row],[Updated Quality &amp; Alcohol Analysis]]+winequality_red[[#This Row],[volatile acidity]]+winequality_red[[#This Row],[citric acid]])</f>
        <v>9.0500000000000007</v>
      </c>
      <c r="O753">
        <f t="shared" si="89"/>
        <v>3.7631578947368426E-2</v>
      </c>
      <c r="S753" t="e">
        <f t="shared" si="90"/>
        <v>#N/A</v>
      </c>
      <c r="T753" t="e">
        <f t="shared" si="91"/>
        <v>#N/A</v>
      </c>
      <c r="U753">
        <f t="shared" si="92"/>
        <v>9.5</v>
      </c>
      <c r="V753">
        <f t="shared" si="93"/>
        <v>5</v>
      </c>
      <c r="W753" t="e">
        <f t="shared" si="94"/>
        <v>#N/A</v>
      </c>
      <c r="X753" t="e">
        <f t="shared" si="95"/>
        <v>#N/A</v>
      </c>
    </row>
    <row r="754" spans="1:24" x14ac:dyDescent="0.3">
      <c r="A754">
        <v>7.6</v>
      </c>
      <c r="B754">
        <v>0.54</v>
      </c>
      <c r="C754">
        <v>0.13</v>
      </c>
      <c r="D754">
        <v>2.5</v>
      </c>
      <c r="E754">
        <v>9.6999999999999989E-2</v>
      </c>
      <c r="F754">
        <v>24</v>
      </c>
      <c r="G754">
        <v>66</v>
      </c>
      <c r="H754">
        <v>0.99785000000000001</v>
      </c>
      <c r="I754">
        <v>3.39</v>
      </c>
      <c r="J754">
        <v>0.61</v>
      </c>
      <c r="K754">
        <v>9.4</v>
      </c>
      <c r="L754">
        <v>5</v>
      </c>
      <c r="M754" t="str">
        <f t="shared" si="88"/>
        <v>Medium</v>
      </c>
      <c r="N754">
        <f>(winequality_red[[#This Row],[Updated Quality &amp; Alcohol Analysis]]+winequality_red[[#This Row],[volatile acidity]]+winequality_red[[#This Row],[citric acid]])</f>
        <v>8.2700000000000014</v>
      </c>
      <c r="O754">
        <f t="shared" si="89"/>
        <v>3.5042553191489363E-2</v>
      </c>
      <c r="S754" t="e">
        <f t="shared" si="90"/>
        <v>#N/A</v>
      </c>
      <c r="T754" t="e">
        <f t="shared" si="91"/>
        <v>#N/A</v>
      </c>
      <c r="U754">
        <f t="shared" si="92"/>
        <v>9.4</v>
      </c>
      <c r="V754">
        <f t="shared" si="93"/>
        <v>5</v>
      </c>
      <c r="W754" t="e">
        <f t="shared" si="94"/>
        <v>#N/A</v>
      </c>
      <c r="X754" t="e">
        <f t="shared" si="95"/>
        <v>#N/A</v>
      </c>
    </row>
    <row r="755" spans="1:24" x14ac:dyDescent="0.3">
      <c r="A755">
        <v>8.3000000000000007</v>
      </c>
      <c r="B755">
        <v>0.65</v>
      </c>
      <c r="C755">
        <v>0.1</v>
      </c>
      <c r="D755">
        <v>2.9</v>
      </c>
      <c r="E755">
        <v>8.900000000000001E-2</v>
      </c>
      <c r="F755">
        <v>17</v>
      </c>
      <c r="G755">
        <v>40</v>
      </c>
      <c r="H755">
        <v>0.99802999999999997</v>
      </c>
      <c r="I755">
        <v>3.29</v>
      </c>
      <c r="J755">
        <v>0.55000000000000004</v>
      </c>
      <c r="K755">
        <v>9.5</v>
      </c>
      <c r="L755">
        <v>5</v>
      </c>
      <c r="M755" t="str">
        <f t="shared" si="88"/>
        <v>Medium</v>
      </c>
      <c r="N755">
        <f>(winequality_red[[#This Row],[Updated Quality &amp; Alcohol Analysis]]+winequality_red[[#This Row],[volatile acidity]]+winequality_red[[#This Row],[citric acid]])</f>
        <v>9.0500000000000007</v>
      </c>
      <c r="O755">
        <f t="shared" si="89"/>
        <v>3.7631578947368426E-2</v>
      </c>
      <c r="S755" t="e">
        <f t="shared" si="90"/>
        <v>#N/A</v>
      </c>
      <c r="T755" t="e">
        <f t="shared" si="91"/>
        <v>#N/A</v>
      </c>
      <c r="U755">
        <f t="shared" si="92"/>
        <v>9.5</v>
      </c>
      <c r="V755">
        <f t="shared" si="93"/>
        <v>5</v>
      </c>
      <c r="W755" t="e">
        <f t="shared" si="94"/>
        <v>#N/A</v>
      </c>
      <c r="X755" t="e">
        <f t="shared" si="95"/>
        <v>#N/A</v>
      </c>
    </row>
    <row r="756" spans="1:24" x14ac:dyDescent="0.3">
      <c r="A756">
        <v>7.8</v>
      </c>
      <c r="B756">
        <v>0.48</v>
      </c>
      <c r="C756">
        <v>0.68</v>
      </c>
      <c r="D756">
        <v>1.7</v>
      </c>
      <c r="E756">
        <v>0.41499999999999998</v>
      </c>
      <c r="F756">
        <v>14</v>
      </c>
      <c r="G756">
        <v>32</v>
      </c>
      <c r="H756">
        <v>0.99656</v>
      </c>
      <c r="I756">
        <v>3.09</v>
      </c>
      <c r="J756">
        <v>1.06</v>
      </c>
      <c r="K756">
        <v>9.1</v>
      </c>
      <c r="L756">
        <v>6</v>
      </c>
      <c r="M756" t="str">
        <f t="shared" si="88"/>
        <v>Medium</v>
      </c>
      <c r="N756">
        <f>(winequality_red[[#This Row],[Updated Quality &amp; Alcohol Analysis]]+winequality_red[[#This Row],[volatile acidity]]+winequality_red[[#This Row],[citric acid]])</f>
        <v>8.9599999999999991</v>
      </c>
      <c r="O756">
        <f t="shared" si="89"/>
        <v>5.5912087912087918E-2</v>
      </c>
      <c r="S756" t="e">
        <f t="shared" si="90"/>
        <v>#N/A</v>
      </c>
      <c r="T756" t="e">
        <f t="shared" si="91"/>
        <v>#N/A</v>
      </c>
      <c r="U756">
        <f t="shared" si="92"/>
        <v>9.1</v>
      </c>
      <c r="V756">
        <f t="shared" si="93"/>
        <v>6</v>
      </c>
      <c r="W756" t="e">
        <f t="shared" si="94"/>
        <v>#N/A</v>
      </c>
      <c r="X756" t="e">
        <f t="shared" si="95"/>
        <v>#N/A</v>
      </c>
    </row>
    <row r="757" spans="1:24" x14ac:dyDescent="0.3">
      <c r="A757">
        <v>7.8</v>
      </c>
      <c r="B757">
        <v>0.91</v>
      </c>
      <c r="C757">
        <v>7.0000000000000007E-2</v>
      </c>
      <c r="D757">
        <v>1.9</v>
      </c>
      <c r="E757">
        <v>5.7999999999999996E-2</v>
      </c>
      <c r="F757">
        <v>22</v>
      </c>
      <c r="G757">
        <v>47</v>
      </c>
      <c r="H757">
        <v>0.99524999999999997</v>
      </c>
      <c r="I757">
        <v>3.51</v>
      </c>
      <c r="J757">
        <v>0.43</v>
      </c>
      <c r="K757">
        <v>10.7</v>
      </c>
      <c r="L757">
        <v>6</v>
      </c>
      <c r="M757" t="str">
        <f t="shared" si="88"/>
        <v>Medium</v>
      </c>
      <c r="N757">
        <f>(winequality_red[[#This Row],[Updated Quality &amp; Alcohol Analysis]]+winequality_red[[#This Row],[volatile acidity]]+winequality_red[[#This Row],[citric acid]])</f>
        <v>8.7799999999999994</v>
      </c>
      <c r="O757">
        <f t="shared" si="89"/>
        <v>3.6570093457943924E-2</v>
      </c>
      <c r="S757" t="e">
        <f t="shared" si="90"/>
        <v>#N/A</v>
      </c>
      <c r="T757" t="e">
        <f t="shared" si="91"/>
        <v>#N/A</v>
      </c>
      <c r="U757">
        <f t="shared" si="92"/>
        <v>10.7</v>
      </c>
      <c r="V757">
        <f t="shared" si="93"/>
        <v>6</v>
      </c>
      <c r="W757" t="e">
        <f t="shared" si="94"/>
        <v>#N/A</v>
      </c>
      <c r="X757" t="e">
        <f t="shared" si="95"/>
        <v>#N/A</v>
      </c>
    </row>
    <row r="758" spans="1:24" x14ac:dyDescent="0.3">
      <c r="A758">
        <v>6.3</v>
      </c>
      <c r="B758">
        <v>0.98</v>
      </c>
      <c r="C758">
        <v>0.01</v>
      </c>
      <c r="D758">
        <v>2</v>
      </c>
      <c r="E758">
        <v>5.7000000000000002E-2</v>
      </c>
      <c r="F758">
        <v>15</v>
      </c>
      <c r="G758">
        <v>33</v>
      </c>
      <c r="H758">
        <v>0.99487999999999988</v>
      </c>
      <c r="I758">
        <v>3.6</v>
      </c>
      <c r="J758">
        <v>0.46</v>
      </c>
      <c r="K758">
        <v>11.2</v>
      </c>
      <c r="L758">
        <v>6</v>
      </c>
      <c r="M758" t="str">
        <f t="shared" si="88"/>
        <v>Medium</v>
      </c>
      <c r="N758">
        <f>(winequality_red[[#This Row],[Updated Quality &amp; Alcohol Analysis]]+winequality_red[[#This Row],[volatile acidity]]+winequality_red[[#This Row],[citric acid]])</f>
        <v>7.2899999999999991</v>
      </c>
      <c r="O758">
        <f t="shared" si="89"/>
        <v>4.0250000000000008E-2</v>
      </c>
      <c r="S758" t="e">
        <f t="shared" si="90"/>
        <v>#N/A</v>
      </c>
      <c r="T758" t="e">
        <f t="shared" si="91"/>
        <v>#N/A</v>
      </c>
      <c r="U758">
        <f t="shared" si="92"/>
        <v>11.2</v>
      </c>
      <c r="V758">
        <f t="shared" si="93"/>
        <v>6</v>
      </c>
      <c r="W758" t="e">
        <f t="shared" si="94"/>
        <v>#N/A</v>
      </c>
      <c r="X758" t="e">
        <f t="shared" si="95"/>
        <v>#N/A</v>
      </c>
    </row>
    <row r="759" spans="1:24" x14ac:dyDescent="0.3">
      <c r="A759">
        <v>8.1</v>
      </c>
      <c r="B759">
        <v>0.87</v>
      </c>
      <c r="C759">
        <v>0</v>
      </c>
      <c r="D759">
        <v>2.2000000000000002</v>
      </c>
      <c r="E759">
        <v>8.4000000000000005E-2</v>
      </c>
      <c r="F759">
        <v>10</v>
      </c>
      <c r="G759">
        <v>31</v>
      </c>
      <c r="H759">
        <v>0.99656</v>
      </c>
      <c r="I759">
        <v>3.25</v>
      </c>
      <c r="J759">
        <v>0.5</v>
      </c>
      <c r="K759">
        <v>9.8000000000000007</v>
      </c>
      <c r="L759">
        <v>5</v>
      </c>
      <c r="M759" t="str">
        <f t="shared" si="88"/>
        <v>Medium</v>
      </c>
      <c r="N759">
        <f>(winequality_red[[#This Row],[Updated Quality &amp; Alcohol Analysis]]+winequality_red[[#This Row],[volatile acidity]]+winequality_red[[#This Row],[citric acid]])</f>
        <v>8.9699999999999989</v>
      </c>
      <c r="O759">
        <f t="shared" si="89"/>
        <v>4.4387755102040814E-2</v>
      </c>
      <c r="S759" t="e">
        <f t="shared" si="90"/>
        <v>#N/A</v>
      </c>
      <c r="T759" t="e">
        <f t="shared" si="91"/>
        <v>#N/A</v>
      </c>
      <c r="U759">
        <f t="shared" si="92"/>
        <v>9.8000000000000007</v>
      </c>
      <c r="V759">
        <f t="shared" si="93"/>
        <v>5</v>
      </c>
      <c r="W759" t="e">
        <f t="shared" si="94"/>
        <v>#N/A</v>
      </c>
      <c r="X759" t="e">
        <f t="shared" si="95"/>
        <v>#N/A</v>
      </c>
    </row>
    <row r="760" spans="1:24" x14ac:dyDescent="0.3">
      <c r="A760">
        <v>8.1</v>
      </c>
      <c r="B760">
        <v>0.87</v>
      </c>
      <c r="C760">
        <v>0</v>
      </c>
      <c r="D760">
        <v>2.2000000000000002</v>
      </c>
      <c r="E760">
        <v>8.4000000000000005E-2</v>
      </c>
      <c r="F760">
        <v>10</v>
      </c>
      <c r="G760">
        <v>31</v>
      </c>
      <c r="H760">
        <v>0.99656</v>
      </c>
      <c r="I760">
        <v>3.25</v>
      </c>
      <c r="J760">
        <v>0.5</v>
      </c>
      <c r="K760">
        <v>9.8000000000000007</v>
      </c>
      <c r="L760">
        <v>5</v>
      </c>
      <c r="M760" t="str">
        <f t="shared" si="88"/>
        <v>Medium</v>
      </c>
      <c r="N760">
        <f>(winequality_red[[#This Row],[Updated Quality &amp; Alcohol Analysis]]+winequality_red[[#This Row],[volatile acidity]]+winequality_red[[#This Row],[citric acid]])</f>
        <v>8.9699999999999989</v>
      </c>
      <c r="O760">
        <f t="shared" si="89"/>
        <v>4.4387755102040814E-2</v>
      </c>
      <c r="S760" t="e">
        <f t="shared" si="90"/>
        <v>#N/A</v>
      </c>
      <c r="T760" t="e">
        <f t="shared" si="91"/>
        <v>#N/A</v>
      </c>
      <c r="U760">
        <f t="shared" si="92"/>
        <v>9.8000000000000007</v>
      </c>
      <c r="V760">
        <f t="shared" si="93"/>
        <v>5</v>
      </c>
      <c r="W760" t="e">
        <f t="shared" si="94"/>
        <v>#N/A</v>
      </c>
      <c r="X760" t="e">
        <f t="shared" si="95"/>
        <v>#N/A</v>
      </c>
    </row>
    <row r="761" spans="1:24" x14ac:dyDescent="0.3">
      <c r="A761">
        <v>8.8000000000000007</v>
      </c>
      <c r="B761">
        <v>0.42</v>
      </c>
      <c r="C761">
        <v>0.21</v>
      </c>
      <c r="D761">
        <v>2.5</v>
      </c>
      <c r="E761">
        <v>9.1999999999999998E-2</v>
      </c>
      <c r="F761">
        <v>33</v>
      </c>
      <c r="G761">
        <v>88</v>
      </c>
      <c r="H761">
        <v>0.99822999999999995</v>
      </c>
      <c r="I761">
        <v>3.19</v>
      </c>
      <c r="J761">
        <v>0.52</v>
      </c>
      <c r="K761">
        <v>9.1999999999999993</v>
      </c>
      <c r="L761">
        <v>5</v>
      </c>
      <c r="M761" t="str">
        <f t="shared" si="88"/>
        <v>Medium</v>
      </c>
      <c r="N761">
        <f>(winequality_red[[#This Row],[Updated Quality &amp; Alcohol Analysis]]+winequality_red[[#This Row],[volatile acidity]]+winequality_red[[#This Row],[citric acid]])</f>
        <v>9.4300000000000015</v>
      </c>
      <c r="O761">
        <f t="shared" si="89"/>
        <v>2.3739130434782613E-2</v>
      </c>
      <c r="S761" t="e">
        <f t="shared" si="90"/>
        <v>#N/A</v>
      </c>
      <c r="T761" t="e">
        <f t="shared" si="91"/>
        <v>#N/A</v>
      </c>
      <c r="U761">
        <f t="shared" si="92"/>
        <v>9.1999999999999993</v>
      </c>
      <c r="V761">
        <f t="shared" si="93"/>
        <v>5</v>
      </c>
      <c r="W761" t="e">
        <f t="shared" si="94"/>
        <v>#N/A</v>
      </c>
      <c r="X761" t="e">
        <f t="shared" si="95"/>
        <v>#N/A</v>
      </c>
    </row>
    <row r="762" spans="1:24" x14ac:dyDescent="0.3">
      <c r="A762">
        <v>9</v>
      </c>
      <c r="B762">
        <v>0.57999999999999996</v>
      </c>
      <c r="C762">
        <v>0.25</v>
      </c>
      <c r="D762">
        <v>2.8</v>
      </c>
      <c r="E762">
        <v>7.4999999999999997E-2</v>
      </c>
      <c r="F762">
        <v>9</v>
      </c>
      <c r="G762">
        <v>104</v>
      </c>
      <c r="H762">
        <v>0.99778999999999995</v>
      </c>
      <c r="I762">
        <v>3.23</v>
      </c>
      <c r="J762">
        <v>0.56999999999999995</v>
      </c>
      <c r="K762">
        <v>9.6999999999999993</v>
      </c>
      <c r="L762">
        <v>5</v>
      </c>
      <c r="M762" t="str">
        <f t="shared" si="88"/>
        <v>Medium</v>
      </c>
      <c r="N762">
        <f>(winequality_red[[#This Row],[Updated Quality &amp; Alcohol Analysis]]+winequality_red[[#This Row],[volatile acidity]]+winequality_red[[#This Row],[citric acid]])</f>
        <v>9.83</v>
      </c>
      <c r="O762">
        <f t="shared" si="89"/>
        <v>3.4082474226804119E-2</v>
      </c>
      <c r="S762" t="e">
        <f t="shared" si="90"/>
        <v>#N/A</v>
      </c>
      <c r="T762" t="e">
        <f t="shared" si="91"/>
        <v>#N/A</v>
      </c>
      <c r="U762">
        <f t="shared" si="92"/>
        <v>9.6999999999999993</v>
      </c>
      <c r="V762">
        <f t="shared" si="93"/>
        <v>5</v>
      </c>
      <c r="W762" t="e">
        <f t="shared" si="94"/>
        <v>#N/A</v>
      </c>
      <c r="X762" t="e">
        <f t="shared" si="95"/>
        <v>#N/A</v>
      </c>
    </row>
    <row r="763" spans="1:24" x14ac:dyDescent="0.3">
      <c r="A763">
        <v>9.3000000000000007</v>
      </c>
      <c r="B763">
        <v>0.65500000000000003</v>
      </c>
      <c r="C763">
        <v>0.26</v>
      </c>
      <c r="D763">
        <v>2</v>
      </c>
      <c r="E763">
        <v>9.6000000000000002E-2</v>
      </c>
      <c r="F763">
        <v>5</v>
      </c>
      <c r="G763">
        <v>35</v>
      </c>
      <c r="H763">
        <v>0.99737999999999993</v>
      </c>
      <c r="I763">
        <v>3.25</v>
      </c>
      <c r="J763">
        <v>0.42</v>
      </c>
      <c r="K763">
        <v>9.6</v>
      </c>
      <c r="L763">
        <v>5</v>
      </c>
      <c r="M763" t="str">
        <f t="shared" si="88"/>
        <v>Medium</v>
      </c>
      <c r="N763">
        <f>(winequality_red[[#This Row],[Updated Quality &amp; Alcohol Analysis]]+winequality_red[[#This Row],[volatile acidity]]+winequality_red[[#This Row],[citric acid]])</f>
        <v>10.215</v>
      </c>
      <c r="O763">
        <f t="shared" si="89"/>
        <v>2.8656250000000001E-2</v>
      </c>
      <c r="S763" t="e">
        <f t="shared" si="90"/>
        <v>#N/A</v>
      </c>
      <c r="T763" t="e">
        <f t="shared" si="91"/>
        <v>#N/A</v>
      </c>
      <c r="U763">
        <f t="shared" si="92"/>
        <v>9.6</v>
      </c>
      <c r="V763">
        <f t="shared" si="93"/>
        <v>5</v>
      </c>
      <c r="W763" t="e">
        <f t="shared" si="94"/>
        <v>#N/A</v>
      </c>
      <c r="X763" t="e">
        <f t="shared" si="95"/>
        <v>#N/A</v>
      </c>
    </row>
    <row r="764" spans="1:24" x14ac:dyDescent="0.3">
      <c r="A764">
        <v>8.8000000000000007</v>
      </c>
      <c r="B764">
        <v>0.7</v>
      </c>
      <c r="C764">
        <v>0</v>
      </c>
      <c r="D764">
        <v>1.7</v>
      </c>
      <c r="E764">
        <v>6.9000000000000006E-2</v>
      </c>
      <c r="F764">
        <v>8</v>
      </c>
      <c r="G764">
        <v>19</v>
      </c>
      <c r="H764">
        <v>0.99701000000000006</v>
      </c>
      <c r="I764">
        <v>3.31</v>
      </c>
      <c r="J764">
        <v>0.53</v>
      </c>
      <c r="K764">
        <v>10</v>
      </c>
      <c r="L764">
        <v>6</v>
      </c>
      <c r="M764" t="str">
        <f t="shared" si="88"/>
        <v>Medium</v>
      </c>
      <c r="N764">
        <f>(winequality_red[[#This Row],[Updated Quality &amp; Alcohol Analysis]]+winequality_red[[#This Row],[volatile acidity]]+winequality_red[[#This Row],[citric acid]])</f>
        <v>9.5</v>
      </c>
      <c r="O764">
        <f t="shared" si="89"/>
        <v>3.7100000000000001E-2</v>
      </c>
      <c r="S764" t="e">
        <f t="shared" si="90"/>
        <v>#N/A</v>
      </c>
      <c r="T764" t="e">
        <f t="shared" si="91"/>
        <v>#N/A</v>
      </c>
      <c r="U764">
        <f t="shared" si="92"/>
        <v>10</v>
      </c>
      <c r="V764">
        <f t="shared" si="93"/>
        <v>6</v>
      </c>
      <c r="W764" t="e">
        <f t="shared" si="94"/>
        <v>#N/A</v>
      </c>
      <c r="X764" t="e">
        <f t="shared" si="95"/>
        <v>#N/A</v>
      </c>
    </row>
    <row r="765" spans="1:24" x14ac:dyDescent="0.3">
      <c r="A765">
        <v>9.3000000000000007</v>
      </c>
      <c r="B765">
        <v>0.65500000000000003</v>
      </c>
      <c r="C765">
        <v>0.26</v>
      </c>
      <c r="D765">
        <v>2</v>
      </c>
      <c r="E765">
        <v>9.6000000000000002E-2</v>
      </c>
      <c r="F765">
        <v>5</v>
      </c>
      <c r="G765">
        <v>35</v>
      </c>
      <c r="H765">
        <v>0.99737999999999993</v>
      </c>
      <c r="I765">
        <v>3.25</v>
      </c>
      <c r="J765">
        <v>0.42</v>
      </c>
      <c r="K765">
        <v>9.6</v>
      </c>
      <c r="L765">
        <v>5</v>
      </c>
      <c r="M765" t="str">
        <f t="shared" si="88"/>
        <v>Medium</v>
      </c>
      <c r="N765">
        <f>(winequality_red[[#This Row],[Updated Quality &amp; Alcohol Analysis]]+winequality_red[[#This Row],[volatile acidity]]+winequality_red[[#This Row],[citric acid]])</f>
        <v>10.215</v>
      </c>
      <c r="O765">
        <f t="shared" si="89"/>
        <v>2.8656250000000001E-2</v>
      </c>
      <c r="S765" t="e">
        <f t="shared" si="90"/>
        <v>#N/A</v>
      </c>
      <c r="T765" t="e">
        <f t="shared" si="91"/>
        <v>#N/A</v>
      </c>
      <c r="U765">
        <f t="shared" si="92"/>
        <v>9.6</v>
      </c>
      <c r="V765">
        <f t="shared" si="93"/>
        <v>5</v>
      </c>
      <c r="W765" t="e">
        <f t="shared" si="94"/>
        <v>#N/A</v>
      </c>
      <c r="X765" t="e">
        <f t="shared" si="95"/>
        <v>#N/A</v>
      </c>
    </row>
    <row r="766" spans="1:24" x14ac:dyDescent="0.3">
      <c r="A766">
        <v>9.1</v>
      </c>
      <c r="B766">
        <v>0.68</v>
      </c>
      <c r="C766">
        <v>0.11</v>
      </c>
      <c r="D766">
        <v>2.8</v>
      </c>
      <c r="E766">
        <v>9.3000000000000013E-2</v>
      </c>
      <c r="F766">
        <v>11</v>
      </c>
      <c r="G766">
        <v>44</v>
      </c>
      <c r="H766">
        <v>0.99887999999999988</v>
      </c>
      <c r="I766">
        <v>3.31</v>
      </c>
      <c r="J766">
        <v>0.55000000000000004</v>
      </c>
      <c r="K766">
        <v>9.5</v>
      </c>
      <c r="L766">
        <v>6</v>
      </c>
      <c r="M766" t="str">
        <f t="shared" si="88"/>
        <v>Medium</v>
      </c>
      <c r="N766">
        <f>(winequality_red[[#This Row],[Updated Quality &amp; Alcohol Analysis]]+winequality_red[[#This Row],[volatile acidity]]+winequality_red[[#This Row],[citric acid]])</f>
        <v>9.8899999999999988</v>
      </c>
      <c r="O766">
        <f t="shared" si="89"/>
        <v>3.9368421052631587E-2</v>
      </c>
      <c r="S766" t="e">
        <f t="shared" si="90"/>
        <v>#N/A</v>
      </c>
      <c r="T766" t="e">
        <f t="shared" si="91"/>
        <v>#N/A</v>
      </c>
      <c r="U766">
        <f t="shared" si="92"/>
        <v>9.5</v>
      </c>
      <c r="V766">
        <f t="shared" si="93"/>
        <v>6</v>
      </c>
      <c r="W766" t="e">
        <f t="shared" si="94"/>
        <v>#N/A</v>
      </c>
      <c r="X766" t="e">
        <f t="shared" si="95"/>
        <v>#N/A</v>
      </c>
    </row>
    <row r="767" spans="1:24" x14ac:dyDescent="0.3">
      <c r="A767">
        <v>9.1999999999999993</v>
      </c>
      <c r="B767">
        <v>0.67</v>
      </c>
      <c r="C767">
        <v>0.1</v>
      </c>
      <c r="D767">
        <v>3</v>
      </c>
      <c r="E767">
        <v>9.0999999999999998E-2</v>
      </c>
      <c r="F767">
        <v>12</v>
      </c>
      <c r="G767">
        <v>48</v>
      </c>
      <c r="H767">
        <v>0.99887999999999988</v>
      </c>
      <c r="I767">
        <v>3.31</v>
      </c>
      <c r="J767">
        <v>0.54</v>
      </c>
      <c r="K767">
        <v>9.5</v>
      </c>
      <c r="L767">
        <v>6</v>
      </c>
      <c r="M767" t="str">
        <f t="shared" si="88"/>
        <v>Medium</v>
      </c>
      <c r="N767">
        <f>(winequality_red[[#This Row],[Updated Quality &amp; Alcohol Analysis]]+winequality_red[[#This Row],[volatile acidity]]+winequality_red[[#This Row],[citric acid]])</f>
        <v>9.9699999999999989</v>
      </c>
      <c r="O767">
        <f t="shared" si="89"/>
        <v>3.8084210526315797E-2</v>
      </c>
      <c r="S767" t="e">
        <f t="shared" si="90"/>
        <v>#N/A</v>
      </c>
      <c r="T767" t="e">
        <f t="shared" si="91"/>
        <v>#N/A</v>
      </c>
      <c r="U767">
        <f t="shared" si="92"/>
        <v>9.5</v>
      </c>
      <c r="V767">
        <f t="shared" si="93"/>
        <v>6</v>
      </c>
      <c r="W767" t="e">
        <f t="shared" si="94"/>
        <v>#N/A</v>
      </c>
      <c r="X767" t="e">
        <f t="shared" si="95"/>
        <v>#N/A</v>
      </c>
    </row>
    <row r="768" spans="1:24" x14ac:dyDescent="0.3">
      <c r="A768">
        <v>8.8000000000000007</v>
      </c>
      <c r="B768">
        <v>0.59</v>
      </c>
      <c r="C768">
        <v>0.18</v>
      </c>
      <c r="D768">
        <v>2.9</v>
      </c>
      <c r="E768">
        <v>8.900000000000001E-2</v>
      </c>
      <c r="F768">
        <v>12</v>
      </c>
      <c r="G768">
        <v>74</v>
      </c>
      <c r="H768">
        <v>0.99737999999999993</v>
      </c>
      <c r="I768">
        <v>3.14</v>
      </c>
      <c r="J768">
        <v>0.54</v>
      </c>
      <c r="K768">
        <v>9.4</v>
      </c>
      <c r="L768">
        <v>5</v>
      </c>
      <c r="M768" t="str">
        <f t="shared" si="88"/>
        <v>Medium</v>
      </c>
      <c r="N768">
        <f>(winequality_red[[#This Row],[Updated Quality &amp; Alcohol Analysis]]+winequality_red[[#This Row],[volatile acidity]]+winequality_red[[#This Row],[citric acid]])</f>
        <v>9.57</v>
      </c>
      <c r="O768">
        <f t="shared" si="89"/>
        <v>3.3893617021276592E-2</v>
      </c>
      <c r="S768" t="e">
        <f t="shared" si="90"/>
        <v>#N/A</v>
      </c>
      <c r="T768" t="e">
        <f t="shared" si="91"/>
        <v>#N/A</v>
      </c>
      <c r="U768">
        <f t="shared" si="92"/>
        <v>9.4</v>
      </c>
      <c r="V768">
        <f t="shared" si="93"/>
        <v>5</v>
      </c>
      <c r="W768" t="e">
        <f t="shared" si="94"/>
        <v>#N/A</v>
      </c>
      <c r="X768" t="e">
        <f t="shared" si="95"/>
        <v>#N/A</v>
      </c>
    </row>
    <row r="769" spans="1:24" x14ac:dyDescent="0.3">
      <c r="A769">
        <v>7.5</v>
      </c>
      <c r="B769">
        <v>0.6</v>
      </c>
      <c r="C769">
        <v>0.32</v>
      </c>
      <c r="D769">
        <v>2.7</v>
      </c>
      <c r="E769">
        <v>0.10300000000000001</v>
      </c>
      <c r="F769">
        <v>13</v>
      </c>
      <c r="G769">
        <v>98</v>
      </c>
      <c r="H769">
        <v>0.99937999999999994</v>
      </c>
      <c r="I769">
        <v>3.45</v>
      </c>
      <c r="J769">
        <v>0.62</v>
      </c>
      <c r="K769">
        <v>9.5</v>
      </c>
      <c r="L769">
        <v>5</v>
      </c>
      <c r="M769" t="str">
        <f t="shared" si="88"/>
        <v>Medium</v>
      </c>
      <c r="N769">
        <f>(winequality_red[[#This Row],[Updated Quality &amp; Alcohol Analysis]]+winequality_red[[#This Row],[volatile acidity]]+winequality_red[[#This Row],[citric acid]])</f>
        <v>8.42</v>
      </c>
      <c r="O769">
        <f t="shared" si="89"/>
        <v>3.9157894736842107E-2</v>
      </c>
      <c r="S769" t="e">
        <f t="shared" si="90"/>
        <v>#N/A</v>
      </c>
      <c r="T769" t="e">
        <f t="shared" si="91"/>
        <v>#N/A</v>
      </c>
      <c r="U769">
        <f t="shared" si="92"/>
        <v>9.5</v>
      </c>
      <c r="V769">
        <f t="shared" si="93"/>
        <v>5</v>
      </c>
      <c r="W769" t="e">
        <f t="shared" si="94"/>
        <v>#N/A</v>
      </c>
      <c r="X769" t="e">
        <f t="shared" si="95"/>
        <v>#N/A</v>
      </c>
    </row>
    <row r="770" spans="1:24" x14ac:dyDescent="0.3">
      <c r="A770">
        <v>7.1</v>
      </c>
      <c r="B770">
        <v>0.59</v>
      </c>
      <c r="C770">
        <v>0.02</v>
      </c>
      <c r="D770">
        <v>2.2999999999999998</v>
      </c>
      <c r="E770">
        <v>8.199999999999999E-2</v>
      </c>
      <c r="F770">
        <v>24</v>
      </c>
      <c r="G770">
        <v>94</v>
      </c>
      <c r="H770">
        <v>0.99743999999999999</v>
      </c>
      <c r="I770">
        <v>3.55</v>
      </c>
      <c r="J770">
        <v>0.53</v>
      </c>
      <c r="K770">
        <v>9.6999999999999993</v>
      </c>
      <c r="L770">
        <v>6</v>
      </c>
      <c r="M770" t="str">
        <f t="shared" ref="M770:M833" si="96">IF($L770&gt;=7,"High",IF($L770&gt;=5,"Medium","Low"))</f>
        <v>Medium</v>
      </c>
      <c r="N770">
        <f>(winequality_red[[#This Row],[Updated Quality &amp; Alcohol Analysis]]+winequality_red[[#This Row],[volatile acidity]]+winequality_red[[#This Row],[citric acid]])</f>
        <v>7.7099999999999991</v>
      </c>
      <c r="O770">
        <f t="shared" ref="O770:O833" si="97">($B770*$J770)/$K770</f>
        <v>3.2237113402061854E-2</v>
      </c>
      <c r="S770" t="e">
        <f t="shared" si="90"/>
        <v>#N/A</v>
      </c>
      <c r="T770" t="e">
        <f t="shared" si="91"/>
        <v>#N/A</v>
      </c>
      <c r="U770">
        <f t="shared" si="92"/>
        <v>9.6999999999999993</v>
      </c>
      <c r="V770">
        <f t="shared" si="93"/>
        <v>6</v>
      </c>
      <c r="W770" t="e">
        <f t="shared" si="94"/>
        <v>#N/A</v>
      </c>
      <c r="X770" t="e">
        <f t="shared" si="95"/>
        <v>#N/A</v>
      </c>
    </row>
    <row r="771" spans="1:24" x14ac:dyDescent="0.3">
      <c r="A771">
        <v>7.9</v>
      </c>
      <c r="B771">
        <v>0.72</v>
      </c>
      <c r="C771">
        <v>0.01</v>
      </c>
      <c r="D771">
        <v>1.9</v>
      </c>
      <c r="E771">
        <v>7.5999999999999998E-2</v>
      </c>
      <c r="F771">
        <v>7</v>
      </c>
      <c r="G771">
        <v>32</v>
      </c>
      <c r="H771">
        <v>0.9966799999999999</v>
      </c>
      <c r="I771">
        <v>3.39</v>
      </c>
      <c r="J771">
        <v>0.54</v>
      </c>
      <c r="K771">
        <v>9.6</v>
      </c>
      <c r="L771">
        <v>5</v>
      </c>
      <c r="M771" t="str">
        <f t="shared" si="96"/>
        <v>Medium</v>
      </c>
      <c r="N771">
        <f>(winequality_red[[#This Row],[Updated Quality &amp; Alcohol Analysis]]+winequality_red[[#This Row],[volatile acidity]]+winequality_red[[#This Row],[citric acid]])</f>
        <v>8.6300000000000008</v>
      </c>
      <c r="O771">
        <f t="shared" si="97"/>
        <v>4.0500000000000008E-2</v>
      </c>
      <c r="S771" t="e">
        <f t="shared" ref="S771:S834" si="98">IF($M771="Low",$K771,NA())</f>
        <v>#N/A</v>
      </c>
      <c r="T771" t="e">
        <f t="shared" ref="T771:T834" si="99">IF($M771="Low",$L771,NA())</f>
        <v>#N/A</v>
      </c>
      <c r="U771">
        <f t="shared" ref="U771:U834" si="100">IF($M771="Medium",$K771,NA())</f>
        <v>9.6</v>
      </c>
      <c r="V771">
        <f t="shared" ref="V771:V834" si="101">IF($M771="Medium",$L771,NA())</f>
        <v>5</v>
      </c>
      <c r="W771" t="e">
        <f t="shared" ref="W771:W834" si="102">IF($M771="High",$K771,NA())</f>
        <v>#N/A</v>
      </c>
      <c r="X771" t="e">
        <f t="shared" ref="X771:X834" si="103">IF($M771="High",$L771,NA())</f>
        <v>#N/A</v>
      </c>
    </row>
    <row r="772" spans="1:24" x14ac:dyDescent="0.3">
      <c r="A772">
        <v>7.1</v>
      </c>
      <c r="B772">
        <v>0.59</v>
      </c>
      <c r="C772">
        <v>0.02</v>
      </c>
      <c r="D772">
        <v>2.2999999999999998</v>
      </c>
      <c r="E772">
        <v>8.199999999999999E-2</v>
      </c>
      <c r="F772">
        <v>24</v>
      </c>
      <c r="G772">
        <v>94</v>
      </c>
      <c r="H772">
        <v>0.99743999999999999</v>
      </c>
      <c r="I772">
        <v>3.55</v>
      </c>
      <c r="J772">
        <v>0.53</v>
      </c>
      <c r="K772">
        <v>9.6999999999999993</v>
      </c>
      <c r="L772">
        <v>6</v>
      </c>
      <c r="M772" t="str">
        <f t="shared" si="96"/>
        <v>Medium</v>
      </c>
      <c r="N772">
        <f>(winequality_red[[#This Row],[Updated Quality &amp; Alcohol Analysis]]+winequality_red[[#This Row],[volatile acidity]]+winequality_red[[#This Row],[citric acid]])</f>
        <v>7.7099999999999991</v>
      </c>
      <c r="O772">
        <f t="shared" si="97"/>
        <v>3.2237113402061854E-2</v>
      </c>
      <c r="S772" t="e">
        <f t="shared" si="98"/>
        <v>#N/A</v>
      </c>
      <c r="T772" t="e">
        <f t="shared" si="99"/>
        <v>#N/A</v>
      </c>
      <c r="U772">
        <f t="shared" si="100"/>
        <v>9.6999999999999993</v>
      </c>
      <c r="V772">
        <f t="shared" si="101"/>
        <v>6</v>
      </c>
      <c r="W772" t="e">
        <f t="shared" si="102"/>
        <v>#N/A</v>
      </c>
      <c r="X772" t="e">
        <f t="shared" si="103"/>
        <v>#N/A</v>
      </c>
    </row>
    <row r="773" spans="1:24" x14ac:dyDescent="0.3">
      <c r="A773">
        <v>9.4</v>
      </c>
      <c r="B773">
        <v>0.68500000000000005</v>
      </c>
      <c r="C773">
        <v>0.26</v>
      </c>
      <c r="D773">
        <v>2.4</v>
      </c>
      <c r="E773">
        <v>8.199999999999999E-2</v>
      </c>
      <c r="F773">
        <v>23</v>
      </c>
      <c r="G773">
        <v>143</v>
      </c>
      <c r="H773">
        <v>0.99780000000000002</v>
      </c>
      <c r="I773">
        <v>3.28</v>
      </c>
      <c r="J773">
        <v>0.55000000000000004</v>
      </c>
      <c r="K773">
        <v>9.4</v>
      </c>
      <c r="L773">
        <v>5</v>
      </c>
      <c r="M773" t="str">
        <f t="shared" si="96"/>
        <v>Medium</v>
      </c>
      <c r="N773">
        <f>(winequality_red[[#This Row],[Updated Quality &amp; Alcohol Analysis]]+winequality_red[[#This Row],[volatile acidity]]+winequality_red[[#This Row],[citric acid]])</f>
        <v>10.345000000000001</v>
      </c>
      <c r="O773">
        <f t="shared" si="97"/>
        <v>4.0079787234042562E-2</v>
      </c>
      <c r="S773" t="e">
        <f t="shared" si="98"/>
        <v>#N/A</v>
      </c>
      <c r="T773" t="e">
        <f t="shared" si="99"/>
        <v>#N/A</v>
      </c>
      <c r="U773">
        <f t="shared" si="100"/>
        <v>9.4</v>
      </c>
      <c r="V773">
        <f t="shared" si="101"/>
        <v>5</v>
      </c>
      <c r="W773" t="e">
        <f t="shared" si="102"/>
        <v>#N/A</v>
      </c>
      <c r="X773" t="e">
        <f t="shared" si="103"/>
        <v>#N/A</v>
      </c>
    </row>
    <row r="774" spans="1:24" x14ac:dyDescent="0.3">
      <c r="A774">
        <v>9.5</v>
      </c>
      <c r="B774">
        <v>0.56999999999999995</v>
      </c>
      <c r="C774">
        <v>0.27</v>
      </c>
      <c r="D774">
        <v>2.2999999999999998</v>
      </c>
      <c r="E774">
        <v>8.199999999999999E-2</v>
      </c>
      <c r="F774">
        <v>23</v>
      </c>
      <c r="G774">
        <v>144</v>
      </c>
      <c r="H774">
        <v>0.99782000000000004</v>
      </c>
      <c r="I774">
        <v>3.27</v>
      </c>
      <c r="J774">
        <v>0.55000000000000004</v>
      </c>
      <c r="K774">
        <v>9.4</v>
      </c>
      <c r="L774">
        <v>5</v>
      </c>
      <c r="M774" t="str">
        <f t="shared" si="96"/>
        <v>Medium</v>
      </c>
      <c r="N774">
        <f>(winequality_red[[#This Row],[Updated Quality &amp; Alcohol Analysis]]+winequality_red[[#This Row],[volatile acidity]]+winequality_red[[#This Row],[citric acid]])</f>
        <v>10.34</v>
      </c>
      <c r="O774">
        <f t="shared" si="97"/>
        <v>3.3351063829787232E-2</v>
      </c>
      <c r="S774" t="e">
        <f t="shared" si="98"/>
        <v>#N/A</v>
      </c>
      <c r="T774" t="e">
        <f t="shared" si="99"/>
        <v>#N/A</v>
      </c>
      <c r="U774">
        <f t="shared" si="100"/>
        <v>9.4</v>
      </c>
      <c r="V774">
        <f t="shared" si="101"/>
        <v>5</v>
      </c>
      <c r="W774" t="e">
        <f t="shared" si="102"/>
        <v>#N/A</v>
      </c>
      <c r="X774" t="e">
        <f t="shared" si="103"/>
        <v>#N/A</v>
      </c>
    </row>
    <row r="775" spans="1:24" x14ac:dyDescent="0.3">
      <c r="A775">
        <v>7.9</v>
      </c>
      <c r="B775">
        <v>0.4</v>
      </c>
      <c r="C775">
        <v>0.28999999999999998</v>
      </c>
      <c r="D775">
        <v>1.8</v>
      </c>
      <c r="E775">
        <v>0.157</v>
      </c>
      <c r="F775">
        <v>1</v>
      </c>
      <c r="G775">
        <v>44</v>
      </c>
      <c r="H775">
        <v>0.99729999999999996</v>
      </c>
      <c r="I775">
        <v>3.3</v>
      </c>
      <c r="J775">
        <v>0.92</v>
      </c>
      <c r="K775">
        <v>9.5</v>
      </c>
      <c r="L775">
        <v>6</v>
      </c>
      <c r="M775" t="str">
        <f t="shared" si="96"/>
        <v>Medium</v>
      </c>
      <c r="N775">
        <f>(winequality_red[[#This Row],[Updated Quality &amp; Alcohol Analysis]]+winequality_red[[#This Row],[volatile acidity]]+winequality_red[[#This Row],[citric acid]])</f>
        <v>8.59</v>
      </c>
      <c r="O775">
        <f t="shared" si="97"/>
        <v>3.873684210526316E-2</v>
      </c>
      <c r="S775" t="e">
        <f t="shared" si="98"/>
        <v>#N/A</v>
      </c>
      <c r="T775" t="e">
        <f t="shared" si="99"/>
        <v>#N/A</v>
      </c>
      <c r="U775">
        <f t="shared" si="100"/>
        <v>9.5</v>
      </c>
      <c r="V775">
        <f t="shared" si="101"/>
        <v>6</v>
      </c>
      <c r="W775" t="e">
        <f t="shared" si="102"/>
        <v>#N/A</v>
      </c>
      <c r="X775" t="e">
        <f t="shared" si="103"/>
        <v>#N/A</v>
      </c>
    </row>
    <row r="776" spans="1:24" x14ac:dyDescent="0.3">
      <c r="A776">
        <v>7.9</v>
      </c>
      <c r="B776">
        <v>0.4</v>
      </c>
      <c r="C776">
        <v>0.3</v>
      </c>
      <c r="D776">
        <v>1.8</v>
      </c>
      <c r="E776">
        <v>0.157</v>
      </c>
      <c r="F776">
        <v>2</v>
      </c>
      <c r="G776">
        <v>45</v>
      </c>
      <c r="H776">
        <v>0.9972700000000001</v>
      </c>
      <c r="I776">
        <v>3.31</v>
      </c>
      <c r="J776">
        <v>0.91</v>
      </c>
      <c r="K776">
        <v>9.5</v>
      </c>
      <c r="L776">
        <v>6</v>
      </c>
      <c r="M776" t="str">
        <f t="shared" si="96"/>
        <v>Medium</v>
      </c>
      <c r="N776">
        <f>(winequality_red[[#This Row],[Updated Quality &amp; Alcohol Analysis]]+winequality_red[[#This Row],[volatile acidity]]+winequality_red[[#This Row],[citric acid]])</f>
        <v>8.6000000000000014</v>
      </c>
      <c r="O776">
        <f t="shared" si="97"/>
        <v>3.8315789473684213E-2</v>
      </c>
      <c r="S776" t="e">
        <f t="shared" si="98"/>
        <v>#N/A</v>
      </c>
      <c r="T776" t="e">
        <f t="shared" si="99"/>
        <v>#N/A</v>
      </c>
      <c r="U776">
        <f t="shared" si="100"/>
        <v>9.5</v>
      </c>
      <c r="V776">
        <f t="shared" si="101"/>
        <v>6</v>
      </c>
      <c r="W776" t="e">
        <f t="shared" si="102"/>
        <v>#N/A</v>
      </c>
      <c r="X776" t="e">
        <f t="shared" si="103"/>
        <v>#N/A</v>
      </c>
    </row>
    <row r="777" spans="1:24" x14ac:dyDescent="0.3">
      <c r="A777">
        <v>7.2</v>
      </c>
      <c r="B777">
        <v>1</v>
      </c>
      <c r="C777">
        <v>0</v>
      </c>
      <c r="D777">
        <v>3</v>
      </c>
      <c r="E777">
        <v>0.10199999999999999</v>
      </c>
      <c r="F777">
        <v>7</v>
      </c>
      <c r="G777">
        <v>16</v>
      </c>
      <c r="H777">
        <v>0.99586000000000008</v>
      </c>
      <c r="I777">
        <v>3.43</v>
      </c>
      <c r="J777">
        <v>0.46</v>
      </c>
      <c r="K777">
        <v>10</v>
      </c>
      <c r="L777">
        <v>5</v>
      </c>
      <c r="M777" t="str">
        <f t="shared" si="96"/>
        <v>Medium</v>
      </c>
      <c r="N777">
        <f>(winequality_red[[#This Row],[Updated Quality &amp; Alcohol Analysis]]+winequality_red[[#This Row],[volatile acidity]]+winequality_red[[#This Row],[citric acid]])</f>
        <v>8.1999999999999993</v>
      </c>
      <c r="O777">
        <f t="shared" si="97"/>
        <v>4.5999999999999999E-2</v>
      </c>
      <c r="S777" t="e">
        <f t="shared" si="98"/>
        <v>#N/A</v>
      </c>
      <c r="T777" t="e">
        <f t="shared" si="99"/>
        <v>#N/A</v>
      </c>
      <c r="U777">
        <f t="shared" si="100"/>
        <v>10</v>
      </c>
      <c r="V777">
        <f t="shared" si="101"/>
        <v>5</v>
      </c>
      <c r="W777" t="e">
        <f t="shared" si="102"/>
        <v>#N/A</v>
      </c>
      <c r="X777" t="e">
        <f t="shared" si="103"/>
        <v>#N/A</v>
      </c>
    </row>
    <row r="778" spans="1:24" x14ac:dyDescent="0.3">
      <c r="A778">
        <v>6.9</v>
      </c>
      <c r="B778">
        <v>0.76500000000000001</v>
      </c>
      <c r="C778">
        <v>0.18</v>
      </c>
      <c r="D778">
        <v>2.4</v>
      </c>
      <c r="E778">
        <v>0.24299999999999999</v>
      </c>
      <c r="F778">
        <v>6</v>
      </c>
      <c r="G778">
        <v>48</v>
      </c>
      <c r="H778">
        <v>0.99612000000000012</v>
      </c>
      <c r="I778">
        <v>3.4</v>
      </c>
      <c r="J778">
        <v>0.6</v>
      </c>
      <c r="K778">
        <v>10.3</v>
      </c>
      <c r="L778">
        <v>6</v>
      </c>
      <c r="M778" t="str">
        <f t="shared" si="96"/>
        <v>Medium</v>
      </c>
      <c r="N778">
        <f>(winequality_red[[#This Row],[Updated Quality &amp; Alcohol Analysis]]+winequality_red[[#This Row],[volatile acidity]]+winequality_red[[#This Row],[citric acid]])</f>
        <v>7.8449999999999998</v>
      </c>
      <c r="O778">
        <f t="shared" si="97"/>
        <v>4.4563106796116497E-2</v>
      </c>
      <c r="S778" t="e">
        <f t="shared" si="98"/>
        <v>#N/A</v>
      </c>
      <c r="T778" t="e">
        <f t="shared" si="99"/>
        <v>#N/A</v>
      </c>
      <c r="U778">
        <f t="shared" si="100"/>
        <v>10.3</v>
      </c>
      <c r="V778">
        <f t="shared" si="101"/>
        <v>6</v>
      </c>
      <c r="W778" t="e">
        <f t="shared" si="102"/>
        <v>#N/A</v>
      </c>
      <c r="X778" t="e">
        <f t="shared" si="103"/>
        <v>#N/A</v>
      </c>
    </row>
    <row r="779" spans="1:24" x14ac:dyDescent="0.3">
      <c r="A779">
        <v>6.9</v>
      </c>
      <c r="B779">
        <v>0.63500000000000001</v>
      </c>
      <c r="C779">
        <v>0.17</v>
      </c>
      <c r="D779">
        <v>2.4</v>
      </c>
      <c r="E779">
        <v>0.24100000000000002</v>
      </c>
      <c r="F779">
        <v>6</v>
      </c>
      <c r="G779">
        <v>18</v>
      </c>
      <c r="H779">
        <v>0.99609999999999999</v>
      </c>
      <c r="I779">
        <v>3.4</v>
      </c>
      <c r="J779">
        <v>0.59</v>
      </c>
      <c r="K779">
        <v>10.3</v>
      </c>
      <c r="L779">
        <v>6</v>
      </c>
      <c r="M779" t="str">
        <f t="shared" si="96"/>
        <v>Medium</v>
      </c>
      <c r="N779">
        <f>(winequality_red[[#This Row],[Updated Quality &amp; Alcohol Analysis]]+winequality_red[[#This Row],[volatile acidity]]+winequality_red[[#This Row],[citric acid]])</f>
        <v>7.7050000000000001</v>
      </c>
      <c r="O779">
        <f t="shared" si="97"/>
        <v>3.6373786407766985E-2</v>
      </c>
      <c r="S779" t="e">
        <f t="shared" si="98"/>
        <v>#N/A</v>
      </c>
      <c r="T779" t="e">
        <f t="shared" si="99"/>
        <v>#N/A</v>
      </c>
      <c r="U779">
        <f t="shared" si="100"/>
        <v>10.3</v>
      </c>
      <c r="V779">
        <f t="shared" si="101"/>
        <v>6</v>
      </c>
      <c r="W779" t="e">
        <f t="shared" si="102"/>
        <v>#N/A</v>
      </c>
      <c r="X779" t="e">
        <f t="shared" si="103"/>
        <v>#N/A</v>
      </c>
    </row>
    <row r="780" spans="1:24" x14ac:dyDescent="0.3">
      <c r="A780">
        <v>8.3000000000000007</v>
      </c>
      <c r="B780">
        <v>0.43</v>
      </c>
      <c r="C780">
        <v>0.3</v>
      </c>
      <c r="D780">
        <v>3.4</v>
      </c>
      <c r="E780">
        <v>7.9000000000000001E-2</v>
      </c>
      <c r="F780">
        <v>7</v>
      </c>
      <c r="G780">
        <v>34</v>
      </c>
      <c r="H780">
        <v>0.99787999999999988</v>
      </c>
      <c r="I780">
        <v>3.36</v>
      </c>
      <c r="J780">
        <v>0.61</v>
      </c>
      <c r="K780">
        <v>10.5</v>
      </c>
      <c r="L780">
        <v>5</v>
      </c>
      <c r="M780" t="str">
        <f t="shared" si="96"/>
        <v>Medium</v>
      </c>
      <c r="N780">
        <f>(winequality_red[[#This Row],[Updated Quality &amp; Alcohol Analysis]]+winequality_red[[#This Row],[volatile acidity]]+winequality_red[[#This Row],[citric acid]])</f>
        <v>9.0300000000000011</v>
      </c>
      <c r="O780">
        <f t="shared" si="97"/>
        <v>2.4980952380952378E-2</v>
      </c>
      <c r="S780" t="e">
        <f t="shared" si="98"/>
        <v>#N/A</v>
      </c>
      <c r="T780" t="e">
        <f t="shared" si="99"/>
        <v>#N/A</v>
      </c>
      <c r="U780">
        <f t="shared" si="100"/>
        <v>10.5</v>
      </c>
      <c r="V780">
        <f t="shared" si="101"/>
        <v>5</v>
      </c>
      <c r="W780" t="e">
        <f t="shared" si="102"/>
        <v>#N/A</v>
      </c>
      <c r="X780" t="e">
        <f t="shared" si="103"/>
        <v>#N/A</v>
      </c>
    </row>
    <row r="781" spans="1:24" x14ac:dyDescent="0.3">
      <c r="A781">
        <v>7.1</v>
      </c>
      <c r="B781">
        <v>0.52</v>
      </c>
      <c r="C781">
        <v>0.03</v>
      </c>
      <c r="D781">
        <v>2.6</v>
      </c>
      <c r="E781">
        <v>7.5999999999999998E-2</v>
      </c>
      <c r="F781">
        <v>21</v>
      </c>
      <c r="G781">
        <v>92</v>
      </c>
      <c r="H781">
        <v>0.99744999999999995</v>
      </c>
      <c r="I781">
        <v>3.5</v>
      </c>
      <c r="J781">
        <v>0.6</v>
      </c>
      <c r="K781">
        <v>9.8000000000000007</v>
      </c>
      <c r="L781">
        <v>5</v>
      </c>
      <c r="M781" t="str">
        <f t="shared" si="96"/>
        <v>Medium</v>
      </c>
      <c r="N781">
        <f>(winequality_red[[#This Row],[Updated Quality &amp; Alcohol Analysis]]+winequality_red[[#This Row],[volatile acidity]]+winequality_red[[#This Row],[citric acid]])</f>
        <v>7.6499999999999995</v>
      </c>
      <c r="O781">
        <f t="shared" si="97"/>
        <v>3.1836734693877551E-2</v>
      </c>
      <c r="S781" t="e">
        <f t="shared" si="98"/>
        <v>#N/A</v>
      </c>
      <c r="T781" t="e">
        <f t="shared" si="99"/>
        <v>#N/A</v>
      </c>
      <c r="U781">
        <f t="shared" si="100"/>
        <v>9.8000000000000007</v>
      </c>
      <c r="V781">
        <f t="shared" si="101"/>
        <v>5</v>
      </c>
      <c r="W781" t="e">
        <f t="shared" si="102"/>
        <v>#N/A</v>
      </c>
      <c r="X781" t="e">
        <f t="shared" si="103"/>
        <v>#N/A</v>
      </c>
    </row>
    <row r="782" spans="1:24" x14ac:dyDescent="0.3">
      <c r="A782">
        <v>7</v>
      </c>
      <c r="B782">
        <v>0.56999999999999995</v>
      </c>
      <c r="C782">
        <v>0</v>
      </c>
      <c r="D782">
        <v>2</v>
      </c>
      <c r="E782">
        <v>0.19</v>
      </c>
      <c r="F782">
        <v>12</v>
      </c>
      <c r="G782">
        <v>45</v>
      </c>
      <c r="H782">
        <v>0.99676000000000009</v>
      </c>
      <c r="I782">
        <v>3.31</v>
      </c>
      <c r="J782">
        <v>0.6</v>
      </c>
      <c r="K782">
        <v>9.4</v>
      </c>
      <c r="L782">
        <v>6</v>
      </c>
      <c r="M782" t="str">
        <f t="shared" si="96"/>
        <v>Medium</v>
      </c>
      <c r="N782">
        <f>(winequality_red[[#This Row],[Updated Quality &amp; Alcohol Analysis]]+winequality_red[[#This Row],[volatile acidity]]+winequality_red[[#This Row],[citric acid]])</f>
        <v>7.57</v>
      </c>
      <c r="O782">
        <f t="shared" si="97"/>
        <v>3.638297872340425E-2</v>
      </c>
      <c r="S782" t="e">
        <f t="shared" si="98"/>
        <v>#N/A</v>
      </c>
      <c r="T782" t="e">
        <f t="shared" si="99"/>
        <v>#N/A</v>
      </c>
      <c r="U782">
        <f t="shared" si="100"/>
        <v>9.4</v>
      </c>
      <c r="V782">
        <f t="shared" si="101"/>
        <v>6</v>
      </c>
      <c r="W782" t="e">
        <f t="shared" si="102"/>
        <v>#N/A</v>
      </c>
      <c r="X782" t="e">
        <f t="shared" si="103"/>
        <v>#N/A</v>
      </c>
    </row>
    <row r="783" spans="1:24" x14ac:dyDescent="0.3">
      <c r="A783">
        <v>6.5</v>
      </c>
      <c r="B783">
        <v>0.46</v>
      </c>
      <c r="C783">
        <v>0.14000000000000001</v>
      </c>
      <c r="D783">
        <v>2.4</v>
      </c>
      <c r="E783">
        <v>0.114</v>
      </c>
      <c r="F783">
        <v>9</v>
      </c>
      <c r="G783">
        <v>37</v>
      </c>
      <c r="H783">
        <v>0.9973200000000001</v>
      </c>
      <c r="I783">
        <v>3.66</v>
      </c>
      <c r="J783">
        <v>0.65</v>
      </c>
      <c r="K783">
        <v>9.8000000000000007</v>
      </c>
      <c r="L783">
        <v>5</v>
      </c>
      <c r="M783" t="str">
        <f t="shared" si="96"/>
        <v>Medium</v>
      </c>
      <c r="N783">
        <f>(winequality_red[[#This Row],[Updated Quality &amp; Alcohol Analysis]]+winequality_red[[#This Row],[volatile acidity]]+winequality_red[[#This Row],[citric acid]])</f>
        <v>7.1</v>
      </c>
      <c r="O783">
        <f t="shared" si="97"/>
        <v>3.0510204081632655E-2</v>
      </c>
      <c r="S783" t="e">
        <f t="shared" si="98"/>
        <v>#N/A</v>
      </c>
      <c r="T783" t="e">
        <f t="shared" si="99"/>
        <v>#N/A</v>
      </c>
      <c r="U783">
        <f t="shared" si="100"/>
        <v>9.8000000000000007</v>
      </c>
      <c r="V783">
        <f t="shared" si="101"/>
        <v>5</v>
      </c>
      <c r="W783" t="e">
        <f t="shared" si="102"/>
        <v>#N/A</v>
      </c>
      <c r="X783" t="e">
        <f t="shared" si="103"/>
        <v>#N/A</v>
      </c>
    </row>
    <row r="784" spans="1:24" x14ac:dyDescent="0.3">
      <c r="A784">
        <v>9</v>
      </c>
      <c r="B784">
        <v>0.82</v>
      </c>
      <c r="C784">
        <v>0.05</v>
      </c>
      <c r="D784">
        <v>2.4</v>
      </c>
      <c r="E784">
        <v>8.1000000000000003E-2</v>
      </c>
      <c r="F784">
        <v>26</v>
      </c>
      <c r="G784">
        <v>96</v>
      </c>
      <c r="H784">
        <v>0.99813999999999992</v>
      </c>
      <c r="I784">
        <v>3.36</v>
      </c>
      <c r="J784">
        <v>0.53</v>
      </c>
      <c r="K784">
        <v>10</v>
      </c>
      <c r="L784">
        <v>5</v>
      </c>
      <c r="M784" t="str">
        <f t="shared" si="96"/>
        <v>Medium</v>
      </c>
      <c r="N784">
        <f>(winequality_red[[#This Row],[Updated Quality &amp; Alcohol Analysis]]+winequality_red[[#This Row],[volatile acidity]]+winequality_red[[#This Row],[citric acid]])</f>
        <v>9.870000000000001</v>
      </c>
      <c r="O784">
        <f t="shared" si="97"/>
        <v>4.3459999999999999E-2</v>
      </c>
      <c r="S784" t="e">
        <f t="shared" si="98"/>
        <v>#N/A</v>
      </c>
      <c r="T784" t="e">
        <f t="shared" si="99"/>
        <v>#N/A</v>
      </c>
      <c r="U784">
        <f t="shared" si="100"/>
        <v>10</v>
      </c>
      <c r="V784">
        <f t="shared" si="101"/>
        <v>5</v>
      </c>
      <c r="W784" t="e">
        <f t="shared" si="102"/>
        <v>#N/A</v>
      </c>
      <c r="X784" t="e">
        <f t="shared" si="103"/>
        <v>#N/A</v>
      </c>
    </row>
    <row r="785" spans="1:24" x14ac:dyDescent="0.3">
      <c r="A785">
        <v>6.5</v>
      </c>
      <c r="B785">
        <v>0.46</v>
      </c>
      <c r="C785">
        <v>0.14000000000000001</v>
      </c>
      <c r="D785">
        <v>2.4</v>
      </c>
      <c r="E785">
        <v>0.114</v>
      </c>
      <c r="F785">
        <v>9</v>
      </c>
      <c r="G785">
        <v>37</v>
      </c>
      <c r="H785">
        <v>0.9973200000000001</v>
      </c>
      <c r="I785">
        <v>3.66</v>
      </c>
      <c r="J785">
        <v>0.65</v>
      </c>
      <c r="K785">
        <v>9.8000000000000007</v>
      </c>
      <c r="L785">
        <v>5</v>
      </c>
      <c r="M785" t="str">
        <f t="shared" si="96"/>
        <v>Medium</v>
      </c>
      <c r="N785">
        <f>(winequality_red[[#This Row],[Updated Quality &amp; Alcohol Analysis]]+winequality_red[[#This Row],[volatile acidity]]+winequality_red[[#This Row],[citric acid]])</f>
        <v>7.1</v>
      </c>
      <c r="O785">
        <f t="shared" si="97"/>
        <v>3.0510204081632655E-2</v>
      </c>
      <c r="S785" t="e">
        <f t="shared" si="98"/>
        <v>#N/A</v>
      </c>
      <c r="T785" t="e">
        <f t="shared" si="99"/>
        <v>#N/A</v>
      </c>
      <c r="U785">
        <f t="shared" si="100"/>
        <v>9.8000000000000007</v>
      </c>
      <c r="V785">
        <f t="shared" si="101"/>
        <v>5</v>
      </c>
      <c r="W785" t="e">
        <f t="shared" si="102"/>
        <v>#N/A</v>
      </c>
      <c r="X785" t="e">
        <f t="shared" si="103"/>
        <v>#N/A</v>
      </c>
    </row>
    <row r="786" spans="1:24" x14ac:dyDescent="0.3">
      <c r="A786">
        <v>7.1</v>
      </c>
      <c r="B786">
        <v>0.59</v>
      </c>
      <c r="C786">
        <v>0.01</v>
      </c>
      <c r="D786">
        <v>2.5</v>
      </c>
      <c r="E786">
        <v>7.6999999999999999E-2</v>
      </c>
      <c r="F786">
        <v>20</v>
      </c>
      <c r="G786">
        <v>85</v>
      </c>
      <c r="H786">
        <v>0.99746000000000001</v>
      </c>
      <c r="I786">
        <v>3.55</v>
      </c>
      <c r="J786">
        <v>0.59</v>
      </c>
      <c r="K786">
        <v>9.8000000000000007</v>
      </c>
      <c r="L786">
        <v>5</v>
      </c>
      <c r="M786" t="str">
        <f t="shared" si="96"/>
        <v>Medium</v>
      </c>
      <c r="N786">
        <f>(winequality_red[[#This Row],[Updated Quality &amp; Alcohol Analysis]]+winequality_red[[#This Row],[volatile acidity]]+winequality_red[[#This Row],[citric acid]])</f>
        <v>7.6999999999999993</v>
      </c>
      <c r="O786">
        <f t="shared" si="97"/>
        <v>3.55204081632653E-2</v>
      </c>
      <c r="S786" t="e">
        <f t="shared" si="98"/>
        <v>#N/A</v>
      </c>
      <c r="T786" t="e">
        <f t="shared" si="99"/>
        <v>#N/A</v>
      </c>
      <c r="U786">
        <f t="shared" si="100"/>
        <v>9.8000000000000007</v>
      </c>
      <c r="V786">
        <f t="shared" si="101"/>
        <v>5</v>
      </c>
      <c r="W786" t="e">
        <f t="shared" si="102"/>
        <v>#N/A</v>
      </c>
      <c r="X786" t="e">
        <f t="shared" si="103"/>
        <v>#N/A</v>
      </c>
    </row>
    <row r="787" spans="1:24" x14ac:dyDescent="0.3">
      <c r="A787">
        <v>9.9</v>
      </c>
      <c r="B787">
        <v>0.35</v>
      </c>
      <c r="C787">
        <v>0.41</v>
      </c>
      <c r="D787">
        <v>2.2999999999999998</v>
      </c>
      <c r="E787">
        <v>8.3000000000000004E-2</v>
      </c>
      <c r="F787">
        <v>11</v>
      </c>
      <c r="G787">
        <v>61</v>
      </c>
      <c r="H787">
        <v>0.99819999999999998</v>
      </c>
      <c r="I787">
        <v>3.21</v>
      </c>
      <c r="J787">
        <v>0.5</v>
      </c>
      <c r="K787">
        <v>9.5</v>
      </c>
      <c r="L787">
        <v>5</v>
      </c>
      <c r="M787" t="str">
        <f t="shared" si="96"/>
        <v>Medium</v>
      </c>
      <c r="N787">
        <f>(winequality_red[[#This Row],[Updated Quality &amp; Alcohol Analysis]]+winequality_red[[#This Row],[volatile acidity]]+winequality_red[[#This Row],[citric acid]])</f>
        <v>10.66</v>
      </c>
      <c r="O787">
        <f t="shared" si="97"/>
        <v>1.8421052631578946E-2</v>
      </c>
      <c r="S787" t="e">
        <f t="shared" si="98"/>
        <v>#N/A</v>
      </c>
      <c r="T787" t="e">
        <f t="shared" si="99"/>
        <v>#N/A</v>
      </c>
      <c r="U787">
        <f t="shared" si="100"/>
        <v>9.5</v>
      </c>
      <c r="V787">
        <f t="shared" si="101"/>
        <v>5</v>
      </c>
      <c r="W787" t="e">
        <f t="shared" si="102"/>
        <v>#N/A</v>
      </c>
      <c r="X787" t="e">
        <f t="shared" si="103"/>
        <v>#N/A</v>
      </c>
    </row>
    <row r="788" spans="1:24" x14ac:dyDescent="0.3">
      <c r="A788">
        <v>9.9</v>
      </c>
      <c r="B788">
        <v>0.35</v>
      </c>
      <c r="C788">
        <v>0.41</v>
      </c>
      <c r="D788">
        <v>2.2999999999999998</v>
      </c>
      <c r="E788">
        <v>8.3000000000000004E-2</v>
      </c>
      <c r="F788">
        <v>11</v>
      </c>
      <c r="G788">
        <v>61</v>
      </c>
      <c r="H788">
        <v>0.99819999999999998</v>
      </c>
      <c r="I788">
        <v>3.21</v>
      </c>
      <c r="J788">
        <v>0.5</v>
      </c>
      <c r="K788">
        <v>9.5</v>
      </c>
      <c r="L788">
        <v>5</v>
      </c>
      <c r="M788" t="str">
        <f t="shared" si="96"/>
        <v>Medium</v>
      </c>
      <c r="N788">
        <f>(winequality_red[[#This Row],[Updated Quality &amp; Alcohol Analysis]]+winequality_red[[#This Row],[volatile acidity]]+winequality_red[[#This Row],[citric acid]])</f>
        <v>10.66</v>
      </c>
      <c r="O788">
        <f t="shared" si="97"/>
        <v>1.8421052631578946E-2</v>
      </c>
      <c r="S788" t="e">
        <f t="shared" si="98"/>
        <v>#N/A</v>
      </c>
      <c r="T788" t="e">
        <f t="shared" si="99"/>
        <v>#N/A</v>
      </c>
      <c r="U788">
        <f t="shared" si="100"/>
        <v>9.5</v>
      </c>
      <c r="V788">
        <f t="shared" si="101"/>
        <v>5</v>
      </c>
      <c r="W788" t="e">
        <f t="shared" si="102"/>
        <v>#N/A</v>
      </c>
      <c r="X788" t="e">
        <f t="shared" si="103"/>
        <v>#N/A</v>
      </c>
    </row>
    <row r="789" spans="1:24" x14ac:dyDescent="0.3">
      <c r="A789">
        <v>10</v>
      </c>
      <c r="B789">
        <v>0.56000000000000005</v>
      </c>
      <c r="C789">
        <v>0.24</v>
      </c>
      <c r="D789">
        <v>2.2000000000000002</v>
      </c>
      <c r="E789">
        <v>7.9000000000000001E-2</v>
      </c>
      <c r="F789">
        <v>19</v>
      </c>
      <c r="G789">
        <v>58</v>
      </c>
      <c r="H789">
        <v>0.99909999999999999</v>
      </c>
      <c r="I789">
        <v>3.18</v>
      </c>
      <c r="J789">
        <v>0.56000000000000005</v>
      </c>
      <c r="K789">
        <v>10.1</v>
      </c>
      <c r="L789">
        <v>6</v>
      </c>
      <c r="M789" t="str">
        <f t="shared" si="96"/>
        <v>Medium</v>
      </c>
      <c r="N789">
        <f>(winequality_red[[#This Row],[Updated Quality &amp; Alcohol Analysis]]+winequality_red[[#This Row],[volatile acidity]]+winequality_red[[#This Row],[citric acid]])</f>
        <v>10.8</v>
      </c>
      <c r="O789">
        <f t="shared" si="97"/>
        <v>3.1049504950495056E-2</v>
      </c>
      <c r="S789" t="e">
        <f t="shared" si="98"/>
        <v>#N/A</v>
      </c>
      <c r="T789" t="e">
        <f t="shared" si="99"/>
        <v>#N/A</v>
      </c>
      <c r="U789">
        <f t="shared" si="100"/>
        <v>10.1</v>
      </c>
      <c r="V789">
        <f t="shared" si="101"/>
        <v>6</v>
      </c>
      <c r="W789" t="e">
        <f t="shared" si="102"/>
        <v>#N/A</v>
      </c>
      <c r="X789" t="e">
        <f t="shared" si="103"/>
        <v>#N/A</v>
      </c>
    </row>
    <row r="790" spans="1:24" x14ac:dyDescent="0.3">
      <c r="A790">
        <v>10</v>
      </c>
      <c r="B790">
        <v>0.56000000000000005</v>
      </c>
      <c r="C790">
        <v>0.24</v>
      </c>
      <c r="D790">
        <v>2.2000000000000002</v>
      </c>
      <c r="E790">
        <v>7.9000000000000001E-2</v>
      </c>
      <c r="F790">
        <v>19</v>
      </c>
      <c r="G790">
        <v>58</v>
      </c>
      <c r="H790">
        <v>0.99909999999999999</v>
      </c>
      <c r="I790">
        <v>3.18</v>
      </c>
      <c r="J790">
        <v>0.56000000000000005</v>
      </c>
      <c r="K790">
        <v>10.1</v>
      </c>
      <c r="L790">
        <v>6</v>
      </c>
      <c r="M790" t="str">
        <f t="shared" si="96"/>
        <v>Medium</v>
      </c>
      <c r="N790">
        <f>(winequality_red[[#This Row],[Updated Quality &amp; Alcohol Analysis]]+winequality_red[[#This Row],[volatile acidity]]+winequality_red[[#This Row],[citric acid]])</f>
        <v>10.8</v>
      </c>
      <c r="O790">
        <f t="shared" si="97"/>
        <v>3.1049504950495056E-2</v>
      </c>
      <c r="S790" t="e">
        <f t="shared" si="98"/>
        <v>#N/A</v>
      </c>
      <c r="T790" t="e">
        <f t="shared" si="99"/>
        <v>#N/A</v>
      </c>
      <c r="U790">
        <f t="shared" si="100"/>
        <v>10.1</v>
      </c>
      <c r="V790">
        <f t="shared" si="101"/>
        <v>6</v>
      </c>
      <c r="W790" t="e">
        <f t="shared" si="102"/>
        <v>#N/A</v>
      </c>
      <c r="X790" t="e">
        <f t="shared" si="103"/>
        <v>#N/A</v>
      </c>
    </row>
    <row r="791" spans="1:24" x14ac:dyDescent="0.3">
      <c r="A791">
        <v>8.6</v>
      </c>
      <c r="B791">
        <v>0.63</v>
      </c>
      <c r="C791">
        <v>0.17</v>
      </c>
      <c r="D791">
        <v>2.9</v>
      </c>
      <c r="E791">
        <v>9.9000000000000005E-2</v>
      </c>
      <c r="F791">
        <v>21</v>
      </c>
      <c r="G791">
        <v>119</v>
      </c>
      <c r="H791">
        <v>0.998</v>
      </c>
      <c r="I791">
        <v>3.09</v>
      </c>
      <c r="J791">
        <v>0.52</v>
      </c>
      <c r="K791">
        <v>9.3000000000000007</v>
      </c>
      <c r="L791">
        <v>5</v>
      </c>
      <c r="M791" t="str">
        <f t="shared" si="96"/>
        <v>Medium</v>
      </c>
      <c r="N791">
        <f>(winequality_red[[#This Row],[Updated Quality &amp; Alcohol Analysis]]+winequality_red[[#This Row],[volatile acidity]]+winequality_red[[#This Row],[citric acid]])</f>
        <v>9.4</v>
      </c>
      <c r="O791">
        <f t="shared" si="97"/>
        <v>3.5225806451612898E-2</v>
      </c>
      <c r="S791" t="e">
        <f t="shared" si="98"/>
        <v>#N/A</v>
      </c>
      <c r="T791" t="e">
        <f t="shared" si="99"/>
        <v>#N/A</v>
      </c>
      <c r="U791">
        <f t="shared" si="100"/>
        <v>9.3000000000000007</v>
      </c>
      <c r="V791">
        <f t="shared" si="101"/>
        <v>5</v>
      </c>
      <c r="W791" t="e">
        <f t="shared" si="102"/>
        <v>#N/A</v>
      </c>
      <c r="X791" t="e">
        <f t="shared" si="103"/>
        <v>#N/A</v>
      </c>
    </row>
    <row r="792" spans="1:24" x14ac:dyDescent="0.3">
      <c r="A792">
        <v>7.4</v>
      </c>
      <c r="B792">
        <v>0.37</v>
      </c>
      <c r="C792">
        <v>0.43</v>
      </c>
      <c r="D792">
        <v>2.6</v>
      </c>
      <c r="E792">
        <v>8.199999999999999E-2</v>
      </c>
      <c r="F792">
        <v>18</v>
      </c>
      <c r="G792">
        <v>82</v>
      </c>
      <c r="H792">
        <v>0.99707999999999997</v>
      </c>
      <c r="I792">
        <v>3.33</v>
      </c>
      <c r="J792">
        <v>0.68</v>
      </c>
      <c r="K792">
        <v>9.6999999999999993</v>
      </c>
      <c r="L792">
        <v>6</v>
      </c>
      <c r="M792" t="str">
        <f t="shared" si="96"/>
        <v>Medium</v>
      </c>
      <c r="N792">
        <f>(winequality_red[[#This Row],[Updated Quality &amp; Alcohol Analysis]]+winequality_red[[#This Row],[volatile acidity]]+winequality_red[[#This Row],[citric acid]])</f>
        <v>8.2000000000000011</v>
      </c>
      <c r="O792">
        <f t="shared" si="97"/>
        <v>2.5938144329896908E-2</v>
      </c>
      <c r="S792" t="e">
        <f t="shared" si="98"/>
        <v>#N/A</v>
      </c>
      <c r="T792" t="e">
        <f t="shared" si="99"/>
        <v>#N/A</v>
      </c>
      <c r="U792">
        <f t="shared" si="100"/>
        <v>9.6999999999999993</v>
      </c>
      <c r="V792">
        <f t="shared" si="101"/>
        <v>6</v>
      </c>
      <c r="W792" t="e">
        <f t="shared" si="102"/>
        <v>#N/A</v>
      </c>
      <c r="X792" t="e">
        <f t="shared" si="103"/>
        <v>#N/A</v>
      </c>
    </row>
    <row r="793" spans="1:24" x14ac:dyDescent="0.3">
      <c r="A793">
        <v>8.8000000000000007</v>
      </c>
      <c r="B793">
        <v>0.64</v>
      </c>
      <c r="C793">
        <v>0.17</v>
      </c>
      <c r="D793">
        <v>2.9</v>
      </c>
      <c r="E793">
        <v>8.4000000000000005E-2</v>
      </c>
      <c r="F793">
        <v>25</v>
      </c>
      <c r="G793">
        <v>130</v>
      </c>
      <c r="H793">
        <v>0.99817999999999996</v>
      </c>
      <c r="I793">
        <v>3.23</v>
      </c>
      <c r="J793">
        <v>0.54</v>
      </c>
      <c r="K793">
        <v>9.6</v>
      </c>
      <c r="L793">
        <v>5</v>
      </c>
      <c r="M793" t="str">
        <f t="shared" si="96"/>
        <v>Medium</v>
      </c>
      <c r="N793">
        <f>(winequality_red[[#This Row],[Updated Quality &amp; Alcohol Analysis]]+winequality_red[[#This Row],[volatile acidity]]+winequality_red[[#This Row],[citric acid]])</f>
        <v>9.6100000000000012</v>
      </c>
      <c r="O793">
        <f t="shared" si="97"/>
        <v>3.6000000000000004E-2</v>
      </c>
      <c r="S793" t="e">
        <f t="shared" si="98"/>
        <v>#N/A</v>
      </c>
      <c r="T793" t="e">
        <f t="shared" si="99"/>
        <v>#N/A</v>
      </c>
      <c r="U793">
        <f t="shared" si="100"/>
        <v>9.6</v>
      </c>
      <c r="V793">
        <f t="shared" si="101"/>
        <v>5</v>
      </c>
      <c r="W793" t="e">
        <f t="shared" si="102"/>
        <v>#N/A</v>
      </c>
      <c r="X793" t="e">
        <f t="shared" si="103"/>
        <v>#N/A</v>
      </c>
    </row>
    <row r="794" spans="1:24" x14ac:dyDescent="0.3">
      <c r="A794">
        <v>7.1</v>
      </c>
      <c r="B794">
        <v>0.61</v>
      </c>
      <c r="C794">
        <v>0.02</v>
      </c>
      <c r="D794">
        <v>2.5</v>
      </c>
      <c r="E794">
        <v>8.1000000000000003E-2</v>
      </c>
      <c r="F794">
        <v>17</v>
      </c>
      <c r="G794">
        <v>87</v>
      </c>
      <c r="H794">
        <v>0.99744999999999995</v>
      </c>
      <c r="I794">
        <v>3.48</v>
      </c>
      <c r="J794">
        <v>0.6</v>
      </c>
      <c r="K794">
        <v>9.6999999999999993</v>
      </c>
      <c r="L794">
        <v>6</v>
      </c>
      <c r="M794" t="str">
        <f t="shared" si="96"/>
        <v>Medium</v>
      </c>
      <c r="N794">
        <f>(winequality_red[[#This Row],[Updated Quality &amp; Alcohol Analysis]]+winequality_red[[#This Row],[volatile acidity]]+winequality_red[[#This Row],[citric acid]])</f>
        <v>7.7299999999999995</v>
      </c>
      <c r="O794">
        <f t="shared" si="97"/>
        <v>3.7731958762886597E-2</v>
      </c>
      <c r="S794" t="e">
        <f t="shared" si="98"/>
        <v>#N/A</v>
      </c>
      <c r="T794" t="e">
        <f t="shared" si="99"/>
        <v>#N/A</v>
      </c>
      <c r="U794">
        <f t="shared" si="100"/>
        <v>9.6999999999999993</v>
      </c>
      <c r="V794">
        <f t="shared" si="101"/>
        <v>6</v>
      </c>
      <c r="W794" t="e">
        <f t="shared" si="102"/>
        <v>#N/A</v>
      </c>
      <c r="X794" t="e">
        <f t="shared" si="103"/>
        <v>#N/A</v>
      </c>
    </row>
    <row r="795" spans="1:24" x14ac:dyDescent="0.3">
      <c r="A795">
        <v>7.7</v>
      </c>
      <c r="B795">
        <v>0.6</v>
      </c>
      <c r="C795">
        <v>0</v>
      </c>
      <c r="D795">
        <v>2.6</v>
      </c>
      <c r="E795">
        <v>5.5E-2</v>
      </c>
      <c r="F795">
        <v>7</v>
      </c>
      <c r="G795">
        <v>13</v>
      </c>
      <c r="H795">
        <v>0.99639</v>
      </c>
      <c r="I795">
        <v>3.38</v>
      </c>
      <c r="J795">
        <v>0.56000000000000005</v>
      </c>
      <c r="K795">
        <v>10.8</v>
      </c>
      <c r="L795">
        <v>5</v>
      </c>
      <c r="M795" t="str">
        <f t="shared" si="96"/>
        <v>Medium</v>
      </c>
      <c r="N795">
        <f>(winequality_red[[#This Row],[Updated Quality &amp; Alcohol Analysis]]+winequality_red[[#This Row],[volatile acidity]]+winequality_red[[#This Row],[citric acid]])</f>
        <v>8.3000000000000007</v>
      </c>
      <c r="O795">
        <f t="shared" si="97"/>
        <v>3.111111111111111E-2</v>
      </c>
      <c r="S795" t="e">
        <f t="shared" si="98"/>
        <v>#N/A</v>
      </c>
      <c r="T795" t="e">
        <f t="shared" si="99"/>
        <v>#N/A</v>
      </c>
      <c r="U795">
        <f t="shared" si="100"/>
        <v>10.8</v>
      </c>
      <c r="V795">
        <f t="shared" si="101"/>
        <v>5</v>
      </c>
      <c r="W795" t="e">
        <f t="shared" si="102"/>
        <v>#N/A</v>
      </c>
      <c r="X795" t="e">
        <f t="shared" si="103"/>
        <v>#N/A</v>
      </c>
    </row>
    <row r="796" spans="1:24" x14ac:dyDescent="0.3">
      <c r="A796">
        <v>10.1</v>
      </c>
      <c r="B796">
        <v>0.27</v>
      </c>
      <c r="C796">
        <v>0.54</v>
      </c>
      <c r="D796">
        <v>2.2999999999999998</v>
      </c>
      <c r="E796">
        <v>6.5000000000000002E-2</v>
      </c>
      <c r="F796">
        <v>7</v>
      </c>
      <c r="G796">
        <v>26</v>
      </c>
      <c r="H796">
        <v>0.99531000000000003</v>
      </c>
      <c r="I796">
        <v>3.17</v>
      </c>
      <c r="J796">
        <v>0.53</v>
      </c>
      <c r="K796">
        <v>12.5</v>
      </c>
      <c r="L796">
        <v>6</v>
      </c>
      <c r="M796" t="str">
        <f t="shared" si="96"/>
        <v>Medium</v>
      </c>
      <c r="N796">
        <f>(winequality_red[[#This Row],[Updated Quality &amp; Alcohol Analysis]]+winequality_red[[#This Row],[volatile acidity]]+winequality_red[[#This Row],[citric acid]])</f>
        <v>10.91</v>
      </c>
      <c r="O796">
        <f t="shared" si="97"/>
        <v>1.1448E-2</v>
      </c>
      <c r="S796" t="e">
        <f t="shared" si="98"/>
        <v>#N/A</v>
      </c>
      <c r="T796" t="e">
        <f t="shared" si="99"/>
        <v>#N/A</v>
      </c>
      <c r="U796">
        <f t="shared" si="100"/>
        <v>12.5</v>
      </c>
      <c r="V796">
        <f t="shared" si="101"/>
        <v>6</v>
      </c>
      <c r="W796" t="e">
        <f t="shared" si="102"/>
        <v>#N/A</v>
      </c>
      <c r="X796" t="e">
        <f t="shared" si="103"/>
        <v>#N/A</v>
      </c>
    </row>
    <row r="797" spans="1:24" x14ac:dyDescent="0.3">
      <c r="A797">
        <v>10.8</v>
      </c>
      <c r="B797">
        <v>0.89</v>
      </c>
      <c r="C797">
        <v>0.3</v>
      </c>
      <c r="D797">
        <v>2.6</v>
      </c>
      <c r="E797">
        <v>0.13200000000000001</v>
      </c>
      <c r="F797">
        <v>7</v>
      </c>
      <c r="G797">
        <v>60</v>
      </c>
      <c r="H797">
        <v>0.99786000000000008</v>
      </c>
      <c r="I797">
        <v>2.99</v>
      </c>
      <c r="J797">
        <v>1.18</v>
      </c>
      <c r="K797">
        <v>10.199999999999999</v>
      </c>
      <c r="L797">
        <v>5</v>
      </c>
      <c r="M797" t="str">
        <f t="shared" si="96"/>
        <v>Medium</v>
      </c>
      <c r="N797">
        <f>(winequality_red[[#This Row],[Updated Quality &amp; Alcohol Analysis]]+winequality_red[[#This Row],[volatile acidity]]+winequality_red[[#This Row],[citric acid]])</f>
        <v>11.990000000000002</v>
      </c>
      <c r="O797">
        <f t="shared" si="97"/>
        <v>0.1029607843137255</v>
      </c>
      <c r="S797" t="e">
        <f t="shared" si="98"/>
        <v>#N/A</v>
      </c>
      <c r="T797" t="e">
        <f t="shared" si="99"/>
        <v>#N/A</v>
      </c>
      <c r="U797">
        <f t="shared" si="100"/>
        <v>10.199999999999999</v>
      </c>
      <c r="V797">
        <f t="shared" si="101"/>
        <v>5</v>
      </c>
      <c r="W797" t="e">
        <f t="shared" si="102"/>
        <v>#N/A</v>
      </c>
      <c r="X797" t="e">
        <f t="shared" si="103"/>
        <v>#N/A</v>
      </c>
    </row>
    <row r="798" spans="1:24" x14ac:dyDescent="0.3">
      <c r="A798">
        <v>8.6999999999999993</v>
      </c>
      <c r="B798">
        <v>0.46</v>
      </c>
      <c r="C798">
        <v>0.31</v>
      </c>
      <c r="D798">
        <v>2.5</v>
      </c>
      <c r="E798">
        <v>0.126</v>
      </c>
      <c r="F798">
        <v>24</v>
      </c>
      <c r="G798">
        <v>64</v>
      </c>
      <c r="H798">
        <v>0.99746000000000001</v>
      </c>
      <c r="I798">
        <v>3.1</v>
      </c>
      <c r="J798">
        <v>0.74</v>
      </c>
      <c r="K798">
        <v>9.6</v>
      </c>
      <c r="L798">
        <v>5</v>
      </c>
      <c r="M798" t="str">
        <f t="shared" si="96"/>
        <v>Medium</v>
      </c>
      <c r="N798">
        <f>(winequality_red[[#This Row],[Updated Quality &amp; Alcohol Analysis]]+winequality_red[[#This Row],[volatile acidity]]+winequality_red[[#This Row],[citric acid]])</f>
        <v>9.4700000000000006</v>
      </c>
      <c r="O798">
        <f t="shared" si="97"/>
        <v>3.5458333333333342E-2</v>
      </c>
      <c r="S798" t="e">
        <f t="shared" si="98"/>
        <v>#N/A</v>
      </c>
      <c r="T798" t="e">
        <f t="shared" si="99"/>
        <v>#N/A</v>
      </c>
      <c r="U798">
        <f t="shared" si="100"/>
        <v>9.6</v>
      </c>
      <c r="V798">
        <f t="shared" si="101"/>
        <v>5</v>
      </c>
      <c r="W798" t="e">
        <f t="shared" si="102"/>
        <v>#N/A</v>
      </c>
      <c r="X798" t="e">
        <f t="shared" si="103"/>
        <v>#N/A</v>
      </c>
    </row>
    <row r="799" spans="1:24" x14ac:dyDescent="0.3">
      <c r="A799">
        <v>9.3000000000000007</v>
      </c>
      <c r="B799">
        <v>0.37</v>
      </c>
      <c r="C799">
        <v>0.44</v>
      </c>
      <c r="D799">
        <v>1.6</v>
      </c>
      <c r="E799">
        <v>3.7999999999999999E-2</v>
      </c>
      <c r="F799">
        <v>21</v>
      </c>
      <c r="G799">
        <v>42</v>
      </c>
      <c r="H799">
        <v>0.99526000000000003</v>
      </c>
      <c r="I799">
        <v>3.24</v>
      </c>
      <c r="J799">
        <v>0.81</v>
      </c>
      <c r="K799">
        <v>10.8</v>
      </c>
      <c r="L799">
        <v>7</v>
      </c>
      <c r="M799" t="str">
        <f t="shared" si="96"/>
        <v>High</v>
      </c>
      <c r="N799">
        <f>(winequality_red[[#This Row],[Updated Quality &amp; Alcohol Analysis]]+winequality_red[[#This Row],[volatile acidity]]+winequality_red[[#This Row],[citric acid]])</f>
        <v>10.11</v>
      </c>
      <c r="O799">
        <f t="shared" si="97"/>
        <v>2.775E-2</v>
      </c>
      <c r="S799" t="e">
        <f t="shared" si="98"/>
        <v>#N/A</v>
      </c>
      <c r="T799" t="e">
        <f t="shared" si="99"/>
        <v>#N/A</v>
      </c>
      <c r="U799" t="e">
        <f t="shared" si="100"/>
        <v>#N/A</v>
      </c>
      <c r="V799" t="e">
        <f t="shared" si="101"/>
        <v>#N/A</v>
      </c>
      <c r="W799">
        <f t="shared" si="102"/>
        <v>10.8</v>
      </c>
      <c r="X799">
        <f t="shared" si="103"/>
        <v>7</v>
      </c>
    </row>
    <row r="800" spans="1:24" x14ac:dyDescent="0.3">
      <c r="A800">
        <v>9.4</v>
      </c>
      <c r="B800">
        <v>0.5</v>
      </c>
      <c r="C800">
        <v>0.34</v>
      </c>
      <c r="D800">
        <v>3.6</v>
      </c>
      <c r="E800">
        <v>8.199999999999999E-2</v>
      </c>
      <c r="F800">
        <v>5</v>
      </c>
      <c r="G800">
        <v>14</v>
      </c>
      <c r="H800">
        <v>0.99870000000000003</v>
      </c>
      <c r="I800">
        <v>3.29</v>
      </c>
      <c r="J800">
        <v>0.52</v>
      </c>
      <c r="K800">
        <v>10.7</v>
      </c>
      <c r="L800">
        <v>6</v>
      </c>
      <c r="M800" t="str">
        <f t="shared" si="96"/>
        <v>Medium</v>
      </c>
      <c r="N800">
        <f>(winequality_red[[#This Row],[Updated Quality &amp; Alcohol Analysis]]+winequality_red[[#This Row],[volatile acidity]]+winequality_red[[#This Row],[citric acid]])</f>
        <v>10.24</v>
      </c>
      <c r="O800">
        <f t="shared" si="97"/>
        <v>2.4299065420560751E-2</v>
      </c>
      <c r="S800" t="e">
        <f t="shared" si="98"/>
        <v>#N/A</v>
      </c>
      <c r="T800" t="e">
        <f t="shared" si="99"/>
        <v>#N/A</v>
      </c>
      <c r="U800">
        <f t="shared" si="100"/>
        <v>10.7</v>
      </c>
      <c r="V800">
        <f t="shared" si="101"/>
        <v>6</v>
      </c>
      <c r="W800" t="e">
        <f t="shared" si="102"/>
        <v>#N/A</v>
      </c>
      <c r="X800" t="e">
        <f t="shared" si="103"/>
        <v>#N/A</v>
      </c>
    </row>
    <row r="801" spans="1:24" x14ac:dyDescent="0.3">
      <c r="A801">
        <v>9.4</v>
      </c>
      <c r="B801">
        <v>0.5</v>
      </c>
      <c r="C801">
        <v>0.34</v>
      </c>
      <c r="D801">
        <v>3.6</v>
      </c>
      <c r="E801">
        <v>8.199999999999999E-2</v>
      </c>
      <c r="F801">
        <v>5</v>
      </c>
      <c r="G801">
        <v>14</v>
      </c>
      <c r="H801">
        <v>0.99870000000000003</v>
      </c>
      <c r="I801">
        <v>3.29</v>
      </c>
      <c r="J801">
        <v>0.52</v>
      </c>
      <c r="K801">
        <v>10.7</v>
      </c>
      <c r="L801">
        <v>6</v>
      </c>
      <c r="M801" t="str">
        <f t="shared" si="96"/>
        <v>Medium</v>
      </c>
      <c r="N801">
        <f>(winequality_red[[#This Row],[Updated Quality &amp; Alcohol Analysis]]+winequality_red[[#This Row],[volatile acidity]]+winequality_red[[#This Row],[citric acid]])</f>
        <v>10.24</v>
      </c>
      <c r="O801">
        <f t="shared" si="97"/>
        <v>2.4299065420560751E-2</v>
      </c>
      <c r="S801" t="e">
        <f t="shared" si="98"/>
        <v>#N/A</v>
      </c>
      <c r="T801" t="e">
        <f t="shared" si="99"/>
        <v>#N/A</v>
      </c>
      <c r="U801">
        <f t="shared" si="100"/>
        <v>10.7</v>
      </c>
      <c r="V801">
        <f t="shared" si="101"/>
        <v>6</v>
      </c>
      <c r="W801" t="e">
        <f t="shared" si="102"/>
        <v>#N/A</v>
      </c>
      <c r="X801" t="e">
        <f t="shared" si="103"/>
        <v>#N/A</v>
      </c>
    </row>
    <row r="802" spans="1:24" x14ac:dyDescent="0.3">
      <c r="A802">
        <v>7.2</v>
      </c>
      <c r="B802">
        <v>0.61</v>
      </c>
      <c r="C802">
        <v>0.08</v>
      </c>
      <c r="D802">
        <v>4</v>
      </c>
      <c r="E802">
        <v>8.199999999999999E-2</v>
      </c>
      <c r="F802">
        <v>26</v>
      </c>
      <c r="G802">
        <v>108</v>
      </c>
      <c r="H802">
        <v>0.99641000000000002</v>
      </c>
      <c r="I802">
        <v>3.25</v>
      </c>
      <c r="J802">
        <v>0.51</v>
      </c>
      <c r="K802">
        <v>9.4</v>
      </c>
      <c r="L802">
        <v>5</v>
      </c>
      <c r="M802" t="str">
        <f t="shared" si="96"/>
        <v>Medium</v>
      </c>
      <c r="N802">
        <f>(winequality_red[[#This Row],[Updated Quality &amp; Alcohol Analysis]]+winequality_red[[#This Row],[volatile acidity]]+winequality_red[[#This Row],[citric acid]])</f>
        <v>7.8900000000000006</v>
      </c>
      <c r="O802">
        <f t="shared" si="97"/>
        <v>3.3095744680851059E-2</v>
      </c>
      <c r="S802" t="e">
        <f t="shared" si="98"/>
        <v>#N/A</v>
      </c>
      <c r="T802" t="e">
        <f t="shared" si="99"/>
        <v>#N/A</v>
      </c>
      <c r="U802">
        <f t="shared" si="100"/>
        <v>9.4</v>
      </c>
      <c r="V802">
        <f t="shared" si="101"/>
        <v>5</v>
      </c>
      <c r="W802" t="e">
        <f t="shared" si="102"/>
        <v>#N/A</v>
      </c>
      <c r="X802" t="e">
        <f t="shared" si="103"/>
        <v>#N/A</v>
      </c>
    </row>
    <row r="803" spans="1:24" x14ac:dyDescent="0.3">
      <c r="A803">
        <v>8.6</v>
      </c>
      <c r="B803">
        <v>0.55000000000000004</v>
      </c>
      <c r="C803">
        <v>0.09</v>
      </c>
      <c r="D803">
        <v>3.3</v>
      </c>
      <c r="E803">
        <v>6.8000000000000005E-2</v>
      </c>
      <c r="F803">
        <v>8</v>
      </c>
      <c r="G803">
        <v>17</v>
      </c>
      <c r="H803">
        <v>0.99734999999999996</v>
      </c>
      <c r="I803">
        <v>3.23</v>
      </c>
      <c r="J803">
        <v>0.44</v>
      </c>
      <c r="K803">
        <v>10</v>
      </c>
      <c r="L803">
        <v>5</v>
      </c>
      <c r="M803" t="str">
        <f t="shared" si="96"/>
        <v>Medium</v>
      </c>
      <c r="N803">
        <f>(winequality_red[[#This Row],[Updated Quality &amp; Alcohol Analysis]]+winequality_red[[#This Row],[volatile acidity]]+winequality_red[[#This Row],[citric acid]])</f>
        <v>9.24</v>
      </c>
      <c r="O803">
        <f t="shared" si="97"/>
        <v>2.4200000000000003E-2</v>
      </c>
      <c r="S803" t="e">
        <f t="shared" si="98"/>
        <v>#N/A</v>
      </c>
      <c r="T803" t="e">
        <f t="shared" si="99"/>
        <v>#N/A</v>
      </c>
      <c r="U803">
        <f t="shared" si="100"/>
        <v>10</v>
      </c>
      <c r="V803">
        <f t="shared" si="101"/>
        <v>5</v>
      </c>
      <c r="W803" t="e">
        <f t="shared" si="102"/>
        <v>#N/A</v>
      </c>
      <c r="X803" t="e">
        <f t="shared" si="103"/>
        <v>#N/A</v>
      </c>
    </row>
    <row r="804" spans="1:24" x14ac:dyDescent="0.3">
      <c r="A804">
        <v>5.0999999999999996</v>
      </c>
      <c r="B804">
        <v>0.58499999999999996</v>
      </c>
      <c r="C804">
        <v>0</v>
      </c>
      <c r="D804">
        <v>1.7</v>
      </c>
      <c r="E804">
        <v>4.4000000000000004E-2</v>
      </c>
      <c r="F804">
        <v>14</v>
      </c>
      <c r="G804">
        <v>86</v>
      </c>
      <c r="H804">
        <v>0.99263999999999997</v>
      </c>
      <c r="I804">
        <v>3.56</v>
      </c>
      <c r="J804">
        <v>0.94</v>
      </c>
      <c r="K804">
        <v>12.9</v>
      </c>
      <c r="L804">
        <v>7</v>
      </c>
      <c r="M804" t="str">
        <f t="shared" si="96"/>
        <v>High</v>
      </c>
      <c r="N804">
        <f>(winequality_red[[#This Row],[Updated Quality &amp; Alcohol Analysis]]+winequality_red[[#This Row],[volatile acidity]]+winequality_red[[#This Row],[citric acid]])</f>
        <v>5.6849999999999996</v>
      </c>
      <c r="O804">
        <f t="shared" si="97"/>
        <v>4.2627906976744179E-2</v>
      </c>
      <c r="S804" t="e">
        <f t="shared" si="98"/>
        <v>#N/A</v>
      </c>
      <c r="T804" t="e">
        <f t="shared" si="99"/>
        <v>#N/A</v>
      </c>
      <c r="U804" t="e">
        <f t="shared" si="100"/>
        <v>#N/A</v>
      </c>
      <c r="V804" t="e">
        <f t="shared" si="101"/>
        <v>#N/A</v>
      </c>
      <c r="W804">
        <f t="shared" si="102"/>
        <v>12.9</v>
      </c>
      <c r="X804">
        <f t="shared" si="103"/>
        <v>7</v>
      </c>
    </row>
    <row r="805" spans="1:24" x14ac:dyDescent="0.3">
      <c r="A805">
        <v>7.7</v>
      </c>
      <c r="B805">
        <v>0.56000000000000005</v>
      </c>
      <c r="C805">
        <v>0.08</v>
      </c>
      <c r="D805">
        <v>2.5</v>
      </c>
      <c r="E805">
        <v>0.114</v>
      </c>
      <c r="F805">
        <v>14</v>
      </c>
      <c r="G805">
        <v>46</v>
      </c>
      <c r="H805">
        <v>0.99709999999999999</v>
      </c>
      <c r="I805">
        <v>3.24</v>
      </c>
      <c r="J805">
        <v>0.66</v>
      </c>
      <c r="K805">
        <v>9.6</v>
      </c>
      <c r="L805">
        <v>6</v>
      </c>
      <c r="M805" t="str">
        <f t="shared" si="96"/>
        <v>Medium</v>
      </c>
      <c r="N805">
        <f>(winequality_red[[#This Row],[Updated Quality &amp; Alcohol Analysis]]+winequality_red[[#This Row],[volatile acidity]]+winequality_red[[#This Row],[citric acid]])</f>
        <v>8.34</v>
      </c>
      <c r="O805">
        <f t="shared" si="97"/>
        <v>3.8500000000000006E-2</v>
      </c>
      <c r="S805" t="e">
        <f t="shared" si="98"/>
        <v>#N/A</v>
      </c>
      <c r="T805" t="e">
        <f t="shared" si="99"/>
        <v>#N/A</v>
      </c>
      <c r="U805">
        <f t="shared" si="100"/>
        <v>9.6</v>
      </c>
      <c r="V805">
        <f t="shared" si="101"/>
        <v>6</v>
      </c>
      <c r="W805" t="e">
        <f t="shared" si="102"/>
        <v>#N/A</v>
      </c>
      <c r="X805" t="e">
        <f t="shared" si="103"/>
        <v>#N/A</v>
      </c>
    </row>
    <row r="806" spans="1:24" x14ac:dyDescent="0.3">
      <c r="A806">
        <v>8.4</v>
      </c>
      <c r="B806">
        <v>0.52</v>
      </c>
      <c r="C806">
        <v>0.22</v>
      </c>
      <c r="D806">
        <v>2.7</v>
      </c>
      <c r="E806">
        <v>8.4000000000000005E-2</v>
      </c>
      <c r="F806">
        <v>4</v>
      </c>
      <c r="G806">
        <v>18</v>
      </c>
      <c r="H806">
        <v>0.99682000000000004</v>
      </c>
      <c r="I806">
        <v>3.26</v>
      </c>
      <c r="J806">
        <v>0.56999999999999995</v>
      </c>
      <c r="K806">
        <v>9.9</v>
      </c>
      <c r="L806">
        <v>6</v>
      </c>
      <c r="M806" t="str">
        <f t="shared" si="96"/>
        <v>Medium</v>
      </c>
      <c r="N806">
        <f>(winequality_red[[#This Row],[Updated Quality &amp; Alcohol Analysis]]+winequality_red[[#This Row],[volatile acidity]]+winequality_red[[#This Row],[citric acid]])</f>
        <v>9.14</v>
      </c>
      <c r="O806">
        <f t="shared" si="97"/>
        <v>2.9939393939393939E-2</v>
      </c>
      <c r="S806" t="e">
        <f t="shared" si="98"/>
        <v>#N/A</v>
      </c>
      <c r="T806" t="e">
        <f t="shared" si="99"/>
        <v>#N/A</v>
      </c>
      <c r="U806">
        <f t="shared" si="100"/>
        <v>9.9</v>
      </c>
      <c r="V806">
        <f t="shared" si="101"/>
        <v>6</v>
      </c>
      <c r="W806" t="e">
        <f t="shared" si="102"/>
        <v>#N/A</v>
      </c>
      <c r="X806" t="e">
        <f t="shared" si="103"/>
        <v>#N/A</v>
      </c>
    </row>
    <row r="807" spans="1:24" x14ac:dyDescent="0.3">
      <c r="A807">
        <v>8.1999999999999993</v>
      </c>
      <c r="B807">
        <v>0.28000000000000003</v>
      </c>
      <c r="C807">
        <v>0.4</v>
      </c>
      <c r="D807">
        <v>2.4</v>
      </c>
      <c r="E807">
        <v>5.2000000000000005E-2</v>
      </c>
      <c r="F807">
        <v>4</v>
      </c>
      <c r="G807">
        <v>10</v>
      </c>
      <c r="H807">
        <v>0.99356</v>
      </c>
      <c r="I807">
        <v>3.33</v>
      </c>
      <c r="J807">
        <v>0.7</v>
      </c>
      <c r="K807">
        <v>12.8</v>
      </c>
      <c r="L807">
        <v>7</v>
      </c>
      <c r="M807" t="str">
        <f t="shared" si="96"/>
        <v>High</v>
      </c>
      <c r="N807">
        <f>(winequality_red[[#This Row],[Updated Quality &amp; Alcohol Analysis]]+winequality_red[[#This Row],[volatile acidity]]+winequality_red[[#This Row],[citric acid]])</f>
        <v>8.879999999999999</v>
      </c>
      <c r="O807">
        <f t="shared" si="97"/>
        <v>1.53125E-2</v>
      </c>
      <c r="S807" t="e">
        <f t="shared" si="98"/>
        <v>#N/A</v>
      </c>
      <c r="T807" t="e">
        <f t="shared" si="99"/>
        <v>#N/A</v>
      </c>
      <c r="U807" t="e">
        <f t="shared" si="100"/>
        <v>#N/A</v>
      </c>
      <c r="V807" t="e">
        <f t="shared" si="101"/>
        <v>#N/A</v>
      </c>
      <c r="W807">
        <f t="shared" si="102"/>
        <v>12.8</v>
      </c>
      <c r="X807">
        <f t="shared" si="103"/>
        <v>7</v>
      </c>
    </row>
    <row r="808" spans="1:24" x14ac:dyDescent="0.3">
      <c r="A808">
        <v>8.4</v>
      </c>
      <c r="B808">
        <v>0.25</v>
      </c>
      <c r="C808">
        <v>0.39</v>
      </c>
      <c r="D808">
        <v>2</v>
      </c>
      <c r="E808">
        <v>4.0999999999999995E-2</v>
      </c>
      <c r="F808">
        <v>4</v>
      </c>
      <c r="G808">
        <v>10</v>
      </c>
      <c r="H808">
        <v>0.99386000000000008</v>
      </c>
      <c r="I808">
        <v>3.27</v>
      </c>
      <c r="J808">
        <v>0.71</v>
      </c>
      <c r="K808">
        <v>12.5</v>
      </c>
      <c r="L808">
        <v>7</v>
      </c>
      <c r="M808" t="str">
        <f t="shared" si="96"/>
        <v>High</v>
      </c>
      <c r="N808">
        <f>(winequality_red[[#This Row],[Updated Quality &amp; Alcohol Analysis]]+winequality_red[[#This Row],[volatile acidity]]+winequality_red[[#This Row],[citric acid]])</f>
        <v>9.0400000000000009</v>
      </c>
      <c r="O808">
        <f t="shared" si="97"/>
        <v>1.4199999999999999E-2</v>
      </c>
      <c r="S808" t="e">
        <f t="shared" si="98"/>
        <v>#N/A</v>
      </c>
      <c r="T808" t="e">
        <f t="shared" si="99"/>
        <v>#N/A</v>
      </c>
      <c r="U808" t="e">
        <f t="shared" si="100"/>
        <v>#N/A</v>
      </c>
      <c r="V808" t="e">
        <f t="shared" si="101"/>
        <v>#N/A</v>
      </c>
      <c r="W808">
        <f t="shared" si="102"/>
        <v>12.5</v>
      </c>
      <c r="X808">
        <f t="shared" si="103"/>
        <v>7</v>
      </c>
    </row>
    <row r="809" spans="1:24" x14ac:dyDescent="0.3">
      <c r="A809">
        <v>8.1999999999999993</v>
      </c>
      <c r="B809">
        <v>0.28000000000000003</v>
      </c>
      <c r="C809">
        <v>0.4</v>
      </c>
      <c r="D809">
        <v>2.4</v>
      </c>
      <c r="E809">
        <v>5.2000000000000005E-2</v>
      </c>
      <c r="F809">
        <v>4</v>
      </c>
      <c r="G809">
        <v>10</v>
      </c>
      <c r="H809">
        <v>0.99356</v>
      </c>
      <c r="I809">
        <v>3.33</v>
      </c>
      <c r="J809">
        <v>0.7</v>
      </c>
      <c r="K809">
        <v>12.8</v>
      </c>
      <c r="L809">
        <v>7</v>
      </c>
      <c r="M809" t="str">
        <f t="shared" si="96"/>
        <v>High</v>
      </c>
      <c r="N809">
        <f>(winequality_red[[#This Row],[Updated Quality &amp; Alcohol Analysis]]+winequality_red[[#This Row],[volatile acidity]]+winequality_red[[#This Row],[citric acid]])</f>
        <v>8.879999999999999</v>
      </c>
      <c r="O809">
        <f t="shared" si="97"/>
        <v>1.53125E-2</v>
      </c>
      <c r="S809" t="e">
        <f t="shared" si="98"/>
        <v>#N/A</v>
      </c>
      <c r="T809" t="e">
        <f t="shared" si="99"/>
        <v>#N/A</v>
      </c>
      <c r="U809" t="e">
        <f t="shared" si="100"/>
        <v>#N/A</v>
      </c>
      <c r="V809" t="e">
        <f t="shared" si="101"/>
        <v>#N/A</v>
      </c>
      <c r="W809">
        <f t="shared" si="102"/>
        <v>12.8</v>
      </c>
      <c r="X809">
        <f t="shared" si="103"/>
        <v>7</v>
      </c>
    </row>
    <row r="810" spans="1:24" x14ac:dyDescent="0.3">
      <c r="A810">
        <v>7.4</v>
      </c>
      <c r="B810">
        <v>0.53</v>
      </c>
      <c r="C810">
        <v>0.12</v>
      </c>
      <c r="D810">
        <v>1.9</v>
      </c>
      <c r="E810">
        <v>0.16500000000000001</v>
      </c>
      <c r="F810">
        <v>4</v>
      </c>
      <c r="G810">
        <v>12</v>
      </c>
      <c r="H810">
        <v>0.99702000000000002</v>
      </c>
      <c r="I810">
        <v>3.26</v>
      </c>
      <c r="J810">
        <v>0.86</v>
      </c>
      <c r="K810">
        <v>9.1999999999999993</v>
      </c>
      <c r="L810">
        <v>5</v>
      </c>
      <c r="M810" t="str">
        <f t="shared" si="96"/>
        <v>Medium</v>
      </c>
      <c r="N810">
        <f>(winequality_red[[#This Row],[Updated Quality &amp; Alcohol Analysis]]+winequality_red[[#This Row],[volatile acidity]]+winequality_red[[#This Row],[citric acid]])</f>
        <v>8.0500000000000007</v>
      </c>
      <c r="O810">
        <f t="shared" si="97"/>
        <v>4.9543478260869571E-2</v>
      </c>
      <c r="S810" t="e">
        <f t="shared" si="98"/>
        <v>#N/A</v>
      </c>
      <c r="T810" t="e">
        <f t="shared" si="99"/>
        <v>#N/A</v>
      </c>
      <c r="U810">
        <f t="shared" si="100"/>
        <v>9.1999999999999993</v>
      </c>
      <c r="V810">
        <f t="shared" si="101"/>
        <v>5</v>
      </c>
      <c r="W810" t="e">
        <f t="shared" si="102"/>
        <v>#N/A</v>
      </c>
      <c r="X810" t="e">
        <f t="shared" si="103"/>
        <v>#N/A</v>
      </c>
    </row>
    <row r="811" spans="1:24" x14ac:dyDescent="0.3">
      <c r="A811">
        <v>7.6</v>
      </c>
      <c r="B811">
        <v>0.48</v>
      </c>
      <c r="C811">
        <v>0.31</v>
      </c>
      <c r="D811">
        <v>2.8</v>
      </c>
      <c r="E811">
        <v>7.0000000000000007E-2</v>
      </c>
      <c r="F811">
        <v>4</v>
      </c>
      <c r="G811">
        <v>15</v>
      </c>
      <c r="H811">
        <v>0.99692999999999987</v>
      </c>
      <c r="I811">
        <v>3.22</v>
      </c>
      <c r="J811">
        <v>0.55000000000000004</v>
      </c>
      <c r="K811">
        <v>10.3</v>
      </c>
      <c r="L811">
        <v>6</v>
      </c>
      <c r="M811" t="str">
        <f t="shared" si="96"/>
        <v>Medium</v>
      </c>
      <c r="N811">
        <f>(winequality_red[[#This Row],[Updated Quality &amp; Alcohol Analysis]]+winequality_red[[#This Row],[volatile acidity]]+winequality_red[[#This Row],[citric acid]])</f>
        <v>8.39</v>
      </c>
      <c r="O811">
        <f t="shared" si="97"/>
        <v>2.5631067961165047E-2</v>
      </c>
      <c r="S811" t="e">
        <f t="shared" si="98"/>
        <v>#N/A</v>
      </c>
      <c r="T811" t="e">
        <f t="shared" si="99"/>
        <v>#N/A</v>
      </c>
      <c r="U811">
        <f t="shared" si="100"/>
        <v>10.3</v>
      </c>
      <c r="V811">
        <f t="shared" si="101"/>
        <v>6</v>
      </c>
      <c r="W811" t="e">
        <f t="shared" si="102"/>
        <v>#N/A</v>
      </c>
      <c r="X811" t="e">
        <f t="shared" si="103"/>
        <v>#N/A</v>
      </c>
    </row>
    <row r="812" spans="1:24" x14ac:dyDescent="0.3">
      <c r="A812">
        <v>7.3</v>
      </c>
      <c r="B812">
        <v>0.49</v>
      </c>
      <c r="C812">
        <v>0.1</v>
      </c>
      <c r="D812">
        <v>2.6</v>
      </c>
      <c r="E812">
        <v>6.8000000000000005E-2</v>
      </c>
      <c r="F812">
        <v>4</v>
      </c>
      <c r="G812">
        <v>14</v>
      </c>
      <c r="H812">
        <v>0.99562000000000006</v>
      </c>
      <c r="I812">
        <v>3.3</v>
      </c>
      <c r="J812">
        <v>0.47</v>
      </c>
      <c r="K812">
        <v>10.5</v>
      </c>
      <c r="L812">
        <v>5</v>
      </c>
      <c r="M812" t="str">
        <f t="shared" si="96"/>
        <v>Medium</v>
      </c>
      <c r="N812">
        <f>(winequality_red[[#This Row],[Updated Quality &amp; Alcohol Analysis]]+winequality_red[[#This Row],[volatile acidity]]+winequality_red[[#This Row],[citric acid]])</f>
        <v>7.89</v>
      </c>
      <c r="O812">
        <f t="shared" si="97"/>
        <v>2.1933333333333332E-2</v>
      </c>
      <c r="S812" t="e">
        <f t="shared" si="98"/>
        <v>#N/A</v>
      </c>
      <c r="T812" t="e">
        <f t="shared" si="99"/>
        <v>#N/A</v>
      </c>
      <c r="U812">
        <f t="shared" si="100"/>
        <v>10.5</v>
      </c>
      <c r="V812">
        <f t="shared" si="101"/>
        <v>5</v>
      </c>
      <c r="W812" t="e">
        <f t="shared" si="102"/>
        <v>#N/A</v>
      </c>
      <c r="X812" t="e">
        <f t="shared" si="103"/>
        <v>#N/A</v>
      </c>
    </row>
    <row r="813" spans="1:24" x14ac:dyDescent="0.3">
      <c r="A813">
        <v>12.9</v>
      </c>
      <c r="B813">
        <v>0.5</v>
      </c>
      <c r="C813">
        <v>0.55000000000000004</v>
      </c>
      <c r="D813">
        <v>2.8</v>
      </c>
      <c r="E813">
        <v>7.2000000000000008E-2</v>
      </c>
      <c r="F813">
        <v>7</v>
      </c>
      <c r="G813">
        <v>24</v>
      </c>
      <c r="H813">
        <v>1.0001200000000001</v>
      </c>
      <c r="I813">
        <v>3.09</v>
      </c>
      <c r="J813">
        <v>0.68</v>
      </c>
      <c r="K813">
        <v>10.9</v>
      </c>
      <c r="L813">
        <v>6</v>
      </c>
      <c r="M813" t="str">
        <f t="shared" si="96"/>
        <v>Medium</v>
      </c>
      <c r="N813">
        <f>(winequality_red[[#This Row],[Updated Quality &amp; Alcohol Analysis]]+winequality_red[[#This Row],[volatile acidity]]+winequality_red[[#This Row],[citric acid]])</f>
        <v>13.950000000000001</v>
      </c>
      <c r="O813">
        <f t="shared" si="97"/>
        <v>3.1192660550458717E-2</v>
      </c>
      <c r="S813" t="e">
        <f t="shared" si="98"/>
        <v>#N/A</v>
      </c>
      <c r="T813" t="e">
        <f t="shared" si="99"/>
        <v>#N/A</v>
      </c>
      <c r="U813">
        <f t="shared" si="100"/>
        <v>10.9</v>
      </c>
      <c r="V813">
        <f t="shared" si="101"/>
        <v>6</v>
      </c>
      <c r="W813" t="e">
        <f t="shared" si="102"/>
        <v>#N/A</v>
      </c>
      <c r="X813" t="e">
        <f t="shared" si="103"/>
        <v>#N/A</v>
      </c>
    </row>
    <row r="814" spans="1:24" x14ac:dyDescent="0.3">
      <c r="A814">
        <v>10.8</v>
      </c>
      <c r="B814">
        <v>0.45</v>
      </c>
      <c r="C814">
        <v>0.33</v>
      </c>
      <c r="D814">
        <v>2.5</v>
      </c>
      <c r="E814">
        <v>9.9000000000000005E-2</v>
      </c>
      <c r="F814">
        <v>20</v>
      </c>
      <c r="G814">
        <v>38</v>
      </c>
      <c r="H814">
        <v>0.99817999999999996</v>
      </c>
      <c r="I814">
        <v>3.24</v>
      </c>
      <c r="J814">
        <v>0.71</v>
      </c>
      <c r="K814">
        <v>10.8</v>
      </c>
      <c r="L814">
        <v>5</v>
      </c>
      <c r="M814" t="str">
        <f t="shared" si="96"/>
        <v>Medium</v>
      </c>
      <c r="N814">
        <f>(winequality_red[[#This Row],[Updated Quality &amp; Alcohol Analysis]]+winequality_red[[#This Row],[volatile acidity]]+winequality_red[[#This Row],[citric acid]])</f>
        <v>11.58</v>
      </c>
      <c r="O814">
        <f t="shared" si="97"/>
        <v>2.9583333333333333E-2</v>
      </c>
      <c r="S814" t="e">
        <f t="shared" si="98"/>
        <v>#N/A</v>
      </c>
      <c r="T814" t="e">
        <f t="shared" si="99"/>
        <v>#N/A</v>
      </c>
      <c r="U814">
        <f t="shared" si="100"/>
        <v>10.8</v>
      </c>
      <c r="V814">
        <f t="shared" si="101"/>
        <v>5</v>
      </c>
      <c r="W814" t="e">
        <f t="shared" si="102"/>
        <v>#N/A</v>
      </c>
      <c r="X814" t="e">
        <f t="shared" si="103"/>
        <v>#N/A</v>
      </c>
    </row>
    <row r="815" spans="1:24" x14ac:dyDescent="0.3">
      <c r="A815">
        <v>6.9</v>
      </c>
      <c r="B815">
        <v>0.39</v>
      </c>
      <c r="C815">
        <v>0.24</v>
      </c>
      <c r="D815">
        <v>2.1</v>
      </c>
      <c r="E815">
        <v>0.10199999999999999</v>
      </c>
      <c r="F815">
        <v>4</v>
      </c>
      <c r="G815">
        <v>7</v>
      </c>
      <c r="H815">
        <v>0.99462000000000006</v>
      </c>
      <c r="I815">
        <v>3.44</v>
      </c>
      <c r="J815">
        <v>0.57999999999999996</v>
      </c>
      <c r="K815">
        <v>11.4</v>
      </c>
      <c r="L815">
        <v>4</v>
      </c>
      <c r="M815" t="str">
        <f t="shared" si="96"/>
        <v>Low</v>
      </c>
      <c r="N815">
        <f>(winequality_red[[#This Row],[Updated Quality &amp; Alcohol Analysis]]+winequality_red[[#This Row],[volatile acidity]]+winequality_red[[#This Row],[citric acid]])</f>
        <v>7.53</v>
      </c>
      <c r="O815">
        <f t="shared" si="97"/>
        <v>1.9842105263157894E-2</v>
      </c>
      <c r="S815">
        <f t="shared" si="98"/>
        <v>11.4</v>
      </c>
      <c r="T815">
        <f t="shared" si="99"/>
        <v>4</v>
      </c>
      <c r="U815" t="e">
        <f t="shared" si="100"/>
        <v>#N/A</v>
      </c>
      <c r="V815" t="e">
        <f t="shared" si="101"/>
        <v>#N/A</v>
      </c>
      <c r="W815" t="e">
        <f t="shared" si="102"/>
        <v>#N/A</v>
      </c>
      <c r="X815" t="e">
        <f t="shared" si="103"/>
        <v>#N/A</v>
      </c>
    </row>
    <row r="816" spans="1:24" x14ac:dyDescent="0.3">
      <c r="A816">
        <v>12.6</v>
      </c>
      <c r="B816">
        <v>0.41</v>
      </c>
      <c r="C816">
        <v>0.54</v>
      </c>
      <c r="D816">
        <v>2.8</v>
      </c>
      <c r="E816">
        <v>0.10300000000000001</v>
      </c>
      <c r="F816">
        <v>19</v>
      </c>
      <c r="G816">
        <v>41</v>
      </c>
      <c r="H816">
        <v>0.99939</v>
      </c>
      <c r="I816">
        <v>3.21</v>
      </c>
      <c r="J816">
        <v>0.76</v>
      </c>
      <c r="K816">
        <v>11.3</v>
      </c>
      <c r="L816">
        <v>6</v>
      </c>
      <c r="M816" t="str">
        <f t="shared" si="96"/>
        <v>Medium</v>
      </c>
      <c r="N816">
        <f>(winequality_red[[#This Row],[Updated Quality &amp; Alcohol Analysis]]+winequality_red[[#This Row],[volatile acidity]]+winequality_red[[#This Row],[citric acid]])</f>
        <v>13.55</v>
      </c>
      <c r="O816">
        <f t="shared" si="97"/>
        <v>2.757522123893805E-2</v>
      </c>
      <c r="S816" t="e">
        <f t="shared" si="98"/>
        <v>#N/A</v>
      </c>
      <c r="T816" t="e">
        <f t="shared" si="99"/>
        <v>#N/A</v>
      </c>
      <c r="U816">
        <f t="shared" si="100"/>
        <v>11.3</v>
      </c>
      <c r="V816">
        <f t="shared" si="101"/>
        <v>6</v>
      </c>
      <c r="W816" t="e">
        <f t="shared" si="102"/>
        <v>#N/A</v>
      </c>
      <c r="X816" t="e">
        <f t="shared" si="103"/>
        <v>#N/A</v>
      </c>
    </row>
    <row r="817" spans="1:24" x14ac:dyDescent="0.3">
      <c r="A817">
        <v>10.8</v>
      </c>
      <c r="B817">
        <v>0.45</v>
      </c>
      <c r="C817">
        <v>0.33</v>
      </c>
      <c r="D817">
        <v>2.5</v>
      </c>
      <c r="E817">
        <v>9.9000000000000005E-2</v>
      </c>
      <c r="F817">
        <v>20</v>
      </c>
      <c r="G817">
        <v>38</v>
      </c>
      <c r="H817">
        <v>0.99817999999999996</v>
      </c>
      <c r="I817">
        <v>3.24</v>
      </c>
      <c r="J817">
        <v>0.71</v>
      </c>
      <c r="K817">
        <v>10.8</v>
      </c>
      <c r="L817">
        <v>5</v>
      </c>
      <c r="M817" t="str">
        <f t="shared" si="96"/>
        <v>Medium</v>
      </c>
      <c r="N817">
        <f>(winequality_red[[#This Row],[Updated Quality &amp; Alcohol Analysis]]+winequality_red[[#This Row],[volatile acidity]]+winequality_red[[#This Row],[citric acid]])</f>
        <v>11.58</v>
      </c>
      <c r="O817">
        <f t="shared" si="97"/>
        <v>2.9583333333333333E-2</v>
      </c>
      <c r="S817" t="e">
        <f t="shared" si="98"/>
        <v>#N/A</v>
      </c>
      <c r="T817" t="e">
        <f t="shared" si="99"/>
        <v>#N/A</v>
      </c>
      <c r="U817">
        <f t="shared" si="100"/>
        <v>10.8</v>
      </c>
      <c r="V817">
        <f t="shared" si="101"/>
        <v>5</v>
      </c>
      <c r="W817" t="e">
        <f t="shared" si="102"/>
        <v>#N/A</v>
      </c>
      <c r="X817" t="e">
        <f t="shared" si="103"/>
        <v>#N/A</v>
      </c>
    </row>
    <row r="818" spans="1:24" x14ac:dyDescent="0.3">
      <c r="A818">
        <v>9.8000000000000007</v>
      </c>
      <c r="B818">
        <v>0.51</v>
      </c>
      <c r="C818">
        <v>0.19</v>
      </c>
      <c r="D818">
        <v>3.2</v>
      </c>
      <c r="E818">
        <v>8.1000000000000003E-2</v>
      </c>
      <c r="F818">
        <v>8</v>
      </c>
      <c r="G818">
        <v>30</v>
      </c>
      <c r="H818">
        <v>0.99839999999999995</v>
      </c>
      <c r="I818">
        <v>3.23</v>
      </c>
      <c r="J818">
        <v>0.57999999999999996</v>
      </c>
      <c r="K818">
        <v>10.5</v>
      </c>
      <c r="L818">
        <v>6</v>
      </c>
      <c r="M818" t="str">
        <f t="shared" si="96"/>
        <v>Medium</v>
      </c>
      <c r="N818">
        <f>(winequality_red[[#This Row],[Updated Quality &amp; Alcohol Analysis]]+winequality_red[[#This Row],[volatile acidity]]+winequality_red[[#This Row],[citric acid]])</f>
        <v>10.5</v>
      </c>
      <c r="O818">
        <f t="shared" si="97"/>
        <v>2.8171428571428573E-2</v>
      </c>
      <c r="S818" t="e">
        <f t="shared" si="98"/>
        <v>#N/A</v>
      </c>
      <c r="T818" t="e">
        <f t="shared" si="99"/>
        <v>#N/A</v>
      </c>
      <c r="U818">
        <f t="shared" si="100"/>
        <v>10.5</v>
      </c>
      <c r="V818">
        <f t="shared" si="101"/>
        <v>6</v>
      </c>
      <c r="W818" t="e">
        <f t="shared" si="102"/>
        <v>#N/A</v>
      </c>
      <c r="X818" t="e">
        <f t="shared" si="103"/>
        <v>#N/A</v>
      </c>
    </row>
    <row r="819" spans="1:24" x14ac:dyDescent="0.3">
      <c r="A819">
        <v>10.8</v>
      </c>
      <c r="B819">
        <v>0.28999999999999998</v>
      </c>
      <c r="C819">
        <v>0.42</v>
      </c>
      <c r="D819">
        <v>1.6</v>
      </c>
      <c r="E819">
        <v>8.4000000000000005E-2</v>
      </c>
      <c r="F819">
        <v>19</v>
      </c>
      <c r="G819">
        <v>27</v>
      </c>
      <c r="H819">
        <v>0.99544999999999995</v>
      </c>
      <c r="I819">
        <v>3.28</v>
      </c>
      <c r="J819">
        <v>0.73</v>
      </c>
      <c r="K819">
        <v>11.9</v>
      </c>
      <c r="L819">
        <v>6</v>
      </c>
      <c r="M819" t="str">
        <f t="shared" si="96"/>
        <v>Medium</v>
      </c>
      <c r="N819">
        <f>(winequality_red[[#This Row],[Updated Quality &amp; Alcohol Analysis]]+winequality_red[[#This Row],[volatile acidity]]+winequality_red[[#This Row],[citric acid]])</f>
        <v>11.51</v>
      </c>
      <c r="O819">
        <f t="shared" si="97"/>
        <v>1.7789915966386551E-2</v>
      </c>
      <c r="S819" t="e">
        <f t="shared" si="98"/>
        <v>#N/A</v>
      </c>
      <c r="T819" t="e">
        <f t="shared" si="99"/>
        <v>#N/A</v>
      </c>
      <c r="U819">
        <f t="shared" si="100"/>
        <v>11.9</v>
      </c>
      <c r="V819">
        <f t="shared" si="101"/>
        <v>6</v>
      </c>
      <c r="W819" t="e">
        <f t="shared" si="102"/>
        <v>#N/A</v>
      </c>
      <c r="X819" t="e">
        <f t="shared" si="103"/>
        <v>#N/A</v>
      </c>
    </row>
    <row r="820" spans="1:24" x14ac:dyDescent="0.3">
      <c r="A820">
        <v>7.1</v>
      </c>
      <c r="B820">
        <v>0.71499999999999997</v>
      </c>
      <c r="C820">
        <v>0</v>
      </c>
      <c r="D820">
        <v>2.35</v>
      </c>
      <c r="E820">
        <v>7.0999999999999994E-2</v>
      </c>
      <c r="F820">
        <v>21</v>
      </c>
      <c r="G820">
        <v>47</v>
      </c>
      <c r="H820">
        <v>0.99632000000000009</v>
      </c>
      <c r="I820">
        <v>3.29</v>
      </c>
      <c r="J820">
        <v>0.45</v>
      </c>
      <c r="K820">
        <v>9.4</v>
      </c>
      <c r="L820">
        <v>5</v>
      </c>
      <c r="M820" t="str">
        <f t="shared" si="96"/>
        <v>Medium</v>
      </c>
      <c r="N820">
        <f>(winequality_red[[#This Row],[Updated Quality &amp; Alcohol Analysis]]+winequality_red[[#This Row],[volatile acidity]]+winequality_red[[#This Row],[citric acid]])</f>
        <v>7.8149999999999995</v>
      </c>
      <c r="O820">
        <f t="shared" si="97"/>
        <v>3.4228723404255312E-2</v>
      </c>
      <c r="S820" t="e">
        <f t="shared" si="98"/>
        <v>#N/A</v>
      </c>
      <c r="T820" t="e">
        <f t="shared" si="99"/>
        <v>#N/A</v>
      </c>
      <c r="U820">
        <f t="shared" si="100"/>
        <v>9.4</v>
      </c>
      <c r="V820">
        <f t="shared" si="101"/>
        <v>5</v>
      </c>
      <c r="W820" t="e">
        <f t="shared" si="102"/>
        <v>#N/A</v>
      </c>
      <c r="X820" t="e">
        <f t="shared" si="103"/>
        <v>#N/A</v>
      </c>
    </row>
    <row r="821" spans="1:24" x14ac:dyDescent="0.3">
      <c r="A821">
        <v>9.1</v>
      </c>
      <c r="B821">
        <v>0.66</v>
      </c>
      <c r="C821">
        <v>0.15</v>
      </c>
      <c r="D821">
        <v>3.2</v>
      </c>
      <c r="E821">
        <v>9.6999999999999989E-2</v>
      </c>
      <c r="F821">
        <v>9</v>
      </c>
      <c r="G821">
        <v>59</v>
      </c>
      <c r="H821">
        <v>0.99975999999999998</v>
      </c>
      <c r="I821">
        <v>3.28</v>
      </c>
      <c r="J821">
        <v>0.54</v>
      </c>
      <c r="K821">
        <v>9.6</v>
      </c>
      <c r="L821">
        <v>5</v>
      </c>
      <c r="M821" t="str">
        <f t="shared" si="96"/>
        <v>Medium</v>
      </c>
      <c r="N821">
        <f>(winequality_red[[#This Row],[Updated Quality &amp; Alcohol Analysis]]+winequality_red[[#This Row],[volatile acidity]]+winequality_red[[#This Row],[citric acid]])</f>
        <v>9.91</v>
      </c>
      <c r="O821">
        <f t="shared" si="97"/>
        <v>3.7125000000000005E-2</v>
      </c>
      <c r="S821" t="e">
        <f t="shared" si="98"/>
        <v>#N/A</v>
      </c>
      <c r="T821" t="e">
        <f t="shared" si="99"/>
        <v>#N/A</v>
      </c>
      <c r="U821">
        <f t="shared" si="100"/>
        <v>9.6</v>
      </c>
      <c r="V821">
        <f t="shared" si="101"/>
        <v>5</v>
      </c>
      <c r="W821" t="e">
        <f t="shared" si="102"/>
        <v>#N/A</v>
      </c>
      <c r="X821" t="e">
        <f t="shared" si="103"/>
        <v>#N/A</v>
      </c>
    </row>
    <row r="822" spans="1:24" x14ac:dyDescent="0.3">
      <c r="A822">
        <v>7</v>
      </c>
      <c r="B822">
        <v>0.68500000000000005</v>
      </c>
      <c r="C822">
        <v>0</v>
      </c>
      <c r="D822">
        <v>1.9</v>
      </c>
      <c r="E822">
        <v>9.9000000000000005E-2</v>
      </c>
      <c r="F822">
        <v>9</v>
      </c>
      <c r="G822">
        <v>22</v>
      </c>
      <c r="H822">
        <v>0.99606000000000006</v>
      </c>
      <c r="I822">
        <v>3.34</v>
      </c>
      <c r="J822">
        <v>0.6</v>
      </c>
      <c r="K822">
        <v>9.6999999999999993</v>
      </c>
      <c r="L822">
        <v>5</v>
      </c>
      <c r="M822" t="str">
        <f t="shared" si="96"/>
        <v>Medium</v>
      </c>
      <c r="N822">
        <f>(winequality_red[[#This Row],[Updated Quality &amp; Alcohol Analysis]]+winequality_red[[#This Row],[volatile acidity]]+winequality_red[[#This Row],[citric acid]])</f>
        <v>7.6850000000000005</v>
      </c>
      <c r="O822">
        <f t="shared" si="97"/>
        <v>4.237113402061856E-2</v>
      </c>
      <c r="S822" t="e">
        <f t="shared" si="98"/>
        <v>#N/A</v>
      </c>
      <c r="T822" t="e">
        <f t="shared" si="99"/>
        <v>#N/A</v>
      </c>
      <c r="U822">
        <f t="shared" si="100"/>
        <v>9.6999999999999993</v>
      </c>
      <c r="V822">
        <f t="shared" si="101"/>
        <v>5</v>
      </c>
      <c r="W822" t="e">
        <f t="shared" si="102"/>
        <v>#N/A</v>
      </c>
      <c r="X822" t="e">
        <f t="shared" si="103"/>
        <v>#N/A</v>
      </c>
    </row>
    <row r="823" spans="1:24" x14ac:dyDescent="0.3">
      <c r="A823">
        <v>4.9000000000000004</v>
      </c>
      <c r="B823">
        <v>0.42</v>
      </c>
      <c r="C823">
        <v>0</v>
      </c>
      <c r="D823">
        <v>2.1</v>
      </c>
      <c r="E823">
        <v>4.8000000000000001E-2</v>
      </c>
      <c r="F823">
        <v>16</v>
      </c>
      <c r="G823">
        <v>42</v>
      </c>
      <c r="H823">
        <v>0.99153999999999998</v>
      </c>
      <c r="I823">
        <v>3.71</v>
      </c>
      <c r="J823">
        <v>0.74</v>
      </c>
      <c r="K823">
        <v>14</v>
      </c>
      <c r="L823">
        <v>7</v>
      </c>
      <c r="M823" t="str">
        <f t="shared" si="96"/>
        <v>High</v>
      </c>
      <c r="N823">
        <f>(winequality_red[[#This Row],[Updated Quality &amp; Alcohol Analysis]]+winequality_red[[#This Row],[volatile acidity]]+winequality_red[[#This Row],[citric acid]])</f>
        <v>5.32</v>
      </c>
      <c r="O823">
        <f t="shared" si="97"/>
        <v>2.2199999999999998E-2</v>
      </c>
      <c r="S823" t="e">
        <f t="shared" si="98"/>
        <v>#N/A</v>
      </c>
      <c r="T823" t="e">
        <f t="shared" si="99"/>
        <v>#N/A</v>
      </c>
      <c r="U823" t="e">
        <f t="shared" si="100"/>
        <v>#N/A</v>
      </c>
      <c r="V823" t="e">
        <f t="shared" si="101"/>
        <v>#N/A</v>
      </c>
      <c r="W823">
        <f t="shared" si="102"/>
        <v>14</v>
      </c>
      <c r="X823">
        <f t="shared" si="103"/>
        <v>7</v>
      </c>
    </row>
    <row r="824" spans="1:24" x14ac:dyDescent="0.3">
      <c r="A824">
        <v>6.7</v>
      </c>
      <c r="B824">
        <v>0.54</v>
      </c>
      <c r="C824">
        <v>0.13</v>
      </c>
      <c r="D824">
        <v>2</v>
      </c>
      <c r="E824">
        <v>7.5999999999999998E-2</v>
      </c>
      <c r="F824">
        <v>15</v>
      </c>
      <c r="G824">
        <v>36</v>
      </c>
      <c r="H824">
        <v>0.99729999999999996</v>
      </c>
      <c r="I824">
        <v>3.61</v>
      </c>
      <c r="J824">
        <v>0.64</v>
      </c>
      <c r="K824">
        <v>9.8000000000000007</v>
      </c>
      <c r="L824">
        <v>5</v>
      </c>
      <c r="M824" t="str">
        <f t="shared" si="96"/>
        <v>Medium</v>
      </c>
      <c r="N824">
        <f>(winequality_red[[#This Row],[Updated Quality &amp; Alcohol Analysis]]+winequality_red[[#This Row],[volatile acidity]]+winequality_red[[#This Row],[citric acid]])</f>
        <v>7.37</v>
      </c>
      <c r="O824">
        <f t="shared" si="97"/>
        <v>3.5265306122448978E-2</v>
      </c>
      <c r="S824" t="e">
        <f t="shared" si="98"/>
        <v>#N/A</v>
      </c>
      <c r="T824" t="e">
        <f t="shared" si="99"/>
        <v>#N/A</v>
      </c>
      <c r="U824">
        <f t="shared" si="100"/>
        <v>9.8000000000000007</v>
      </c>
      <c r="V824">
        <f t="shared" si="101"/>
        <v>5</v>
      </c>
      <c r="W824" t="e">
        <f t="shared" si="102"/>
        <v>#N/A</v>
      </c>
      <c r="X824" t="e">
        <f t="shared" si="103"/>
        <v>#N/A</v>
      </c>
    </row>
    <row r="825" spans="1:24" x14ac:dyDescent="0.3">
      <c r="A825">
        <v>6.7</v>
      </c>
      <c r="B825">
        <v>0.54</v>
      </c>
      <c r="C825">
        <v>0.13</v>
      </c>
      <c r="D825">
        <v>2</v>
      </c>
      <c r="E825">
        <v>7.5999999999999998E-2</v>
      </c>
      <c r="F825">
        <v>15</v>
      </c>
      <c r="G825">
        <v>36</v>
      </c>
      <c r="H825">
        <v>0.99729999999999996</v>
      </c>
      <c r="I825">
        <v>3.61</v>
      </c>
      <c r="J825">
        <v>0.64</v>
      </c>
      <c r="K825">
        <v>9.8000000000000007</v>
      </c>
      <c r="L825">
        <v>5</v>
      </c>
      <c r="M825" t="str">
        <f t="shared" si="96"/>
        <v>Medium</v>
      </c>
      <c r="N825">
        <f>(winequality_red[[#This Row],[Updated Quality &amp; Alcohol Analysis]]+winequality_red[[#This Row],[volatile acidity]]+winequality_red[[#This Row],[citric acid]])</f>
        <v>7.37</v>
      </c>
      <c r="O825">
        <f t="shared" si="97"/>
        <v>3.5265306122448978E-2</v>
      </c>
      <c r="S825" t="e">
        <f t="shared" si="98"/>
        <v>#N/A</v>
      </c>
      <c r="T825" t="e">
        <f t="shared" si="99"/>
        <v>#N/A</v>
      </c>
      <c r="U825">
        <f t="shared" si="100"/>
        <v>9.8000000000000007</v>
      </c>
      <c r="V825">
        <f t="shared" si="101"/>
        <v>5</v>
      </c>
      <c r="W825" t="e">
        <f t="shared" si="102"/>
        <v>#N/A</v>
      </c>
      <c r="X825" t="e">
        <f t="shared" si="103"/>
        <v>#N/A</v>
      </c>
    </row>
    <row r="826" spans="1:24" x14ac:dyDescent="0.3">
      <c r="A826">
        <v>7.1</v>
      </c>
      <c r="B826">
        <v>0.48</v>
      </c>
      <c r="C826">
        <v>0.28000000000000003</v>
      </c>
      <c r="D826">
        <v>2.8</v>
      </c>
      <c r="E826">
        <v>6.8000000000000005E-2</v>
      </c>
      <c r="F826">
        <v>6</v>
      </c>
      <c r="G826">
        <v>16</v>
      </c>
      <c r="H826">
        <v>0.99682000000000004</v>
      </c>
      <c r="I826">
        <v>3.24</v>
      </c>
      <c r="J826">
        <v>0.53</v>
      </c>
      <c r="K826">
        <v>10.3</v>
      </c>
      <c r="L826">
        <v>5</v>
      </c>
      <c r="M826" t="str">
        <f t="shared" si="96"/>
        <v>Medium</v>
      </c>
      <c r="N826">
        <f>(winequality_red[[#This Row],[Updated Quality &amp; Alcohol Analysis]]+winequality_red[[#This Row],[volatile acidity]]+winequality_red[[#This Row],[citric acid]])</f>
        <v>7.86</v>
      </c>
      <c r="O826">
        <f t="shared" si="97"/>
        <v>2.4699029126213592E-2</v>
      </c>
      <c r="S826" t="e">
        <f t="shared" si="98"/>
        <v>#N/A</v>
      </c>
      <c r="T826" t="e">
        <f t="shared" si="99"/>
        <v>#N/A</v>
      </c>
      <c r="U826">
        <f t="shared" si="100"/>
        <v>10.3</v>
      </c>
      <c r="V826">
        <f t="shared" si="101"/>
        <v>5</v>
      </c>
      <c r="W826" t="e">
        <f t="shared" si="102"/>
        <v>#N/A</v>
      </c>
      <c r="X826" t="e">
        <f t="shared" si="103"/>
        <v>#N/A</v>
      </c>
    </row>
    <row r="827" spans="1:24" x14ac:dyDescent="0.3">
      <c r="A827">
        <v>7.1</v>
      </c>
      <c r="B827">
        <v>0.46</v>
      </c>
      <c r="C827">
        <v>0.14000000000000001</v>
      </c>
      <c r="D827">
        <v>2.8</v>
      </c>
      <c r="E827">
        <v>7.5999999999999998E-2</v>
      </c>
      <c r="F827">
        <v>15</v>
      </c>
      <c r="G827">
        <v>37</v>
      </c>
      <c r="H827">
        <v>0.99624000000000001</v>
      </c>
      <c r="I827">
        <v>3.36</v>
      </c>
      <c r="J827">
        <v>0.49</v>
      </c>
      <c r="K827">
        <v>10.7</v>
      </c>
      <c r="L827">
        <v>5</v>
      </c>
      <c r="M827" t="str">
        <f t="shared" si="96"/>
        <v>Medium</v>
      </c>
      <c r="N827">
        <f>(winequality_red[[#This Row],[Updated Quality &amp; Alcohol Analysis]]+winequality_red[[#This Row],[volatile acidity]]+winequality_red[[#This Row],[citric acid]])</f>
        <v>7.6999999999999993</v>
      </c>
      <c r="O827">
        <f t="shared" si="97"/>
        <v>2.1065420560747665E-2</v>
      </c>
      <c r="S827" t="e">
        <f t="shared" si="98"/>
        <v>#N/A</v>
      </c>
      <c r="T827" t="e">
        <f t="shared" si="99"/>
        <v>#N/A</v>
      </c>
      <c r="U827">
        <f t="shared" si="100"/>
        <v>10.7</v>
      </c>
      <c r="V827">
        <f t="shared" si="101"/>
        <v>5</v>
      </c>
      <c r="W827" t="e">
        <f t="shared" si="102"/>
        <v>#N/A</v>
      </c>
      <c r="X827" t="e">
        <f t="shared" si="103"/>
        <v>#N/A</v>
      </c>
    </row>
    <row r="828" spans="1:24" x14ac:dyDescent="0.3">
      <c r="A828">
        <v>7.5</v>
      </c>
      <c r="B828">
        <v>0.27</v>
      </c>
      <c r="C828">
        <v>0.34</v>
      </c>
      <c r="D828">
        <v>2.2999999999999998</v>
      </c>
      <c r="E828">
        <v>0.05</v>
      </c>
      <c r="F828">
        <v>4</v>
      </c>
      <c r="G828">
        <v>8</v>
      </c>
      <c r="H828">
        <v>0.99509999999999998</v>
      </c>
      <c r="I828">
        <v>3.4</v>
      </c>
      <c r="J828">
        <v>0.64</v>
      </c>
      <c r="K828">
        <v>11</v>
      </c>
      <c r="L828">
        <v>7</v>
      </c>
      <c r="M828" t="str">
        <f t="shared" si="96"/>
        <v>High</v>
      </c>
      <c r="N828">
        <f>(winequality_red[[#This Row],[Updated Quality &amp; Alcohol Analysis]]+winequality_red[[#This Row],[volatile acidity]]+winequality_red[[#This Row],[citric acid]])</f>
        <v>8.11</v>
      </c>
      <c r="O828">
        <f t="shared" si="97"/>
        <v>1.5709090909090909E-2</v>
      </c>
      <c r="S828" t="e">
        <f t="shared" si="98"/>
        <v>#N/A</v>
      </c>
      <c r="T828" t="e">
        <f t="shared" si="99"/>
        <v>#N/A</v>
      </c>
      <c r="U828" t="e">
        <f t="shared" si="100"/>
        <v>#N/A</v>
      </c>
      <c r="V828" t="e">
        <f t="shared" si="101"/>
        <v>#N/A</v>
      </c>
      <c r="W828">
        <f t="shared" si="102"/>
        <v>11</v>
      </c>
      <c r="X828">
        <f t="shared" si="103"/>
        <v>7</v>
      </c>
    </row>
    <row r="829" spans="1:24" x14ac:dyDescent="0.3">
      <c r="A829">
        <v>7.1</v>
      </c>
      <c r="B829">
        <v>0.46</v>
      </c>
      <c r="C829">
        <v>0.14000000000000001</v>
      </c>
      <c r="D829">
        <v>2.8</v>
      </c>
      <c r="E829">
        <v>7.5999999999999998E-2</v>
      </c>
      <c r="F829">
        <v>15</v>
      </c>
      <c r="G829">
        <v>37</v>
      </c>
      <c r="H829">
        <v>0.99624000000000001</v>
      </c>
      <c r="I829">
        <v>3.36</v>
      </c>
      <c r="J829">
        <v>0.49</v>
      </c>
      <c r="K829">
        <v>10.7</v>
      </c>
      <c r="L829">
        <v>5</v>
      </c>
      <c r="M829" t="str">
        <f t="shared" si="96"/>
        <v>Medium</v>
      </c>
      <c r="N829">
        <f>(winequality_red[[#This Row],[Updated Quality &amp; Alcohol Analysis]]+winequality_red[[#This Row],[volatile acidity]]+winequality_red[[#This Row],[citric acid]])</f>
        <v>7.6999999999999993</v>
      </c>
      <c r="O829">
        <f t="shared" si="97"/>
        <v>2.1065420560747665E-2</v>
      </c>
      <c r="S829" t="e">
        <f t="shared" si="98"/>
        <v>#N/A</v>
      </c>
      <c r="T829" t="e">
        <f t="shared" si="99"/>
        <v>#N/A</v>
      </c>
      <c r="U829">
        <f t="shared" si="100"/>
        <v>10.7</v>
      </c>
      <c r="V829">
        <f t="shared" si="101"/>
        <v>5</v>
      </c>
      <c r="W829" t="e">
        <f t="shared" si="102"/>
        <v>#N/A</v>
      </c>
      <c r="X829" t="e">
        <f t="shared" si="103"/>
        <v>#N/A</v>
      </c>
    </row>
    <row r="830" spans="1:24" x14ac:dyDescent="0.3">
      <c r="A830">
        <v>7.8</v>
      </c>
      <c r="B830">
        <v>0.56999999999999995</v>
      </c>
      <c r="C830">
        <v>0.09</v>
      </c>
      <c r="D830">
        <v>2.2999999999999998</v>
      </c>
      <c r="E830">
        <v>6.5000000000000002E-2</v>
      </c>
      <c r="F830">
        <v>34</v>
      </c>
      <c r="G830">
        <v>45</v>
      </c>
      <c r="H830">
        <v>0.99417000000000011</v>
      </c>
      <c r="I830">
        <v>3.46</v>
      </c>
      <c r="J830">
        <v>0.74</v>
      </c>
      <c r="K830">
        <v>12.7</v>
      </c>
      <c r="L830">
        <v>8</v>
      </c>
      <c r="M830" t="str">
        <f t="shared" si="96"/>
        <v>High</v>
      </c>
      <c r="N830">
        <f>(winequality_red[[#This Row],[Updated Quality &amp; Alcohol Analysis]]+winequality_red[[#This Row],[volatile acidity]]+winequality_red[[#This Row],[citric acid]])</f>
        <v>8.4599999999999991</v>
      </c>
      <c r="O830">
        <f t="shared" si="97"/>
        <v>3.3212598425196846E-2</v>
      </c>
      <c r="S830" t="e">
        <f t="shared" si="98"/>
        <v>#N/A</v>
      </c>
      <c r="T830" t="e">
        <f t="shared" si="99"/>
        <v>#N/A</v>
      </c>
      <c r="U830" t="e">
        <f t="shared" si="100"/>
        <v>#N/A</v>
      </c>
      <c r="V830" t="e">
        <f t="shared" si="101"/>
        <v>#N/A</v>
      </c>
      <c r="W830">
        <f t="shared" si="102"/>
        <v>12.7</v>
      </c>
      <c r="X830">
        <f t="shared" si="103"/>
        <v>8</v>
      </c>
    </row>
    <row r="831" spans="1:24" x14ac:dyDescent="0.3">
      <c r="A831">
        <v>5.9</v>
      </c>
      <c r="B831">
        <v>0.61</v>
      </c>
      <c r="C831">
        <v>0.08</v>
      </c>
      <c r="D831">
        <v>2.1</v>
      </c>
      <c r="E831">
        <v>7.0999999999999994E-2</v>
      </c>
      <c r="F831">
        <v>16</v>
      </c>
      <c r="G831">
        <v>24</v>
      </c>
      <c r="H831">
        <v>0.99376000000000009</v>
      </c>
      <c r="I831">
        <v>3.56</v>
      </c>
      <c r="J831">
        <v>0.77</v>
      </c>
      <c r="K831">
        <v>11.1</v>
      </c>
      <c r="L831">
        <v>6</v>
      </c>
      <c r="M831" t="str">
        <f t="shared" si="96"/>
        <v>Medium</v>
      </c>
      <c r="N831">
        <f>(winequality_red[[#This Row],[Updated Quality &amp; Alcohol Analysis]]+winequality_red[[#This Row],[volatile acidity]]+winequality_red[[#This Row],[citric acid]])</f>
        <v>6.5900000000000007</v>
      </c>
      <c r="O831">
        <f t="shared" si="97"/>
        <v>4.2315315315315315E-2</v>
      </c>
      <c r="S831" t="e">
        <f t="shared" si="98"/>
        <v>#N/A</v>
      </c>
      <c r="T831" t="e">
        <f t="shared" si="99"/>
        <v>#N/A</v>
      </c>
      <c r="U831">
        <f t="shared" si="100"/>
        <v>11.1</v>
      </c>
      <c r="V831">
        <f t="shared" si="101"/>
        <v>6</v>
      </c>
      <c r="W831" t="e">
        <f t="shared" si="102"/>
        <v>#N/A</v>
      </c>
      <c r="X831" t="e">
        <f t="shared" si="103"/>
        <v>#N/A</v>
      </c>
    </row>
    <row r="832" spans="1:24" x14ac:dyDescent="0.3">
      <c r="A832">
        <v>7.5</v>
      </c>
      <c r="B832">
        <v>0.68500000000000005</v>
      </c>
      <c r="C832">
        <v>7.0000000000000007E-2</v>
      </c>
      <c r="D832">
        <v>2.5</v>
      </c>
      <c r="E832">
        <v>5.7999999999999996E-2</v>
      </c>
      <c r="F832">
        <v>5</v>
      </c>
      <c r="G832">
        <v>9</v>
      </c>
      <c r="H832">
        <v>0.99632000000000009</v>
      </c>
      <c r="I832">
        <v>3.38</v>
      </c>
      <c r="J832">
        <v>0.55000000000000004</v>
      </c>
      <c r="K832">
        <v>10.9</v>
      </c>
      <c r="L832">
        <v>4</v>
      </c>
      <c r="M832" t="str">
        <f t="shared" si="96"/>
        <v>Low</v>
      </c>
      <c r="N832">
        <f>(winequality_red[[#This Row],[Updated Quality &amp; Alcohol Analysis]]+winequality_red[[#This Row],[volatile acidity]]+winequality_red[[#This Row],[citric acid]])</f>
        <v>8.2550000000000008</v>
      </c>
      <c r="O832">
        <f t="shared" si="97"/>
        <v>3.4564220183486247E-2</v>
      </c>
      <c r="S832">
        <f t="shared" si="98"/>
        <v>10.9</v>
      </c>
      <c r="T832">
        <f t="shared" si="99"/>
        <v>4</v>
      </c>
      <c r="U832" t="e">
        <f t="shared" si="100"/>
        <v>#N/A</v>
      </c>
      <c r="V832" t="e">
        <f t="shared" si="101"/>
        <v>#N/A</v>
      </c>
      <c r="W832" t="e">
        <f t="shared" si="102"/>
        <v>#N/A</v>
      </c>
      <c r="X832" t="e">
        <f t="shared" si="103"/>
        <v>#N/A</v>
      </c>
    </row>
    <row r="833" spans="1:24" x14ac:dyDescent="0.3">
      <c r="A833">
        <v>5.9</v>
      </c>
      <c r="B833">
        <v>0.61</v>
      </c>
      <c r="C833">
        <v>0.08</v>
      </c>
      <c r="D833">
        <v>2.1</v>
      </c>
      <c r="E833">
        <v>7.0999999999999994E-2</v>
      </c>
      <c r="F833">
        <v>16</v>
      </c>
      <c r="G833">
        <v>24</v>
      </c>
      <c r="H833">
        <v>0.99376000000000009</v>
      </c>
      <c r="I833">
        <v>3.56</v>
      </c>
      <c r="J833">
        <v>0.77</v>
      </c>
      <c r="K833">
        <v>11.1</v>
      </c>
      <c r="L833">
        <v>6</v>
      </c>
      <c r="M833" t="str">
        <f t="shared" si="96"/>
        <v>Medium</v>
      </c>
      <c r="N833">
        <f>(winequality_red[[#This Row],[Updated Quality &amp; Alcohol Analysis]]+winequality_red[[#This Row],[volatile acidity]]+winequality_red[[#This Row],[citric acid]])</f>
        <v>6.5900000000000007</v>
      </c>
      <c r="O833">
        <f t="shared" si="97"/>
        <v>4.2315315315315315E-2</v>
      </c>
      <c r="S833" t="e">
        <f t="shared" si="98"/>
        <v>#N/A</v>
      </c>
      <c r="T833" t="e">
        <f t="shared" si="99"/>
        <v>#N/A</v>
      </c>
      <c r="U833">
        <f t="shared" si="100"/>
        <v>11.1</v>
      </c>
      <c r="V833">
        <f t="shared" si="101"/>
        <v>6</v>
      </c>
      <c r="W833" t="e">
        <f t="shared" si="102"/>
        <v>#N/A</v>
      </c>
      <c r="X833" t="e">
        <f t="shared" si="103"/>
        <v>#N/A</v>
      </c>
    </row>
    <row r="834" spans="1:24" x14ac:dyDescent="0.3">
      <c r="A834">
        <v>10.4</v>
      </c>
      <c r="B834">
        <v>0.44</v>
      </c>
      <c r="C834">
        <v>0.42</v>
      </c>
      <c r="D834">
        <v>1.5</v>
      </c>
      <c r="E834">
        <v>0.14499999999999999</v>
      </c>
      <c r="F834">
        <v>34</v>
      </c>
      <c r="G834">
        <v>48</v>
      </c>
      <c r="H834">
        <v>0.9983200000000001</v>
      </c>
      <c r="I834">
        <v>3.38</v>
      </c>
      <c r="J834">
        <v>0.86</v>
      </c>
      <c r="K834">
        <v>9.9</v>
      </c>
      <c r="L834">
        <v>3</v>
      </c>
      <c r="M834" t="str">
        <f t="shared" ref="M834:M897" si="104">IF($L834&gt;=7,"High",IF($L834&gt;=5,"Medium","Low"))</f>
        <v>Low</v>
      </c>
      <c r="N834">
        <f>(winequality_red[[#This Row],[Updated Quality &amp; Alcohol Analysis]]+winequality_red[[#This Row],[volatile acidity]]+winequality_red[[#This Row],[citric acid]])</f>
        <v>11.26</v>
      </c>
      <c r="O834">
        <f t="shared" ref="O834:O897" si="105">($B834*$J834)/$K834</f>
        <v>3.822222222222222E-2</v>
      </c>
      <c r="S834">
        <f t="shared" si="98"/>
        <v>9.9</v>
      </c>
      <c r="T834">
        <f t="shared" si="99"/>
        <v>3</v>
      </c>
      <c r="U834" t="e">
        <f t="shared" si="100"/>
        <v>#N/A</v>
      </c>
      <c r="V834" t="e">
        <f t="shared" si="101"/>
        <v>#N/A</v>
      </c>
      <c r="W834" t="e">
        <f t="shared" si="102"/>
        <v>#N/A</v>
      </c>
      <c r="X834" t="e">
        <f t="shared" si="103"/>
        <v>#N/A</v>
      </c>
    </row>
    <row r="835" spans="1:24" x14ac:dyDescent="0.3">
      <c r="A835">
        <v>11.6</v>
      </c>
      <c r="B835">
        <v>0.47</v>
      </c>
      <c r="C835">
        <v>0.44</v>
      </c>
      <c r="D835">
        <v>1.6</v>
      </c>
      <c r="E835">
        <v>0.14699999999999999</v>
      </c>
      <c r="F835">
        <v>36</v>
      </c>
      <c r="G835">
        <v>51</v>
      </c>
      <c r="H835">
        <v>0.99836000000000003</v>
      </c>
      <c r="I835">
        <v>3.38</v>
      </c>
      <c r="J835">
        <v>0.86</v>
      </c>
      <c r="K835">
        <v>9.9</v>
      </c>
      <c r="L835">
        <v>4</v>
      </c>
      <c r="M835" t="str">
        <f t="shared" si="104"/>
        <v>Low</v>
      </c>
      <c r="N835">
        <f>(winequality_red[[#This Row],[Updated Quality &amp; Alcohol Analysis]]+winequality_red[[#This Row],[volatile acidity]]+winequality_red[[#This Row],[citric acid]])</f>
        <v>12.51</v>
      </c>
      <c r="O835">
        <f t="shared" si="105"/>
        <v>4.0828282828282825E-2</v>
      </c>
      <c r="S835">
        <f t="shared" ref="S835:S898" si="106">IF($M835="Low",$K835,NA())</f>
        <v>9.9</v>
      </c>
      <c r="T835">
        <f t="shared" ref="T835:T898" si="107">IF($M835="Low",$L835,NA())</f>
        <v>4</v>
      </c>
      <c r="U835" t="e">
        <f t="shared" ref="U835:U898" si="108">IF($M835="Medium",$K835,NA())</f>
        <v>#N/A</v>
      </c>
      <c r="V835" t="e">
        <f t="shared" ref="V835:V898" si="109">IF($M835="Medium",$L835,NA())</f>
        <v>#N/A</v>
      </c>
      <c r="W835" t="e">
        <f t="shared" ref="W835:W898" si="110">IF($M835="High",$K835,NA())</f>
        <v>#N/A</v>
      </c>
      <c r="X835" t="e">
        <f t="shared" ref="X835:X898" si="111">IF($M835="High",$L835,NA())</f>
        <v>#N/A</v>
      </c>
    </row>
    <row r="836" spans="1:24" x14ac:dyDescent="0.3">
      <c r="A836">
        <v>8.8000000000000007</v>
      </c>
      <c r="B836">
        <v>0.68500000000000005</v>
      </c>
      <c r="C836">
        <v>0.26</v>
      </c>
      <c r="D836">
        <v>1.6</v>
      </c>
      <c r="E836">
        <v>8.8000000000000009E-2</v>
      </c>
      <c r="F836">
        <v>16</v>
      </c>
      <c r="G836">
        <v>23</v>
      </c>
      <c r="H836">
        <v>0.99693999999999994</v>
      </c>
      <c r="I836">
        <v>3.32</v>
      </c>
      <c r="J836">
        <v>0.47</v>
      </c>
      <c r="K836">
        <v>9.4</v>
      </c>
      <c r="L836">
        <v>5</v>
      </c>
      <c r="M836" t="str">
        <f t="shared" si="104"/>
        <v>Medium</v>
      </c>
      <c r="N836">
        <f>(winequality_red[[#This Row],[Updated Quality &amp; Alcohol Analysis]]+winequality_red[[#This Row],[volatile acidity]]+winequality_red[[#This Row],[citric acid]])</f>
        <v>9.745000000000001</v>
      </c>
      <c r="O836">
        <f t="shared" si="105"/>
        <v>3.4250000000000003E-2</v>
      </c>
      <c r="S836" t="e">
        <f t="shared" si="106"/>
        <v>#N/A</v>
      </c>
      <c r="T836" t="e">
        <f t="shared" si="107"/>
        <v>#N/A</v>
      </c>
      <c r="U836">
        <f t="shared" si="108"/>
        <v>9.4</v>
      </c>
      <c r="V836">
        <f t="shared" si="109"/>
        <v>5</v>
      </c>
      <c r="W836" t="e">
        <f t="shared" si="110"/>
        <v>#N/A</v>
      </c>
      <c r="X836" t="e">
        <f t="shared" si="111"/>
        <v>#N/A</v>
      </c>
    </row>
    <row r="837" spans="1:24" x14ac:dyDescent="0.3">
      <c r="A837">
        <v>7.6</v>
      </c>
      <c r="B837">
        <v>0.66500000000000004</v>
      </c>
      <c r="C837">
        <v>0.1</v>
      </c>
      <c r="D837">
        <v>1.5</v>
      </c>
      <c r="E837">
        <v>6.6000000000000003E-2</v>
      </c>
      <c r="F837">
        <v>27</v>
      </c>
      <c r="G837">
        <v>55</v>
      </c>
      <c r="H837">
        <v>0.99655000000000005</v>
      </c>
      <c r="I837">
        <v>3.39</v>
      </c>
      <c r="J837">
        <v>0.51</v>
      </c>
      <c r="K837">
        <v>9.3000000000000007</v>
      </c>
      <c r="L837">
        <v>5</v>
      </c>
      <c r="M837" t="str">
        <f t="shared" si="104"/>
        <v>Medium</v>
      </c>
      <c r="N837">
        <f>(winequality_red[[#This Row],[Updated Quality &amp; Alcohol Analysis]]+winequality_red[[#This Row],[volatile acidity]]+winequality_red[[#This Row],[citric acid]])</f>
        <v>8.3650000000000002</v>
      </c>
      <c r="O837">
        <f t="shared" si="105"/>
        <v>3.6467741935483869E-2</v>
      </c>
      <c r="S837" t="e">
        <f t="shared" si="106"/>
        <v>#N/A</v>
      </c>
      <c r="T837" t="e">
        <f t="shared" si="107"/>
        <v>#N/A</v>
      </c>
      <c r="U837">
        <f t="shared" si="108"/>
        <v>9.3000000000000007</v>
      </c>
      <c r="V837">
        <f t="shared" si="109"/>
        <v>5</v>
      </c>
      <c r="W837" t="e">
        <f t="shared" si="110"/>
        <v>#N/A</v>
      </c>
      <c r="X837" t="e">
        <f t="shared" si="111"/>
        <v>#N/A</v>
      </c>
    </row>
    <row r="838" spans="1:24" x14ac:dyDescent="0.3">
      <c r="A838">
        <v>6.7</v>
      </c>
      <c r="B838">
        <v>0.28000000000000003</v>
      </c>
      <c r="C838">
        <v>0.28000000000000003</v>
      </c>
      <c r="D838">
        <v>2.4</v>
      </c>
      <c r="E838">
        <v>1.2E-2</v>
      </c>
      <c r="F838">
        <v>36</v>
      </c>
      <c r="G838">
        <v>100</v>
      </c>
      <c r="H838">
        <v>0.99063999999999997</v>
      </c>
      <c r="I838">
        <v>3.26</v>
      </c>
      <c r="J838">
        <v>0.39</v>
      </c>
      <c r="K838">
        <v>11.7</v>
      </c>
      <c r="L838">
        <v>7</v>
      </c>
      <c r="M838" t="str">
        <f t="shared" si="104"/>
        <v>High</v>
      </c>
      <c r="N838">
        <f>(winequality_red[[#This Row],[Updated Quality &amp; Alcohol Analysis]]+winequality_red[[#This Row],[volatile acidity]]+winequality_red[[#This Row],[citric acid]])</f>
        <v>7.2600000000000007</v>
      </c>
      <c r="O838">
        <f t="shared" si="105"/>
        <v>9.3333333333333358E-3</v>
      </c>
      <c r="S838" t="e">
        <f t="shared" si="106"/>
        <v>#N/A</v>
      </c>
      <c r="T838" t="e">
        <f t="shared" si="107"/>
        <v>#N/A</v>
      </c>
      <c r="U838" t="e">
        <f t="shared" si="108"/>
        <v>#N/A</v>
      </c>
      <c r="V838" t="e">
        <f t="shared" si="109"/>
        <v>#N/A</v>
      </c>
      <c r="W838">
        <f t="shared" si="110"/>
        <v>11.7</v>
      </c>
      <c r="X838">
        <f t="shared" si="111"/>
        <v>7</v>
      </c>
    </row>
    <row r="839" spans="1:24" x14ac:dyDescent="0.3">
      <c r="A839">
        <v>6.7</v>
      </c>
      <c r="B839">
        <v>0.28000000000000003</v>
      </c>
      <c r="C839">
        <v>0.28000000000000003</v>
      </c>
      <c r="D839">
        <v>2.4</v>
      </c>
      <c r="E839">
        <v>1.2E-2</v>
      </c>
      <c r="F839">
        <v>36</v>
      </c>
      <c r="G839">
        <v>100</v>
      </c>
      <c r="H839">
        <v>0.99063999999999997</v>
      </c>
      <c r="I839">
        <v>3.26</v>
      </c>
      <c r="J839">
        <v>0.39</v>
      </c>
      <c r="K839">
        <v>11.7</v>
      </c>
      <c r="L839">
        <v>7</v>
      </c>
      <c r="M839" t="str">
        <f t="shared" si="104"/>
        <v>High</v>
      </c>
      <c r="N839">
        <f>(winequality_red[[#This Row],[Updated Quality &amp; Alcohol Analysis]]+winequality_red[[#This Row],[volatile acidity]]+winequality_red[[#This Row],[citric acid]])</f>
        <v>7.2600000000000007</v>
      </c>
      <c r="O839">
        <f t="shared" si="105"/>
        <v>9.3333333333333358E-3</v>
      </c>
      <c r="S839" t="e">
        <f t="shared" si="106"/>
        <v>#N/A</v>
      </c>
      <c r="T839" t="e">
        <f t="shared" si="107"/>
        <v>#N/A</v>
      </c>
      <c r="U839" t="e">
        <f t="shared" si="108"/>
        <v>#N/A</v>
      </c>
      <c r="V839" t="e">
        <f t="shared" si="109"/>
        <v>#N/A</v>
      </c>
      <c r="W839">
        <f t="shared" si="110"/>
        <v>11.7</v>
      </c>
      <c r="X839">
        <f t="shared" si="111"/>
        <v>7</v>
      </c>
    </row>
    <row r="840" spans="1:24" x14ac:dyDescent="0.3">
      <c r="A840">
        <v>10.1</v>
      </c>
      <c r="B840">
        <v>0.31</v>
      </c>
      <c r="C840">
        <v>0.35</v>
      </c>
      <c r="D840">
        <v>1.6</v>
      </c>
      <c r="E840">
        <v>7.4999999999999997E-2</v>
      </c>
      <c r="F840">
        <v>9</v>
      </c>
      <c r="G840">
        <v>28</v>
      </c>
      <c r="H840">
        <v>0.99672000000000005</v>
      </c>
      <c r="I840">
        <v>3.24</v>
      </c>
      <c r="J840">
        <v>0.83</v>
      </c>
      <c r="K840">
        <v>11.2</v>
      </c>
      <c r="L840">
        <v>7</v>
      </c>
      <c r="M840" t="str">
        <f t="shared" si="104"/>
        <v>High</v>
      </c>
      <c r="N840">
        <f>(winequality_red[[#This Row],[Updated Quality &amp; Alcohol Analysis]]+winequality_red[[#This Row],[volatile acidity]]+winequality_red[[#This Row],[citric acid]])</f>
        <v>10.76</v>
      </c>
      <c r="O840">
        <f t="shared" si="105"/>
        <v>2.2973214285714284E-2</v>
      </c>
      <c r="S840" t="e">
        <f t="shared" si="106"/>
        <v>#N/A</v>
      </c>
      <c r="T840" t="e">
        <f t="shared" si="107"/>
        <v>#N/A</v>
      </c>
      <c r="U840" t="e">
        <f t="shared" si="108"/>
        <v>#N/A</v>
      </c>
      <c r="V840" t="e">
        <f t="shared" si="109"/>
        <v>#N/A</v>
      </c>
      <c r="W840">
        <f t="shared" si="110"/>
        <v>11.2</v>
      </c>
      <c r="X840">
        <f t="shared" si="111"/>
        <v>7</v>
      </c>
    </row>
    <row r="841" spans="1:24" x14ac:dyDescent="0.3">
      <c r="A841">
        <v>6</v>
      </c>
      <c r="B841">
        <v>0.5</v>
      </c>
      <c r="C841">
        <v>0.04</v>
      </c>
      <c r="D841">
        <v>2.2000000000000002</v>
      </c>
      <c r="E841">
        <v>9.1999999999999998E-2</v>
      </c>
      <c r="F841">
        <v>13</v>
      </c>
      <c r="G841">
        <v>26</v>
      </c>
      <c r="H841">
        <v>0.99647000000000008</v>
      </c>
      <c r="I841">
        <v>3.46</v>
      </c>
      <c r="J841">
        <v>0.47</v>
      </c>
      <c r="K841">
        <v>10</v>
      </c>
      <c r="L841">
        <v>5</v>
      </c>
      <c r="M841" t="str">
        <f t="shared" si="104"/>
        <v>Medium</v>
      </c>
      <c r="N841">
        <f>(winequality_red[[#This Row],[Updated Quality &amp; Alcohol Analysis]]+winequality_red[[#This Row],[volatile acidity]]+winequality_red[[#This Row],[citric acid]])</f>
        <v>6.54</v>
      </c>
      <c r="O841">
        <f t="shared" si="105"/>
        <v>2.35E-2</v>
      </c>
      <c r="S841" t="e">
        <f t="shared" si="106"/>
        <v>#N/A</v>
      </c>
      <c r="T841" t="e">
        <f t="shared" si="107"/>
        <v>#N/A</v>
      </c>
      <c r="U841">
        <f t="shared" si="108"/>
        <v>10</v>
      </c>
      <c r="V841">
        <f t="shared" si="109"/>
        <v>5</v>
      </c>
      <c r="W841" t="e">
        <f t="shared" si="110"/>
        <v>#N/A</v>
      </c>
      <c r="X841" t="e">
        <f t="shared" si="111"/>
        <v>#N/A</v>
      </c>
    </row>
    <row r="842" spans="1:24" x14ac:dyDescent="0.3">
      <c r="A842">
        <v>11.1</v>
      </c>
      <c r="B842">
        <v>0.42</v>
      </c>
      <c r="C842">
        <v>0.47</v>
      </c>
      <c r="D842">
        <v>2.65</v>
      </c>
      <c r="E842">
        <v>8.5000000000000006E-2</v>
      </c>
      <c r="F842">
        <v>9</v>
      </c>
      <c r="G842">
        <v>34</v>
      </c>
      <c r="H842">
        <v>0.99736000000000002</v>
      </c>
      <c r="I842">
        <v>3.24</v>
      </c>
      <c r="J842">
        <v>0.77</v>
      </c>
      <c r="K842">
        <v>12.1</v>
      </c>
      <c r="L842">
        <v>7</v>
      </c>
      <c r="M842" t="str">
        <f t="shared" si="104"/>
        <v>High</v>
      </c>
      <c r="N842">
        <f>(winequality_red[[#This Row],[Updated Quality &amp; Alcohol Analysis]]+winequality_red[[#This Row],[volatile acidity]]+winequality_red[[#This Row],[citric acid]])</f>
        <v>11.99</v>
      </c>
      <c r="O842">
        <f t="shared" si="105"/>
        <v>2.6727272727272731E-2</v>
      </c>
      <c r="S842" t="e">
        <f t="shared" si="106"/>
        <v>#N/A</v>
      </c>
      <c r="T842" t="e">
        <f t="shared" si="107"/>
        <v>#N/A</v>
      </c>
      <c r="U842" t="e">
        <f t="shared" si="108"/>
        <v>#N/A</v>
      </c>
      <c r="V842" t="e">
        <f t="shared" si="109"/>
        <v>#N/A</v>
      </c>
      <c r="W842">
        <f t="shared" si="110"/>
        <v>12.1</v>
      </c>
      <c r="X842">
        <f t="shared" si="111"/>
        <v>7</v>
      </c>
    </row>
    <row r="843" spans="1:24" x14ac:dyDescent="0.3">
      <c r="A843">
        <v>6.6</v>
      </c>
      <c r="B843">
        <v>0.66</v>
      </c>
      <c r="C843">
        <v>0</v>
      </c>
      <c r="D843">
        <v>3</v>
      </c>
      <c r="E843">
        <v>0.115</v>
      </c>
      <c r="F843">
        <v>21</v>
      </c>
      <c r="G843">
        <v>31</v>
      </c>
      <c r="H843">
        <v>0.99629000000000001</v>
      </c>
      <c r="I843">
        <v>3.45</v>
      </c>
      <c r="J843">
        <v>0.63</v>
      </c>
      <c r="K843">
        <v>10.3</v>
      </c>
      <c r="L843">
        <v>5</v>
      </c>
      <c r="M843" t="str">
        <f t="shared" si="104"/>
        <v>Medium</v>
      </c>
      <c r="N843">
        <f>(winequality_red[[#This Row],[Updated Quality &amp; Alcohol Analysis]]+winequality_red[[#This Row],[volatile acidity]]+winequality_red[[#This Row],[citric acid]])</f>
        <v>7.26</v>
      </c>
      <c r="O843">
        <f t="shared" si="105"/>
        <v>4.0368932038834952E-2</v>
      </c>
      <c r="S843" t="e">
        <f t="shared" si="106"/>
        <v>#N/A</v>
      </c>
      <c r="T843" t="e">
        <f t="shared" si="107"/>
        <v>#N/A</v>
      </c>
      <c r="U843">
        <f t="shared" si="108"/>
        <v>10.3</v>
      </c>
      <c r="V843">
        <f t="shared" si="109"/>
        <v>5</v>
      </c>
      <c r="W843" t="e">
        <f t="shared" si="110"/>
        <v>#N/A</v>
      </c>
      <c r="X843" t="e">
        <f t="shared" si="111"/>
        <v>#N/A</v>
      </c>
    </row>
    <row r="844" spans="1:24" x14ac:dyDescent="0.3">
      <c r="A844">
        <v>10.6</v>
      </c>
      <c r="B844">
        <v>0.5</v>
      </c>
      <c r="C844">
        <v>0.45</v>
      </c>
      <c r="D844">
        <v>2.6</v>
      </c>
      <c r="E844">
        <v>0.11900000000000001</v>
      </c>
      <c r="F844">
        <v>34</v>
      </c>
      <c r="G844">
        <v>68</v>
      </c>
      <c r="H844">
        <v>0.99707999999999997</v>
      </c>
      <c r="I844">
        <v>3.23</v>
      </c>
      <c r="J844">
        <v>0.72</v>
      </c>
      <c r="K844">
        <v>10.9</v>
      </c>
      <c r="L844">
        <v>6</v>
      </c>
      <c r="M844" t="str">
        <f t="shared" si="104"/>
        <v>Medium</v>
      </c>
      <c r="N844">
        <f>(winequality_red[[#This Row],[Updated Quality &amp; Alcohol Analysis]]+winequality_red[[#This Row],[volatile acidity]]+winequality_red[[#This Row],[citric acid]])</f>
        <v>11.549999999999999</v>
      </c>
      <c r="O844">
        <f t="shared" si="105"/>
        <v>3.3027522935779811E-2</v>
      </c>
      <c r="S844" t="e">
        <f t="shared" si="106"/>
        <v>#N/A</v>
      </c>
      <c r="T844" t="e">
        <f t="shared" si="107"/>
        <v>#N/A</v>
      </c>
      <c r="U844">
        <f t="shared" si="108"/>
        <v>10.9</v>
      </c>
      <c r="V844">
        <f t="shared" si="109"/>
        <v>6</v>
      </c>
      <c r="W844" t="e">
        <f t="shared" si="110"/>
        <v>#N/A</v>
      </c>
      <c r="X844" t="e">
        <f t="shared" si="111"/>
        <v>#N/A</v>
      </c>
    </row>
    <row r="845" spans="1:24" x14ac:dyDescent="0.3">
      <c r="A845">
        <v>7.1</v>
      </c>
      <c r="B845">
        <v>0.68500000000000005</v>
      </c>
      <c r="C845">
        <v>0.35</v>
      </c>
      <c r="D845">
        <v>2</v>
      </c>
      <c r="E845">
        <v>8.8000000000000009E-2</v>
      </c>
      <c r="F845">
        <v>9</v>
      </c>
      <c r="G845">
        <v>92</v>
      </c>
      <c r="H845">
        <v>0.99629999999999996</v>
      </c>
      <c r="I845">
        <v>3.28</v>
      </c>
      <c r="J845">
        <v>0.62</v>
      </c>
      <c r="K845">
        <v>9.4</v>
      </c>
      <c r="L845">
        <v>5</v>
      </c>
      <c r="M845" t="str">
        <f t="shared" si="104"/>
        <v>Medium</v>
      </c>
      <c r="N845">
        <f>(winequality_red[[#This Row],[Updated Quality &amp; Alcohol Analysis]]+winequality_red[[#This Row],[volatile acidity]]+winequality_red[[#This Row],[citric acid]])</f>
        <v>8.1349999999999998</v>
      </c>
      <c r="O845">
        <f t="shared" si="105"/>
        <v>4.518085106382979E-2</v>
      </c>
      <c r="S845" t="e">
        <f t="shared" si="106"/>
        <v>#N/A</v>
      </c>
      <c r="T845" t="e">
        <f t="shared" si="107"/>
        <v>#N/A</v>
      </c>
      <c r="U845">
        <f t="shared" si="108"/>
        <v>9.4</v>
      </c>
      <c r="V845">
        <f t="shared" si="109"/>
        <v>5</v>
      </c>
      <c r="W845" t="e">
        <f t="shared" si="110"/>
        <v>#N/A</v>
      </c>
      <c r="X845" t="e">
        <f t="shared" si="111"/>
        <v>#N/A</v>
      </c>
    </row>
    <row r="846" spans="1:24" x14ac:dyDescent="0.3">
      <c r="A846">
        <v>9.9</v>
      </c>
      <c r="B846">
        <v>0.25</v>
      </c>
      <c r="C846">
        <v>0.46</v>
      </c>
      <c r="D846">
        <v>1.7</v>
      </c>
      <c r="E846">
        <v>6.2E-2</v>
      </c>
      <c r="F846">
        <v>26</v>
      </c>
      <c r="G846">
        <v>42</v>
      </c>
      <c r="H846">
        <v>0.99590000000000001</v>
      </c>
      <c r="I846">
        <v>3.18</v>
      </c>
      <c r="J846">
        <v>0.83</v>
      </c>
      <c r="K846">
        <v>10.6</v>
      </c>
      <c r="L846">
        <v>6</v>
      </c>
      <c r="M846" t="str">
        <f t="shared" si="104"/>
        <v>Medium</v>
      </c>
      <c r="N846">
        <f>(winequality_red[[#This Row],[Updated Quality &amp; Alcohol Analysis]]+winequality_red[[#This Row],[volatile acidity]]+winequality_red[[#This Row],[citric acid]])</f>
        <v>10.610000000000001</v>
      </c>
      <c r="O846">
        <f t="shared" si="105"/>
        <v>1.9575471698113207E-2</v>
      </c>
      <c r="S846" t="e">
        <f t="shared" si="106"/>
        <v>#N/A</v>
      </c>
      <c r="T846" t="e">
        <f t="shared" si="107"/>
        <v>#N/A</v>
      </c>
      <c r="U846">
        <f t="shared" si="108"/>
        <v>10.6</v>
      </c>
      <c r="V846">
        <f t="shared" si="109"/>
        <v>6</v>
      </c>
      <c r="W846" t="e">
        <f t="shared" si="110"/>
        <v>#N/A</v>
      </c>
      <c r="X846" t="e">
        <f t="shared" si="111"/>
        <v>#N/A</v>
      </c>
    </row>
    <row r="847" spans="1:24" x14ac:dyDescent="0.3">
      <c r="A847">
        <v>6.4</v>
      </c>
      <c r="B847">
        <v>0.64</v>
      </c>
      <c r="C847">
        <v>0.21</v>
      </c>
      <c r="D847">
        <v>1.8</v>
      </c>
      <c r="E847">
        <v>8.1000000000000003E-2</v>
      </c>
      <c r="F847">
        <v>14</v>
      </c>
      <c r="G847">
        <v>31</v>
      </c>
      <c r="H847">
        <v>0.99688999999999994</v>
      </c>
      <c r="I847">
        <v>3.59</v>
      </c>
      <c r="J847">
        <v>0.66</v>
      </c>
      <c r="K847">
        <v>9.8000000000000007</v>
      </c>
      <c r="L847">
        <v>5</v>
      </c>
      <c r="M847" t="str">
        <f t="shared" si="104"/>
        <v>Medium</v>
      </c>
      <c r="N847">
        <f>(winequality_red[[#This Row],[Updated Quality &amp; Alcohol Analysis]]+winequality_red[[#This Row],[volatile acidity]]+winequality_red[[#This Row],[citric acid]])</f>
        <v>7.25</v>
      </c>
      <c r="O847">
        <f t="shared" si="105"/>
        <v>4.3102040816326535E-2</v>
      </c>
      <c r="S847" t="e">
        <f t="shared" si="106"/>
        <v>#N/A</v>
      </c>
      <c r="T847" t="e">
        <f t="shared" si="107"/>
        <v>#N/A</v>
      </c>
      <c r="U847">
        <f t="shared" si="108"/>
        <v>9.8000000000000007</v>
      </c>
      <c r="V847">
        <f t="shared" si="109"/>
        <v>5</v>
      </c>
      <c r="W847" t="e">
        <f t="shared" si="110"/>
        <v>#N/A</v>
      </c>
      <c r="X847" t="e">
        <f t="shared" si="111"/>
        <v>#N/A</v>
      </c>
    </row>
    <row r="848" spans="1:24" x14ac:dyDescent="0.3">
      <c r="A848">
        <v>6.4</v>
      </c>
      <c r="B848">
        <v>0.64</v>
      </c>
      <c r="C848">
        <v>0.21</v>
      </c>
      <c r="D848">
        <v>1.8</v>
      </c>
      <c r="E848">
        <v>8.1000000000000003E-2</v>
      </c>
      <c r="F848">
        <v>14</v>
      </c>
      <c r="G848">
        <v>31</v>
      </c>
      <c r="H848">
        <v>0.99688999999999994</v>
      </c>
      <c r="I848">
        <v>3.59</v>
      </c>
      <c r="J848">
        <v>0.66</v>
      </c>
      <c r="K848">
        <v>9.8000000000000007</v>
      </c>
      <c r="L848">
        <v>5</v>
      </c>
      <c r="M848" t="str">
        <f t="shared" si="104"/>
        <v>Medium</v>
      </c>
      <c r="N848">
        <f>(winequality_red[[#This Row],[Updated Quality &amp; Alcohol Analysis]]+winequality_red[[#This Row],[volatile acidity]]+winequality_red[[#This Row],[citric acid]])</f>
        <v>7.25</v>
      </c>
      <c r="O848">
        <f t="shared" si="105"/>
        <v>4.3102040816326535E-2</v>
      </c>
      <c r="S848" t="e">
        <f t="shared" si="106"/>
        <v>#N/A</v>
      </c>
      <c r="T848" t="e">
        <f t="shared" si="107"/>
        <v>#N/A</v>
      </c>
      <c r="U848">
        <f t="shared" si="108"/>
        <v>9.8000000000000007</v>
      </c>
      <c r="V848">
        <f t="shared" si="109"/>
        <v>5</v>
      </c>
      <c r="W848" t="e">
        <f t="shared" si="110"/>
        <v>#N/A</v>
      </c>
      <c r="X848" t="e">
        <f t="shared" si="111"/>
        <v>#N/A</v>
      </c>
    </row>
    <row r="849" spans="1:24" x14ac:dyDescent="0.3">
      <c r="A849">
        <v>7.4</v>
      </c>
      <c r="B849">
        <v>0.68</v>
      </c>
      <c r="C849">
        <v>0.16</v>
      </c>
      <c r="D849">
        <v>1.8</v>
      </c>
      <c r="E849">
        <v>7.8E-2</v>
      </c>
      <c r="F849">
        <v>12</v>
      </c>
      <c r="G849">
        <v>39</v>
      </c>
      <c r="H849">
        <v>0.99770000000000003</v>
      </c>
      <c r="I849">
        <v>3.5</v>
      </c>
      <c r="J849">
        <v>0.7</v>
      </c>
      <c r="K849">
        <v>9.9</v>
      </c>
      <c r="L849">
        <v>6</v>
      </c>
      <c r="M849" t="str">
        <f t="shared" si="104"/>
        <v>Medium</v>
      </c>
      <c r="N849">
        <f>(winequality_red[[#This Row],[Updated Quality &amp; Alcohol Analysis]]+winequality_red[[#This Row],[volatile acidity]]+winequality_red[[#This Row],[citric acid]])</f>
        <v>8.24</v>
      </c>
      <c r="O849">
        <f t="shared" si="105"/>
        <v>4.8080808080808078E-2</v>
      </c>
      <c r="S849" t="e">
        <f t="shared" si="106"/>
        <v>#N/A</v>
      </c>
      <c r="T849" t="e">
        <f t="shared" si="107"/>
        <v>#N/A</v>
      </c>
      <c r="U849">
        <f t="shared" si="108"/>
        <v>9.9</v>
      </c>
      <c r="V849">
        <f t="shared" si="109"/>
        <v>6</v>
      </c>
      <c r="W849" t="e">
        <f t="shared" si="110"/>
        <v>#N/A</v>
      </c>
      <c r="X849" t="e">
        <f t="shared" si="111"/>
        <v>#N/A</v>
      </c>
    </row>
    <row r="850" spans="1:24" x14ac:dyDescent="0.3">
      <c r="A850">
        <v>6.4</v>
      </c>
      <c r="B850">
        <v>0.64</v>
      </c>
      <c r="C850">
        <v>0.21</v>
      </c>
      <c r="D850">
        <v>1.8</v>
      </c>
      <c r="E850">
        <v>8.1000000000000003E-2</v>
      </c>
      <c r="F850">
        <v>14</v>
      </c>
      <c r="G850">
        <v>31</v>
      </c>
      <c r="H850">
        <v>0.99688999999999994</v>
      </c>
      <c r="I850">
        <v>3.59</v>
      </c>
      <c r="J850">
        <v>0.66</v>
      </c>
      <c r="K850">
        <v>9.8000000000000007</v>
      </c>
      <c r="L850">
        <v>5</v>
      </c>
      <c r="M850" t="str">
        <f t="shared" si="104"/>
        <v>Medium</v>
      </c>
      <c r="N850">
        <f>(winequality_red[[#This Row],[Updated Quality &amp; Alcohol Analysis]]+winequality_red[[#This Row],[volatile acidity]]+winequality_red[[#This Row],[citric acid]])</f>
        <v>7.25</v>
      </c>
      <c r="O850">
        <f t="shared" si="105"/>
        <v>4.3102040816326535E-2</v>
      </c>
      <c r="S850" t="e">
        <f t="shared" si="106"/>
        <v>#N/A</v>
      </c>
      <c r="T850" t="e">
        <f t="shared" si="107"/>
        <v>#N/A</v>
      </c>
      <c r="U850">
        <f t="shared" si="108"/>
        <v>9.8000000000000007</v>
      </c>
      <c r="V850">
        <f t="shared" si="109"/>
        <v>5</v>
      </c>
      <c r="W850" t="e">
        <f t="shared" si="110"/>
        <v>#N/A</v>
      </c>
      <c r="X850" t="e">
        <f t="shared" si="111"/>
        <v>#N/A</v>
      </c>
    </row>
    <row r="851" spans="1:24" x14ac:dyDescent="0.3">
      <c r="A851">
        <v>6.4</v>
      </c>
      <c r="B851">
        <v>0.63</v>
      </c>
      <c r="C851">
        <v>0.21</v>
      </c>
      <c r="D851">
        <v>1.6</v>
      </c>
      <c r="E851">
        <v>0.08</v>
      </c>
      <c r="F851">
        <v>12</v>
      </c>
      <c r="G851">
        <v>32</v>
      </c>
      <c r="H851">
        <v>0.99688999999999994</v>
      </c>
      <c r="I851">
        <v>3.58</v>
      </c>
      <c r="J851">
        <v>0.66</v>
      </c>
      <c r="K851">
        <v>9.8000000000000007</v>
      </c>
      <c r="L851">
        <v>5</v>
      </c>
      <c r="M851" t="str">
        <f t="shared" si="104"/>
        <v>Medium</v>
      </c>
      <c r="N851">
        <f>(winequality_red[[#This Row],[Updated Quality &amp; Alcohol Analysis]]+winequality_red[[#This Row],[volatile acidity]]+winequality_red[[#This Row],[citric acid]])</f>
        <v>7.24</v>
      </c>
      <c r="O851">
        <f t="shared" si="105"/>
        <v>4.2428571428571427E-2</v>
      </c>
      <c r="S851" t="e">
        <f t="shared" si="106"/>
        <v>#N/A</v>
      </c>
      <c r="T851" t="e">
        <f t="shared" si="107"/>
        <v>#N/A</v>
      </c>
      <c r="U851">
        <f t="shared" si="108"/>
        <v>9.8000000000000007</v>
      </c>
      <c r="V851">
        <f t="shared" si="109"/>
        <v>5</v>
      </c>
      <c r="W851" t="e">
        <f t="shared" si="110"/>
        <v>#N/A</v>
      </c>
      <c r="X851" t="e">
        <f t="shared" si="111"/>
        <v>#N/A</v>
      </c>
    </row>
    <row r="852" spans="1:24" x14ac:dyDescent="0.3">
      <c r="A852">
        <v>9.3000000000000007</v>
      </c>
      <c r="B852">
        <v>0.43</v>
      </c>
      <c r="C852">
        <v>0.44</v>
      </c>
      <c r="D852">
        <v>1.9</v>
      </c>
      <c r="E852">
        <v>8.5000000000000006E-2</v>
      </c>
      <c r="F852">
        <v>9</v>
      </c>
      <c r="G852">
        <v>22</v>
      </c>
      <c r="H852">
        <v>0.99707999999999997</v>
      </c>
      <c r="I852">
        <v>3.28</v>
      </c>
      <c r="J852">
        <v>0.55000000000000004</v>
      </c>
      <c r="K852">
        <v>9.5</v>
      </c>
      <c r="L852">
        <v>5</v>
      </c>
      <c r="M852" t="str">
        <f t="shared" si="104"/>
        <v>Medium</v>
      </c>
      <c r="N852">
        <f>(winequality_red[[#This Row],[Updated Quality &amp; Alcohol Analysis]]+winequality_red[[#This Row],[volatile acidity]]+winequality_red[[#This Row],[citric acid]])</f>
        <v>10.17</v>
      </c>
      <c r="O852">
        <f t="shared" si="105"/>
        <v>2.4894736842105265E-2</v>
      </c>
      <c r="S852" t="e">
        <f t="shared" si="106"/>
        <v>#N/A</v>
      </c>
      <c r="T852" t="e">
        <f t="shared" si="107"/>
        <v>#N/A</v>
      </c>
      <c r="U852">
        <f t="shared" si="108"/>
        <v>9.5</v>
      </c>
      <c r="V852">
        <f t="shared" si="109"/>
        <v>5</v>
      </c>
      <c r="W852" t="e">
        <f t="shared" si="110"/>
        <v>#N/A</v>
      </c>
      <c r="X852" t="e">
        <f t="shared" si="111"/>
        <v>#N/A</v>
      </c>
    </row>
    <row r="853" spans="1:24" x14ac:dyDescent="0.3">
      <c r="A853">
        <v>9.3000000000000007</v>
      </c>
      <c r="B853">
        <v>0.43</v>
      </c>
      <c r="C853">
        <v>0.44</v>
      </c>
      <c r="D853">
        <v>1.9</v>
      </c>
      <c r="E853">
        <v>8.5000000000000006E-2</v>
      </c>
      <c r="F853">
        <v>9</v>
      </c>
      <c r="G853">
        <v>22</v>
      </c>
      <c r="H853">
        <v>0.99707999999999997</v>
      </c>
      <c r="I853">
        <v>3.28</v>
      </c>
      <c r="J853">
        <v>0.55000000000000004</v>
      </c>
      <c r="K853">
        <v>9.5</v>
      </c>
      <c r="L853">
        <v>5</v>
      </c>
      <c r="M853" t="str">
        <f t="shared" si="104"/>
        <v>Medium</v>
      </c>
      <c r="N853">
        <f>(winequality_red[[#This Row],[Updated Quality &amp; Alcohol Analysis]]+winequality_red[[#This Row],[volatile acidity]]+winequality_red[[#This Row],[citric acid]])</f>
        <v>10.17</v>
      </c>
      <c r="O853">
        <f t="shared" si="105"/>
        <v>2.4894736842105265E-2</v>
      </c>
      <c r="S853" t="e">
        <f t="shared" si="106"/>
        <v>#N/A</v>
      </c>
      <c r="T853" t="e">
        <f t="shared" si="107"/>
        <v>#N/A</v>
      </c>
      <c r="U853">
        <f t="shared" si="108"/>
        <v>9.5</v>
      </c>
      <c r="V853">
        <f t="shared" si="109"/>
        <v>5</v>
      </c>
      <c r="W853" t="e">
        <f t="shared" si="110"/>
        <v>#N/A</v>
      </c>
      <c r="X853" t="e">
        <f t="shared" si="111"/>
        <v>#N/A</v>
      </c>
    </row>
    <row r="854" spans="1:24" x14ac:dyDescent="0.3">
      <c r="A854">
        <v>8</v>
      </c>
      <c r="B854">
        <v>0.42</v>
      </c>
      <c r="C854">
        <v>0.32</v>
      </c>
      <c r="D854">
        <v>2.5</v>
      </c>
      <c r="E854">
        <v>0.08</v>
      </c>
      <c r="F854">
        <v>26</v>
      </c>
      <c r="G854">
        <v>122</v>
      </c>
      <c r="H854">
        <v>0.99801000000000006</v>
      </c>
      <c r="I854">
        <v>3.22</v>
      </c>
      <c r="J854">
        <v>1.07</v>
      </c>
      <c r="K854">
        <v>9.6999999999999993</v>
      </c>
      <c r="L854">
        <v>5</v>
      </c>
      <c r="M854" t="str">
        <f t="shared" si="104"/>
        <v>Medium</v>
      </c>
      <c r="N854">
        <f>(winequality_red[[#This Row],[Updated Quality &amp; Alcohol Analysis]]+winequality_red[[#This Row],[volatile acidity]]+winequality_red[[#This Row],[citric acid]])</f>
        <v>8.74</v>
      </c>
      <c r="O854">
        <f t="shared" si="105"/>
        <v>4.6329896907216499E-2</v>
      </c>
      <c r="S854" t="e">
        <f t="shared" si="106"/>
        <v>#N/A</v>
      </c>
      <c r="T854" t="e">
        <f t="shared" si="107"/>
        <v>#N/A</v>
      </c>
      <c r="U854">
        <f t="shared" si="108"/>
        <v>9.6999999999999993</v>
      </c>
      <c r="V854">
        <f t="shared" si="109"/>
        <v>5</v>
      </c>
      <c r="W854" t="e">
        <f t="shared" si="110"/>
        <v>#N/A</v>
      </c>
      <c r="X854" t="e">
        <f t="shared" si="111"/>
        <v>#N/A</v>
      </c>
    </row>
    <row r="855" spans="1:24" x14ac:dyDescent="0.3">
      <c r="A855">
        <v>9.3000000000000007</v>
      </c>
      <c r="B855">
        <v>0.36</v>
      </c>
      <c r="C855">
        <v>0.39</v>
      </c>
      <c r="D855">
        <v>1.5</v>
      </c>
      <c r="E855">
        <v>0.08</v>
      </c>
      <c r="F855">
        <v>41</v>
      </c>
      <c r="G855">
        <v>55</v>
      </c>
      <c r="H855">
        <v>0.99652000000000007</v>
      </c>
      <c r="I855">
        <v>3.47</v>
      </c>
      <c r="J855">
        <v>0.73</v>
      </c>
      <c r="K855">
        <v>10.9</v>
      </c>
      <c r="L855">
        <v>6</v>
      </c>
      <c r="M855" t="str">
        <f t="shared" si="104"/>
        <v>Medium</v>
      </c>
      <c r="N855">
        <f>(winequality_red[[#This Row],[Updated Quality &amp; Alcohol Analysis]]+winequality_red[[#This Row],[volatile acidity]]+winequality_red[[#This Row],[citric acid]])</f>
        <v>10.050000000000001</v>
      </c>
      <c r="O855">
        <f t="shared" si="105"/>
        <v>2.4110091743119264E-2</v>
      </c>
      <c r="S855" t="e">
        <f t="shared" si="106"/>
        <v>#N/A</v>
      </c>
      <c r="T855" t="e">
        <f t="shared" si="107"/>
        <v>#N/A</v>
      </c>
      <c r="U855">
        <f t="shared" si="108"/>
        <v>10.9</v>
      </c>
      <c r="V855">
        <f t="shared" si="109"/>
        <v>6</v>
      </c>
      <c r="W855" t="e">
        <f t="shared" si="110"/>
        <v>#N/A</v>
      </c>
      <c r="X855" t="e">
        <f t="shared" si="111"/>
        <v>#N/A</v>
      </c>
    </row>
    <row r="856" spans="1:24" x14ac:dyDescent="0.3">
      <c r="A856">
        <v>9.3000000000000007</v>
      </c>
      <c r="B856">
        <v>0.36</v>
      </c>
      <c r="C856">
        <v>0.39</v>
      </c>
      <c r="D856">
        <v>1.5</v>
      </c>
      <c r="E856">
        <v>0.08</v>
      </c>
      <c r="F856">
        <v>41</v>
      </c>
      <c r="G856">
        <v>55</v>
      </c>
      <c r="H856">
        <v>0.99652000000000007</v>
      </c>
      <c r="I856">
        <v>3.47</v>
      </c>
      <c r="J856">
        <v>0.73</v>
      </c>
      <c r="K856">
        <v>10.9</v>
      </c>
      <c r="L856">
        <v>6</v>
      </c>
      <c r="M856" t="str">
        <f t="shared" si="104"/>
        <v>Medium</v>
      </c>
      <c r="N856">
        <f>(winequality_red[[#This Row],[Updated Quality &amp; Alcohol Analysis]]+winequality_red[[#This Row],[volatile acidity]]+winequality_red[[#This Row],[citric acid]])</f>
        <v>10.050000000000001</v>
      </c>
      <c r="O856">
        <f t="shared" si="105"/>
        <v>2.4110091743119264E-2</v>
      </c>
      <c r="S856" t="e">
        <f t="shared" si="106"/>
        <v>#N/A</v>
      </c>
      <c r="T856" t="e">
        <f t="shared" si="107"/>
        <v>#N/A</v>
      </c>
      <c r="U856">
        <f t="shared" si="108"/>
        <v>10.9</v>
      </c>
      <c r="V856">
        <f t="shared" si="109"/>
        <v>6</v>
      </c>
      <c r="W856" t="e">
        <f t="shared" si="110"/>
        <v>#N/A</v>
      </c>
      <c r="X856" t="e">
        <f t="shared" si="111"/>
        <v>#N/A</v>
      </c>
    </row>
    <row r="857" spans="1:24" x14ac:dyDescent="0.3">
      <c r="A857">
        <v>7.6</v>
      </c>
      <c r="B857">
        <v>0.73499999999999999</v>
      </c>
      <c r="C857">
        <v>0.02</v>
      </c>
      <c r="D857">
        <v>2.5</v>
      </c>
      <c r="E857">
        <v>7.0999999999999994E-2</v>
      </c>
      <c r="F857">
        <v>10</v>
      </c>
      <c r="G857">
        <v>14</v>
      </c>
      <c r="H857">
        <v>0.99537999999999993</v>
      </c>
      <c r="I857">
        <v>3.51</v>
      </c>
      <c r="J857">
        <v>0.71</v>
      </c>
      <c r="K857">
        <v>11.7</v>
      </c>
      <c r="L857">
        <v>7</v>
      </c>
      <c r="M857" t="str">
        <f t="shared" si="104"/>
        <v>High</v>
      </c>
      <c r="N857">
        <f>(winequality_red[[#This Row],[Updated Quality &amp; Alcohol Analysis]]+winequality_red[[#This Row],[volatile acidity]]+winequality_red[[#This Row],[citric acid]])</f>
        <v>8.3549999999999986</v>
      </c>
      <c r="O857">
        <f t="shared" si="105"/>
        <v>4.46025641025641E-2</v>
      </c>
      <c r="S857" t="e">
        <f t="shared" si="106"/>
        <v>#N/A</v>
      </c>
      <c r="T857" t="e">
        <f t="shared" si="107"/>
        <v>#N/A</v>
      </c>
      <c r="U857" t="e">
        <f t="shared" si="108"/>
        <v>#N/A</v>
      </c>
      <c r="V857" t="e">
        <f t="shared" si="109"/>
        <v>#N/A</v>
      </c>
      <c r="W857">
        <f t="shared" si="110"/>
        <v>11.7</v>
      </c>
      <c r="X857">
        <f t="shared" si="111"/>
        <v>7</v>
      </c>
    </row>
    <row r="858" spans="1:24" x14ac:dyDescent="0.3">
      <c r="A858">
        <v>9.3000000000000007</v>
      </c>
      <c r="B858">
        <v>0.36</v>
      </c>
      <c r="C858">
        <v>0.39</v>
      </c>
      <c r="D858">
        <v>1.5</v>
      </c>
      <c r="E858">
        <v>0.08</v>
      </c>
      <c r="F858">
        <v>41</v>
      </c>
      <c r="G858">
        <v>55</v>
      </c>
      <c r="H858">
        <v>0.99652000000000007</v>
      </c>
      <c r="I858">
        <v>3.47</v>
      </c>
      <c r="J858">
        <v>0.73</v>
      </c>
      <c r="K858">
        <v>10.9</v>
      </c>
      <c r="L858">
        <v>6</v>
      </c>
      <c r="M858" t="str">
        <f t="shared" si="104"/>
        <v>Medium</v>
      </c>
      <c r="N858">
        <f>(winequality_red[[#This Row],[Updated Quality &amp; Alcohol Analysis]]+winequality_red[[#This Row],[volatile acidity]]+winequality_red[[#This Row],[citric acid]])</f>
        <v>10.050000000000001</v>
      </c>
      <c r="O858">
        <f t="shared" si="105"/>
        <v>2.4110091743119264E-2</v>
      </c>
      <c r="S858" t="e">
        <f t="shared" si="106"/>
        <v>#N/A</v>
      </c>
      <c r="T858" t="e">
        <f t="shared" si="107"/>
        <v>#N/A</v>
      </c>
      <c r="U858">
        <f t="shared" si="108"/>
        <v>10.9</v>
      </c>
      <c r="V858">
        <f t="shared" si="109"/>
        <v>6</v>
      </c>
      <c r="W858" t="e">
        <f t="shared" si="110"/>
        <v>#N/A</v>
      </c>
      <c r="X858" t="e">
        <f t="shared" si="111"/>
        <v>#N/A</v>
      </c>
    </row>
    <row r="859" spans="1:24" x14ac:dyDescent="0.3">
      <c r="A859">
        <v>8.1999999999999993</v>
      </c>
      <c r="B859">
        <v>0.26</v>
      </c>
      <c r="C859">
        <v>0.34</v>
      </c>
      <c r="D859">
        <v>2.5</v>
      </c>
      <c r="E859">
        <v>7.2999999999999995E-2</v>
      </c>
      <c r="F859">
        <v>16</v>
      </c>
      <c r="G859">
        <v>47</v>
      </c>
      <c r="H859">
        <v>0.99593999999999994</v>
      </c>
      <c r="I859">
        <v>3.4</v>
      </c>
      <c r="J859">
        <v>0.78</v>
      </c>
      <c r="K859">
        <v>11.3</v>
      </c>
      <c r="L859">
        <v>7</v>
      </c>
      <c r="M859" t="str">
        <f t="shared" si="104"/>
        <v>High</v>
      </c>
      <c r="N859">
        <f>(winequality_red[[#This Row],[Updated Quality &amp; Alcohol Analysis]]+winequality_red[[#This Row],[volatile acidity]]+winequality_red[[#This Row],[citric acid]])</f>
        <v>8.7999999999999989</v>
      </c>
      <c r="O859">
        <f t="shared" si="105"/>
        <v>1.7946902654867255E-2</v>
      </c>
      <c r="S859" t="e">
        <f t="shared" si="106"/>
        <v>#N/A</v>
      </c>
      <c r="T859" t="e">
        <f t="shared" si="107"/>
        <v>#N/A</v>
      </c>
      <c r="U859" t="e">
        <f t="shared" si="108"/>
        <v>#N/A</v>
      </c>
      <c r="V859" t="e">
        <f t="shared" si="109"/>
        <v>#N/A</v>
      </c>
      <c r="W859">
        <f t="shared" si="110"/>
        <v>11.3</v>
      </c>
      <c r="X859">
        <f t="shared" si="111"/>
        <v>7</v>
      </c>
    </row>
    <row r="860" spans="1:24" x14ac:dyDescent="0.3">
      <c r="A860">
        <v>11.7</v>
      </c>
      <c r="B860">
        <v>0.28000000000000003</v>
      </c>
      <c r="C860">
        <v>0.47</v>
      </c>
      <c r="D860">
        <v>1.7</v>
      </c>
      <c r="E860">
        <v>5.4000000000000006E-2</v>
      </c>
      <c r="F860">
        <v>17</v>
      </c>
      <c r="G860">
        <v>32</v>
      </c>
      <c r="H860">
        <v>0.99686000000000008</v>
      </c>
      <c r="I860">
        <v>3.15</v>
      </c>
      <c r="J860">
        <v>0.67</v>
      </c>
      <c r="K860">
        <v>10.6</v>
      </c>
      <c r="L860">
        <v>7</v>
      </c>
      <c r="M860" t="str">
        <f t="shared" si="104"/>
        <v>High</v>
      </c>
      <c r="N860">
        <f>(winequality_red[[#This Row],[Updated Quality &amp; Alcohol Analysis]]+winequality_red[[#This Row],[volatile acidity]]+winequality_red[[#This Row],[citric acid]])</f>
        <v>12.45</v>
      </c>
      <c r="O860">
        <f t="shared" si="105"/>
        <v>1.7698113207547172E-2</v>
      </c>
      <c r="S860" t="e">
        <f t="shared" si="106"/>
        <v>#N/A</v>
      </c>
      <c r="T860" t="e">
        <f t="shared" si="107"/>
        <v>#N/A</v>
      </c>
      <c r="U860" t="e">
        <f t="shared" si="108"/>
        <v>#N/A</v>
      </c>
      <c r="V860" t="e">
        <f t="shared" si="109"/>
        <v>#N/A</v>
      </c>
      <c r="W860">
        <f t="shared" si="110"/>
        <v>10.6</v>
      </c>
      <c r="X860">
        <f t="shared" si="111"/>
        <v>7</v>
      </c>
    </row>
    <row r="861" spans="1:24" x14ac:dyDescent="0.3">
      <c r="A861">
        <v>6.8</v>
      </c>
      <c r="B861">
        <v>0.56000000000000005</v>
      </c>
      <c r="C861">
        <v>0.22</v>
      </c>
      <c r="D861">
        <v>1.8</v>
      </c>
      <c r="E861">
        <v>7.400000000000001E-2</v>
      </c>
      <c r="F861">
        <v>15</v>
      </c>
      <c r="G861">
        <v>24</v>
      </c>
      <c r="H861">
        <v>0.99437999999999993</v>
      </c>
      <c r="I861">
        <v>3.4</v>
      </c>
      <c r="J861">
        <v>0.82</v>
      </c>
      <c r="K861">
        <v>11.2</v>
      </c>
      <c r="L861">
        <v>6</v>
      </c>
      <c r="M861" t="str">
        <f t="shared" si="104"/>
        <v>Medium</v>
      </c>
      <c r="N861">
        <f>(winequality_red[[#This Row],[Updated Quality &amp; Alcohol Analysis]]+winequality_red[[#This Row],[volatile acidity]]+winequality_red[[#This Row],[citric acid]])</f>
        <v>7.5799999999999992</v>
      </c>
      <c r="O861">
        <f t="shared" si="105"/>
        <v>4.1000000000000002E-2</v>
      </c>
      <c r="S861" t="e">
        <f t="shared" si="106"/>
        <v>#N/A</v>
      </c>
      <c r="T861" t="e">
        <f t="shared" si="107"/>
        <v>#N/A</v>
      </c>
      <c r="U861">
        <f t="shared" si="108"/>
        <v>11.2</v>
      </c>
      <c r="V861">
        <f t="shared" si="109"/>
        <v>6</v>
      </c>
      <c r="W861" t="e">
        <f t="shared" si="110"/>
        <v>#N/A</v>
      </c>
      <c r="X861" t="e">
        <f t="shared" si="111"/>
        <v>#N/A</v>
      </c>
    </row>
    <row r="862" spans="1:24" x14ac:dyDescent="0.3">
      <c r="A862">
        <v>7.2</v>
      </c>
      <c r="B862">
        <v>0.62</v>
      </c>
      <c r="C862">
        <v>0.06</v>
      </c>
      <c r="D862">
        <v>2.7</v>
      </c>
      <c r="E862">
        <v>7.6999999999999999E-2</v>
      </c>
      <c r="F862">
        <v>15</v>
      </c>
      <c r="G862">
        <v>85</v>
      </c>
      <c r="H862">
        <v>0.99746000000000001</v>
      </c>
      <c r="I862">
        <v>3.51</v>
      </c>
      <c r="J862">
        <v>0.54</v>
      </c>
      <c r="K862">
        <v>9.5</v>
      </c>
      <c r="L862">
        <v>5</v>
      </c>
      <c r="M862" t="str">
        <f t="shared" si="104"/>
        <v>Medium</v>
      </c>
      <c r="N862">
        <f>(winequality_red[[#This Row],[Updated Quality &amp; Alcohol Analysis]]+winequality_red[[#This Row],[volatile acidity]]+winequality_red[[#This Row],[citric acid]])</f>
        <v>7.88</v>
      </c>
      <c r="O862">
        <f t="shared" si="105"/>
        <v>3.5242105263157901E-2</v>
      </c>
      <c r="S862" t="e">
        <f t="shared" si="106"/>
        <v>#N/A</v>
      </c>
      <c r="T862" t="e">
        <f t="shared" si="107"/>
        <v>#N/A</v>
      </c>
      <c r="U862">
        <f t="shared" si="108"/>
        <v>9.5</v>
      </c>
      <c r="V862">
        <f t="shared" si="109"/>
        <v>5</v>
      </c>
      <c r="W862" t="e">
        <f t="shared" si="110"/>
        <v>#N/A</v>
      </c>
      <c r="X862" t="e">
        <f t="shared" si="111"/>
        <v>#N/A</v>
      </c>
    </row>
    <row r="863" spans="1:24" x14ac:dyDescent="0.3">
      <c r="A863">
        <v>5.8</v>
      </c>
      <c r="B863">
        <v>1.01</v>
      </c>
      <c r="C863">
        <v>0.66</v>
      </c>
      <c r="D863">
        <v>2</v>
      </c>
      <c r="E863">
        <v>3.9E-2</v>
      </c>
      <c r="F863">
        <v>15</v>
      </c>
      <c r="G863">
        <v>88</v>
      </c>
      <c r="H863">
        <v>0.99357000000000006</v>
      </c>
      <c r="I863">
        <v>3.66</v>
      </c>
      <c r="J863">
        <v>0.6</v>
      </c>
      <c r="K863">
        <v>11.5</v>
      </c>
      <c r="L863">
        <v>6</v>
      </c>
      <c r="M863" t="str">
        <f t="shared" si="104"/>
        <v>Medium</v>
      </c>
      <c r="N863">
        <f>(winequality_red[[#This Row],[Updated Quality &amp; Alcohol Analysis]]+winequality_red[[#This Row],[volatile acidity]]+winequality_red[[#This Row],[citric acid]])</f>
        <v>7.47</v>
      </c>
      <c r="O863">
        <f t="shared" si="105"/>
        <v>5.2695652173913039E-2</v>
      </c>
      <c r="S863" t="e">
        <f t="shared" si="106"/>
        <v>#N/A</v>
      </c>
      <c r="T863" t="e">
        <f t="shared" si="107"/>
        <v>#N/A</v>
      </c>
      <c r="U863">
        <f t="shared" si="108"/>
        <v>11.5</v>
      </c>
      <c r="V863">
        <f t="shared" si="109"/>
        <v>6</v>
      </c>
      <c r="W863" t="e">
        <f t="shared" si="110"/>
        <v>#N/A</v>
      </c>
      <c r="X863" t="e">
        <f t="shared" si="111"/>
        <v>#N/A</v>
      </c>
    </row>
    <row r="864" spans="1:24" x14ac:dyDescent="0.3">
      <c r="A864">
        <v>7.5</v>
      </c>
      <c r="B864">
        <v>0.42</v>
      </c>
      <c r="C864">
        <v>0.32</v>
      </c>
      <c r="D864">
        <v>2.7</v>
      </c>
      <c r="E864">
        <v>6.7000000000000004E-2</v>
      </c>
      <c r="F864">
        <v>7</v>
      </c>
      <c r="G864">
        <v>25</v>
      </c>
      <c r="H864">
        <v>0.99627999999999994</v>
      </c>
      <c r="I864">
        <v>3.24</v>
      </c>
      <c r="J864">
        <v>0.44</v>
      </c>
      <c r="K864">
        <v>10.4</v>
      </c>
      <c r="L864">
        <v>5</v>
      </c>
      <c r="M864" t="str">
        <f t="shared" si="104"/>
        <v>Medium</v>
      </c>
      <c r="N864">
        <f>(winequality_red[[#This Row],[Updated Quality &amp; Alcohol Analysis]]+winequality_red[[#This Row],[volatile acidity]]+winequality_red[[#This Row],[citric acid]])</f>
        <v>8.24</v>
      </c>
      <c r="O864">
        <f t="shared" si="105"/>
        <v>1.7769230769230766E-2</v>
      </c>
      <c r="S864" t="e">
        <f t="shared" si="106"/>
        <v>#N/A</v>
      </c>
      <c r="T864" t="e">
        <f t="shared" si="107"/>
        <v>#N/A</v>
      </c>
      <c r="U864">
        <f t="shared" si="108"/>
        <v>10.4</v>
      </c>
      <c r="V864">
        <f t="shared" si="109"/>
        <v>5</v>
      </c>
      <c r="W864" t="e">
        <f t="shared" si="110"/>
        <v>#N/A</v>
      </c>
      <c r="X864" t="e">
        <f t="shared" si="111"/>
        <v>#N/A</v>
      </c>
    </row>
    <row r="865" spans="1:24" x14ac:dyDescent="0.3">
      <c r="A865">
        <v>7.2</v>
      </c>
      <c r="B865">
        <v>0.62</v>
      </c>
      <c r="C865">
        <v>0.06</v>
      </c>
      <c r="D865">
        <v>2.5</v>
      </c>
      <c r="E865">
        <v>7.8E-2</v>
      </c>
      <c r="F865">
        <v>17</v>
      </c>
      <c r="G865">
        <v>84</v>
      </c>
      <c r="H865">
        <v>0.99746000000000001</v>
      </c>
      <c r="I865">
        <v>3.51</v>
      </c>
      <c r="J865">
        <v>0.53</v>
      </c>
      <c r="K865">
        <v>9.6999999999999993</v>
      </c>
      <c r="L865">
        <v>5</v>
      </c>
      <c r="M865" t="str">
        <f t="shared" si="104"/>
        <v>Medium</v>
      </c>
      <c r="N865">
        <f>(winequality_red[[#This Row],[Updated Quality &amp; Alcohol Analysis]]+winequality_red[[#This Row],[volatile acidity]]+winequality_red[[#This Row],[citric acid]])</f>
        <v>7.88</v>
      </c>
      <c r="O865">
        <f t="shared" si="105"/>
        <v>3.3876288659793814E-2</v>
      </c>
      <c r="S865" t="e">
        <f t="shared" si="106"/>
        <v>#N/A</v>
      </c>
      <c r="T865" t="e">
        <f t="shared" si="107"/>
        <v>#N/A</v>
      </c>
      <c r="U865">
        <f t="shared" si="108"/>
        <v>9.6999999999999993</v>
      </c>
      <c r="V865">
        <f t="shared" si="109"/>
        <v>5</v>
      </c>
      <c r="W865" t="e">
        <f t="shared" si="110"/>
        <v>#N/A</v>
      </c>
      <c r="X865" t="e">
        <f t="shared" si="111"/>
        <v>#N/A</v>
      </c>
    </row>
    <row r="866" spans="1:24" x14ac:dyDescent="0.3">
      <c r="A866">
        <v>7.2</v>
      </c>
      <c r="B866">
        <v>0.62</v>
      </c>
      <c r="C866">
        <v>0.06</v>
      </c>
      <c r="D866">
        <v>2.7</v>
      </c>
      <c r="E866">
        <v>7.6999999999999999E-2</v>
      </c>
      <c r="F866">
        <v>15</v>
      </c>
      <c r="G866">
        <v>85</v>
      </c>
      <c r="H866">
        <v>0.99746000000000001</v>
      </c>
      <c r="I866">
        <v>3.51</v>
      </c>
      <c r="J866">
        <v>0.54</v>
      </c>
      <c r="K866">
        <v>9.5</v>
      </c>
      <c r="L866">
        <v>5</v>
      </c>
      <c r="M866" t="str">
        <f t="shared" si="104"/>
        <v>Medium</v>
      </c>
      <c r="N866">
        <f>(winequality_red[[#This Row],[Updated Quality &amp; Alcohol Analysis]]+winequality_red[[#This Row],[volatile acidity]]+winequality_red[[#This Row],[citric acid]])</f>
        <v>7.88</v>
      </c>
      <c r="O866">
        <f t="shared" si="105"/>
        <v>3.5242105263157901E-2</v>
      </c>
      <c r="S866" t="e">
        <f t="shared" si="106"/>
        <v>#N/A</v>
      </c>
      <c r="T866" t="e">
        <f t="shared" si="107"/>
        <v>#N/A</v>
      </c>
      <c r="U866">
        <f t="shared" si="108"/>
        <v>9.5</v>
      </c>
      <c r="V866">
        <f t="shared" si="109"/>
        <v>5</v>
      </c>
      <c r="W866" t="e">
        <f t="shared" si="110"/>
        <v>#N/A</v>
      </c>
      <c r="X866" t="e">
        <f t="shared" si="111"/>
        <v>#N/A</v>
      </c>
    </row>
    <row r="867" spans="1:24" x14ac:dyDescent="0.3">
      <c r="A867">
        <v>7.2</v>
      </c>
      <c r="B867">
        <v>0.63500000000000001</v>
      </c>
      <c r="C867">
        <v>7.0000000000000007E-2</v>
      </c>
      <c r="D867">
        <v>2.6</v>
      </c>
      <c r="E867">
        <v>7.6999999999999999E-2</v>
      </c>
      <c r="F867">
        <v>16</v>
      </c>
      <c r="G867">
        <v>86</v>
      </c>
      <c r="H867">
        <v>0.99747999999999992</v>
      </c>
      <c r="I867">
        <v>3.51</v>
      </c>
      <c r="J867">
        <v>0.54</v>
      </c>
      <c r="K867">
        <v>9.6999999999999993</v>
      </c>
      <c r="L867">
        <v>5</v>
      </c>
      <c r="M867" t="str">
        <f t="shared" si="104"/>
        <v>Medium</v>
      </c>
      <c r="N867">
        <f>(winequality_red[[#This Row],[Updated Quality &amp; Alcohol Analysis]]+winequality_red[[#This Row],[volatile acidity]]+winequality_red[[#This Row],[citric acid]])</f>
        <v>7.9050000000000002</v>
      </c>
      <c r="O867">
        <f t="shared" si="105"/>
        <v>3.5350515463917535E-2</v>
      </c>
      <c r="S867" t="e">
        <f t="shared" si="106"/>
        <v>#N/A</v>
      </c>
      <c r="T867" t="e">
        <f t="shared" si="107"/>
        <v>#N/A</v>
      </c>
      <c r="U867">
        <f t="shared" si="108"/>
        <v>9.6999999999999993</v>
      </c>
      <c r="V867">
        <f t="shared" si="109"/>
        <v>5</v>
      </c>
      <c r="W867" t="e">
        <f t="shared" si="110"/>
        <v>#N/A</v>
      </c>
      <c r="X867" t="e">
        <f t="shared" si="111"/>
        <v>#N/A</v>
      </c>
    </row>
    <row r="868" spans="1:24" x14ac:dyDescent="0.3">
      <c r="A868">
        <v>6.8</v>
      </c>
      <c r="B868">
        <v>0.49</v>
      </c>
      <c r="C868">
        <v>0.22</v>
      </c>
      <c r="D868">
        <v>2.2999999999999998</v>
      </c>
      <c r="E868">
        <v>7.0999999999999994E-2</v>
      </c>
      <c r="F868">
        <v>13</v>
      </c>
      <c r="G868">
        <v>24</v>
      </c>
      <c r="H868">
        <v>0.99437999999999993</v>
      </c>
      <c r="I868">
        <v>3.41</v>
      </c>
      <c r="J868">
        <v>0.83</v>
      </c>
      <c r="K868">
        <v>11.3</v>
      </c>
      <c r="L868">
        <v>6</v>
      </c>
      <c r="M868" t="str">
        <f t="shared" si="104"/>
        <v>Medium</v>
      </c>
      <c r="N868">
        <f>(winequality_red[[#This Row],[Updated Quality &amp; Alcohol Analysis]]+winequality_red[[#This Row],[volatile acidity]]+winequality_red[[#This Row],[citric acid]])</f>
        <v>7.51</v>
      </c>
      <c r="O868">
        <f t="shared" si="105"/>
        <v>3.5991150442477866E-2</v>
      </c>
      <c r="S868" t="e">
        <f t="shared" si="106"/>
        <v>#N/A</v>
      </c>
      <c r="T868" t="e">
        <f t="shared" si="107"/>
        <v>#N/A</v>
      </c>
      <c r="U868">
        <f t="shared" si="108"/>
        <v>11.3</v>
      </c>
      <c r="V868">
        <f t="shared" si="109"/>
        <v>6</v>
      </c>
      <c r="W868" t="e">
        <f t="shared" si="110"/>
        <v>#N/A</v>
      </c>
      <c r="X868" t="e">
        <f t="shared" si="111"/>
        <v>#N/A</v>
      </c>
    </row>
    <row r="869" spans="1:24" x14ac:dyDescent="0.3">
      <c r="A869">
        <v>6.9</v>
      </c>
      <c r="B869">
        <v>0.51</v>
      </c>
      <c r="C869">
        <v>0.23</v>
      </c>
      <c r="D869">
        <v>2</v>
      </c>
      <c r="E869">
        <v>7.2000000000000008E-2</v>
      </c>
      <c r="F869">
        <v>13</v>
      </c>
      <c r="G869">
        <v>22</v>
      </c>
      <c r="H869">
        <v>0.99437999999999993</v>
      </c>
      <c r="I869">
        <v>3.4</v>
      </c>
      <c r="J869">
        <v>0.84</v>
      </c>
      <c r="K869">
        <v>11.2</v>
      </c>
      <c r="L869">
        <v>6</v>
      </c>
      <c r="M869" t="str">
        <f t="shared" si="104"/>
        <v>Medium</v>
      </c>
      <c r="N869">
        <f>(winequality_red[[#This Row],[Updated Quality &amp; Alcohol Analysis]]+winequality_red[[#This Row],[volatile acidity]]+winequality_red[[#This Row],[citric acid]])</f>
        <v>7.6400000000000006</v>
      </c>
      <c r="O869">
        <f t="shared" si="105"/>
        <v>3.8249999999999999E-2</v>
      </c>
      <c r="S869" t="e">
        <f t="shared" si="106"/>
        <v>#N/A</v>
      </c>
      <c r="T869" t="e">
        <f t="shared" si="107"/>
        <v>#N/A</v>
      </c>
      <c r="U869">
        <f t="shared" si="108"/>
        <v>11.2</v>
      </c>
      <c r="V869">
        <f t="shared" si="109"/>
        <v>6</v>
      </c>
      <c r="W869" t="e">
        <f t="shared" si="110"/>
        <v>#N/A</v>
      </c>
      <c r="X869" t="e">
        <f t="shared" si="111"/>
        <v>#N/A</v>
      </c>
    </row>
    <row r="870" spans="1:24" x14ac:dyDescent="0.3">
      <c r="A870">
        <v>6.8</v>
      </c>
      <c r="B870">
        <v>0.56000000000000005</v>
      </c>
      <c r="C870">
        <v>0.22</v>
      </c>
      <c r="D870">
        <v>1.8</v>
      </c>
      <c r="E870">
        <v>7.400000000000001E-2</v>
      </c>
      <c r="F870">
        <v>15</v>
      </c>
      <c r="G870">
        <v>24</v>
      </c>
      <c r="H870">
        <v>0.99437999999999993</v>
      </c>
      <c r="I870">
        <v>3.4</v>
      </c>
      <c r="J870">
        <v>0.82</v>
      </c>
      <c r="K870">
        <v>11.2</v>
      </c>
      <c r="L870">
        <v>6</v>
      </c>
      <c r="M870" t="str">
        <f t="shared" si="104"/>
        <v>Medium</v>
      </c>
      <c r="N870">
        <f>(winequality_red[[#This Row],[Updated Quality &amp; Alcohol Analysis]]+winequality_red[[#This Row],[volatile acidity]]+winequality_red[[#This Row],[citric acid]])</f>
        <v>7.5799999999999992</v>
      </c>
      <c r="O870">
        <f t="shared" si="105"/>
        <v>4.1000000000000002E-2</v>
      </c>
      <c r="S870" t="e">
        <f t="shared" si="106"/>
        <v>#N/A</v>
      </c>
      <c r="T870" t="e">
        <f t="shared" si="107"/>
        <v>#N/A</v>
      </c>
      <c r="U870">
        <f t="shared" si="108"/>
        <v>11.2</v>
      </c>
      <c r="V870">
        <f t="shared" si="109"/>
        <v>6</v>
      </c>
      <c r="W870" t="e">
        <f t="shared" si="110"/>
        <v>#N/A</v>
      </c>
      <c r="X870" t="e">
        <f t="shared" si="111"/>
        <v>#N/A</v>
      </c>
    </row>
    <row r="871" spans="1:24" x14ac:dyDescent="0.3">
      <c r="A871">
        <v>7.6</v>
      </c>
      <c r="B871">
        <v>0.63</v>
      </c>
      <c r="C871">
        <v>0.03</v>
      </c>
      <c r="D871">
        <v>2</v>
      </c>
      <c r="E871">
        <v>0.08</v>
      </c>
      <c r="F871">
        <v>27</v>
      </c>
      <c r="G871">
        <v>43</v>
      </c>
      <c r="H871">
        <v>0.99577999999999989</v>
      </c>
      <c r="I871">
        <v>3.44</v>
      </c>
      <c r="J871">
        <v>0.64</v>
      </c>
      <c r="K871">
        <v>10.9</v>
      </c>
      <c r="L871">
        <v>6</v>
      </c>
      <c r="M871" t="str">
        <f t="shared" si="104"/>
        <v>Medium</v>
      </c>
      <c r="N871">
        <f>(winequality_red[[#This Row],[Updated Quality &amp; Alcohol Analysis]]+winequality_red[[#This Row],[volatile acidity]]+winequality_red[[#This Row],[citric acid]])</f>
        <v>8.26</v>
      </c>
      <c r="O871">
        <f t="shared" si="105"/>
        <v>3.6990825688073395E-2</v>
      </c>
      <c r="S871" t="e">
        <f t="shared" si="106"/>
        <v>#N/A</v>
      </c>
      <c r="T871" t="e">
        <f t="shared" si="107"/>
        <v>#N/A</v>
      </c>
      <c r="U871">
        <f t="shared" si="108"/>
        <v>10.9</v>
      </c>
      <c r="V871">
        <f t="shared" si="109"/>
        <v>6</v>
      </c>
      <c r="W871" t="e">
        <f t="shared" si="110"/>
        <v>#N/A</v>
      </c>
      <c r="X871" t="e">
        <f t="shared" si="111"/>
        <v>#N/A</v>
      </c>
    </row>
    <row r="872" spans="1:24" x14ac:dyDescent="0.3">
      <c r="A872">
        <v>7.7</v>
      </c>
      <c r="B872">
        <v>0.71499999999999997</v>
      </c>
      <c r="C872">
        <v>0.01</v>
      </c>
      <c r="D872">
        <v>2.1</v>
      </c>
      <c r="E872">
        <v>6.4000000000000001E-2</v>
      </c>
      <c r="F872">
        <v>31</v>
      </c>
      <c r="G872">
        <v>43</v>
      </c>
      <c r="H872">
        <v>0.99370999999999998</v>
      </c>
      <c r="I872">
        <v>3.41</v>
      </c>
      <c r="J872">
        <v>0.56999999999999995</v>
      </c>
      <c r="K872">
        <v>11.8</v>
      </c>
      <c r="L872">
        <v>6</v>
      </c>
      <c r="M872" t="str">
        <f t="shared" si="104"/>
        <v>Medium</v>
      </c>
      <c r="N872">
        <f>(winequality_red[[#This Row],[Updated Quality &amp; Alcohol Analysis]]+winequality_red[[#This Row],[volatile acidity]]+winequality_red[[#This Row],[citric acid]])</f>
        <v>8.4250000000000007</v>
      </c>
      <c r="O872">
        <f t="shared" si="105"/>
        <v>3.4538135593220332E-2</v>
      </c>
      <c r="S872" t="e">
        <f t="shared" si="106"/>
        <v>#N/A</v>
      </c>
      <c r="T872" t="e">
        <f t="shared" si="107"/>
        <v>#N/A</v>
      </c>
      <c r="U872">
        <f t="shared" si="108"/>
        <v>11.8</v>
      </c>
      <c r="V872">
        <f t="shared" si="109"/>
        <v>6</v>
      </c>
      <c r="W872" t="e">
        <f t="shared" si="110"/>
        <v>#N/A</v>
      </c>
      <c r="X872" t="e">
        <f t="shared" si="111"/>
        <v>#N/A</v>
      </c>
    </row>
    <row r="873" spans="1:24" x14ac:dyDescent="0.3">
      <c r="A873">
        <v>6.9</v>
      </c>
      <c r="B873">
        <v>0.56000000000000005</v>
      </c>
      <c r="C873">
        <v>0.03</v>
      </c>
      <c r="D873">
        <v>1.5</v>
      </c>
      <c r="E873">
        <v>8.5999999999999993E-2</v>
      </c>
      <c r="F873">
        <v>36</v>
      </c>
      <c r="G873">
        <v>46</v>
      </c>
      <c r="H873">
        <v>0.9952200000000001</v>
      </c>
      <c r="I873">
        <v>3.53</v>
      </c>
      <c r="J873">
        <v>0.56999999999999995</v>
      </c>
      <c r="K873">
        <v>10.6</v>
      </c>
      <c r="L873">
        <v>5</v>
      </c>
      <c r="M873" t="str">
        <f t="shared" si="104"/>
        <v>Medium</v>
      </c>
      <c r="N873">
        <f>(winequality_red[[#This Row],[Updated Quality &amp; Alcohol Analysis]]+winequality_red[[#This Row],[volatile acidity]]+winequality_red[[#This Row],[citric acid]])</f>
        <v>7.4900000000000011</v>
      </c>
      <c r="O873">
        <f t="shared" si="105"/>
        <v>3.0113207547169812E-2</v>
      </c>
      <c r="S873" t="e">
        <f t="shared" si="106"/>
        <v>#N/A</v>
      </c>
      <c r="T873" t="e">
        <f t="shared" si="107"/>
        <v>#N/A</v>
      </c>
      <c r="U873">
        <f t="shared" si="108"/>
        <v>10.6</v>
      </c>
      <c r="V873">
        <f t="shared" si="109"/>
        <v>5</v>
      </c>
      <c r="W873" t="e">
        <f t="shared" si="110"/>
        <v>#N/A</v>
      </c>
      <c r="X873" t="e">
        <f t="shared" si="111"/>
        <v>#N/A</v>
      </c>
    </row>
    <row r="874" spans="1:24" x14ac:dyDescent="0.3">
      <c r="A874">
        <v>7.3</v>
      </c>
      <c r="B874">
        <v>0.35</v>
      </c>
      <c r="C874">
        <v>0.24</v>
      </c>
      <c r="D874">
        <v>2</v>
      </c>
      <c r="E874">
        <v>6.7000000000000004E-2</v>
      </c>
      <c r="F874">
        <v>28</v>
      </c>
      <c r="G874">
        <v>48</v>
      </c>
      <c r="H874">
        <v>0.99576000000000009</v>
      </c>
      <c r="I874">
        <v>3.43</v>
      </c>
      <c r="J874">
        <v>0.54</v>
      </c>
      <c r="K874">
        <v>10</v>
      </c>
      <c r="L874">
        <v>4</v>
      </c>
      <c r="M874" t="str">
        <f t="shared" si="104"/>
        <v>Low</v>
      </c>
      <c r="N874">
        <f>(winequality_red[[#This Row],[Updated Quality &amp; Alcohol Analysis]]+winequality_red[[#This Row],[volatile acidity]]+winequality_red[[#This Row],[citric acid]])</f>
        <v>7.89</v>
      </c>
      <c r="O874">
        <f t="shared" si="105"/>
        <v>1.89E-2</v>
      </c>
      <c r="S874">
        <f t="shared" si="106"/>
        <v>10</v>
      </c>
      <c r="T874">
        <f t="shared" si="107"/>
        <v>4</v>
      </c>
      <c r="U874" t="e">
        <f t="shared" si="108"/>
        <v>#N/A</v>
      </c>
      <c r="V874" t="e">
        <f t="shared" si="109"/>
        <v>#N/A</v>
      </c>
      <c r="W874" t="e">
        <f t="shared" si="110"/>
        <v>#N/A</v>
      </c>
      <c r="X874" t="e">
        <f t="shared" si="111"/>
        <v>#N/A</v>
      </c>
    </row>
    <row r="875" spans="1:24" x14ac:dyDescent="0.3">
      <c r="A875">
        <v>9.1</v>
      </c>
      <c r="B875">
        <v>0.21</v>
      </c>
      <c r="C875">
        <v>0.37</v>
      </c>
      <c r="D875">
        <v>1.6</v>
      </c>
      <c r="E875">
        <v>6.7000000000000004E-2</v>
      </c>
      <c r="F875">
        <v>6</v>
      </c>
      <c r="G875">
        <v>10</v>
      </c>
      <c r="H875">
        <v>0.99552000000000007</v>
      </c>
      <c r="I875">
        <v>3.23</v>
      </c>
      <c r="J875">
        <v>0.57999999999999996</v>
      </c>
      <c r="K875">
        <v>11.1</v>
      </c>
      <c r="L875">
        <v>7</v>
      </c>
      <c r="M875" t="str">
        <f t="shared" si="104"/>
        <v>High</v>
      </c>
      <c r="N875">
        <f>(winequality_red[[#This Row],[Updated Quality &amp; Alcohol Analysis]]+winequality_red[[#This Row],[volatile acidity]]+winequality_red[[#This Row],[citric acid]])</f>
        <v>9.68</v>
      </c>
      <c r="O875">
        <f t="shared" si="105"/>
        <v>1.0972972972972972E-2</v>
      </c>
      <c r="S875" t="e">
        <f t="shared" si="106"/>
        <v>#N/A</v>
      </c>
      <c r="T875" t="e">
        <f t="shared" si="107"/>
        <v>#N/A</v>
      </c>
      <c r="U875" t="e">
        <f t="shared" si="108"/>
        <v>#N/A</v>
      </c>
      <c r="V875" t="e">
        <f t="shared" si="109"/>
        <v>#N/A</v>
      </c>
      <c r="W875">
        <f t="shared" si="110"/>
        <v>11.1</v>
      </c>
      <c r="X875">
        <f t="shared" si="111"/>
        <v>7</v>
      </c>
    </row>
    <row r="876" spans="1:24" x14ac:dyDescent="0.3">
      <c r="A876">
        <v>10.4</v>
      </c>
      <c r="B876">
        <v>0.38</v>
      </c>
      <c r="C876">
        <v>0.46</v>
      </c>
      <c r="D876">
        <v>2.1</v>
      </c>
      <c r="E876">
        <v>0.10400000000000001</v>
      </c>
      <c r="F876">
        <v>6</v>
      </c>
      <c r="G876">
        <v>10</v>
      </c>
      <c r="H876">
        <v>0.99663999999999997</v>
      </c>
      <c r="I876">
        <v>3.12</v>
      </c>
      <c r="J876">
        <v>0.65</v>
      </c>
      <c r="K876">
        <v>11.8</v>
      </c>
      <c r="L876">
        <v>7</v>
      </c>
      <c r="M876" t="str">
        <f t="shared" si="104"/>
        <v>High</v>
      </c>
      <c r="N876">
        <f>(winequality_red[[#This Row],[Updated Quality &amp; Alcohol Analysis]]+winequality_red[[#This Row],[volatile acidity]]+winequality_red[[#This Row],[citric acid]])</f>
        <v>11.240000000000002</v>
      </c>
      <c r="O876">
        <f t="shared" si="105"/>
        <v>2.0932203389830508E-2</v>
      </c>
      <c r="S876" t="e">
        <f t="shared" si="106"/>
        <v>#N/A</v>
      </c>
      <c r="T876" t="e">
        <f t="shared" si="107"/>
        <v>#N/A</v>
      </c>
      <c r="U876" t="e">
        <f t="shared" si="108"/>
        <v>#N/A</v>
      </c>
      <c r="V876" t="e">
        <f t="shared" si="109"/>
        <v>#N/A</v>
      </c>
      <c r="W876">
        <f t="shared" si="110"/>
        <v>11.8</v>
      </c>
      <c r="X876">
        <f t="shared" si="111"/>
        <v>7</v>
      </c>
    </row>
    <row r="877" spans="1:24" x14ac:dyDescent="0.3">
      <c r="A877">
        <v>8.8000000000000007</v>
      </c>
      <c r="B877">
        <v>0.31</v>
      </c>
      <c r="C877">
        <v>0.4</v>
      </c>
      <c r="D877">
        <v>2.8</v>
      </c>
      <c r="E877">
        <v>0.109</v>
      </c>
      <c r="F877">
        <v>7</v>
      </c>
      <c r="G877">
        <v>16</v>
      </c>
      <c r="H877">
        <v>0.99613999999999991</v>
      </c>
      <c r="I877">
        <v>3.31</v>
      </c>
      <c r="J877">
        <v>0.79</v>
      </c>
      <c r="K877">
        <v>11.8</v>
      </c>
      <c r="L877">
        <v>7</v>
      </c>
      <c r="M877" t="str">
        <f t="shared" si="104"/>
        <v>High</v>
      </c>
      <c r="N877">
        <f>(winequality_red[[#This Row],[Updated Quality &amp; Alcohol Analysis]]+winequality_red[[#This Row],[volatile acidity]]+winequality_red[[#This Row],[citric acid]])</f>
        <v>9.5100000000000016</v>
      </c>
      <c r="O877">
        <f t="shared" si="105"/>
        <v>2.0754237288135594E-2</v>
      </c>
      <c r="S877" t="e">
        <f t="shared" si="106"/>
        <v>#N/A</v>
      </c>
      <c r="T877" t="e">
        <f t="shared" si="107"/>
        <v>#N/A</v>
      </c>
      <c r="U877" t="e">
        <f t="shared" si="108"/>
        <v>#N/A</v>
      </c>
      <c r="V877" t="e">
        <f t="shared" si="109"/>
        <v>#N/A</v>
      </c>
      <c r="W877">
        <f t="shared" si="110"/>
        <v>11.8</v>
      </c>
      <c r="X877">
        <f t="shared" si="111"/>
        <v>7</v>
      </c>
    </row>
    <row r="878" spans="1:24" x14ac:dyDescent="0.3">
      <c r="A878">
        <v>7.1</v>
      </c>
      <c r="B878">
        <v>0.47</v>
      </c>
      <c r="C878">
        <v>0</v>
      </c>
      <c r="D878">
        <v>2.2000000000000002</v>
      </c>
      <c r="E878">
        <v>6.7000000000000004E-2</v>
      </c>
      <c r="F878">
        <v>7</v>
      </c>
      <c r="G878">
        <v>14</v>
      </c>
      <c r="H878">
        <v>0.99517000000000011</v>
      </c>
      <c r="I878">
        <v>3.4</v>
      </c>
      <c r="J878">
        <v>0.57999999999999996</v>
      </c>
      <c r="K878">
        <v>10.9</v>
      </c>
      <c r="L878">
        <v>4</v>
      </c>
      <c r="M878" t="str">
        <f t="shared" si="104"/>
        <v>Low</v>
      </c>
      <c r="N878">
        <f>(winequality_red[[#This Row],[Updated Quality &amp; Alcohol Analysis]]+winequality_red[[#This Row],[volatile acidity]]+winequality_red[[#This Row],[citric acid]])</f>
        <v>7.5699999999999994</v>
      </c>
      <c r="O878">
        <f t="shared" si="105"/>
        <v>2.5009174311926601E-2</v>
      </c>
      <c r="S878">
        <f t="shared" si="106"/>
        <v>10.9</v>
      </c>
      <c r="T878">
        <f t="shared" si="107"/>
        <v>4</v>
      </c>
      <c r="U878" t="e">
        <f t="shared" si="108"/>
        <v>#N/A</v>
      </c>
      <c r="V878" t="e">
        <f t="shared" si="109"/>
        <v>#N/A</v>
      </c>
      <c r="W878" t="e">
        <f t="shared" si="110"/>
        <v>#N/A</v>
      </c>
      <c r="X878" t="e">
        <f t="shared" si="111"/>
        <v>#N/A</v>
      </c>
    </row>
    <row r="879" spans="1:24" x14ac:dyDescent="0.3">
      <c r="A879">
        <v>7.7</v>
      </c>
      <c r="B879">
        <v>0.71499999999999997</v>
      </c>
      <c r="C879">
        <v>0.01</v>
      </c>
      <c r="D879">
        <v>2.1</v>
      </c>
      <c r="E879">
        <v>6.4000000000000001E-2</v>
      </c>
      <c r="F879">
        <v>31</v>
      </c>
      <c r="G879">
        <v>43</v>
      </c>
      <c r="H879">
        <v>0.99370999999999998</v>
      </c>
      <c r="I879">
        <v>3.41</v>
      </c>
      <c r="J879">
        <v>0.56999999999999995</v>
      </c>
      <c r="K879">
        <v>11.8</v>
      </c>
      <c r="L879">
        <v>6</v>
      </c>
      <c r="M879" t="str">
        <f t="shared" si="104"/>
        <v>Medium</v>
      </c>
      <c r="N879">
        <f>(winequality_red[[#This Row],[Updated Quality &amp; Alcohol Analysis]]+winequality_red[[#This Row],[volatile acidity]]+winequality_red[[#This Row],[citric acid]])</f>
        <v>8.4250000000000007</v>
      </c>
      <c r="O879">
        <f t="shared" si="105"/>
        <v>3.4538135593220332E-2</v>
      </c>
      <c r="S879" t="e">
        <f t="shared" si="106"/>
        <v>#N/A</v>
      </c>
      <c r="T879" t="e">
        <f t="shared" si="107"/>
        <v>#N/A</v>
      </c>
      <c r="U879">
        <f t="shared" si="108"/>
        <v>11.8</v>
      </c>
      <c r="V879">
        <f t="shared" si="109"/>
        <v>6</v>
      </c>
      <c r="W879" t="e">
        <f t="shared" si="110"/>
        <v>#N/A</v>
      </c>
      <c r="X879" t="e">
        <f t="shared" si="111"/>
        <v>#N/A</v>
      </c>
    </row>
    <row r="880" spans="1:24" x14ac:dyDescent="0.3">
      <c r="A880">
        <v>8.8000000000000007</v>
      </c>
      <c r="B880">
        <v>0.61</v>
      </c>
      <c r="C880">
        <v>0.19</v>
      </c>
      <c r="D880">
        <v>4</v>
      </c>
      <c r="E880">
        <v>9.4E-2</v>
      </c>
      <c r="F880">
        <v>30</v>
      </c>
      <c r="G880">
        <v>69</v>
      </c>
      <c r="H880">
        <v>0.99787000000000003</v>
      </c>
      <c r="I880">
        <v>3.22</v>
      </c>
      <c r="J880">
        <v>0.5</v>
      </c>
      <c r="K880">
        <v>10</v>
      </c>
      <c r="L880">
        <v>6</v>
      </c>
      <c r="M880" t="str">
        <f t="shared" si="104"/>
        <v>Medium</v>
      </c>
      <c r="N880">
        <f>(winequality_red[[#This Row],[Updated Quality &amp; Alcohol Analysis]]+winequality_red[[#This Row],[volatile acidity]]+winequality_red[[#This Row],[citric acid]])</f>
        <v>9.6</v>
      </c>
      <c r="O880">
        <f t="shared" si="105"/>
        <v>3.0499999999999999E-2</v>
      </c>
      <c r="S880" t="e">
        <f t="shared" si="106"/>
        <v>#N/A</v>
      </c>
      <c r="T880" t="e">
        <f t="shared" si="107"/>
        <v>#N/A</v>
      </c>
      <c r="U880">
        <f t="shared" si="108"/>
        <v>10</v>
      </c>
      <c r="V880">
        <f t="shared" si="109"/>
        <v>6</v>
      </c>
      <c r="W880" t="e">
        <f t="shared" si="110"/>
        <v>#N/A</v>
      </c>
      <c r="X880" t="e">
        <f t="shared" si="111"/>
        <v>#N/A</v>
      </c>
    </row>
    <row r="881" spans="1:24" x14ac:dyDescent="0.3">
      <c r="A881">
        <v>7.2</v>
      </c>
      <c r="B881">
        <v>0.6</v>
      </c>
      <c r="C881">
        <v>0.04</v>
      </c>
      <c r="D881">
        <v>2.5</v>
      </c>
      <c r="E881">
        <v>7.5999999999999998E-2</v>
      </c>
      <c r="F881">
        <v>18</v>
      </c>
      <c r="G881">
        <v>88</v>
      </c>
      <c r="H881">
        <v>0.99744999999999995</v>
      </c>
      <c r="I881">
        <v>3.53</v>
      </c>
      <c r="J881">
        <v>0.55000000000000004</v>
      </c>
      <c r="K881">
        <v>9.5</v>
      </c>
      <c r="L881">
        <v>5</v>
      </c>
      <c r="M881" t="str">
        <f t="shared" si="104"/>
        <v>Medium</v>
      </c>
      <c r="N881">
        <f>(winequality_red[[#This Row],[Updated Quality &amp; Alcohol Analysis]]+winequality_red[[#This Row],[volatile acidity]]+winequality_red[[#This Row],[citric acid]])</f>
        <v>7.84</v>
      </c>
      <c r="O881">
        <f t="shared" si="105"/>
        <v>3.4736842105263156E-2</v>
      </c>
      <c r="S881" t="e">
        <f t="shared" si="106"/>
        <v>#N/A</v>
      </c>
      <c r="T881" t="e">
        <f t="shared" si="107"/>
        <v>#N/A</v>
      </c>
      <c r="U881">
        <f t="shared" si="108"/>
        <v>9.5</v>
      </c>
      <c r="V881">
        <f t="shared" si="109"/>
        <v>5</v>
      </c>
      <c r="W881" t="e">
        <f t="shared" si="110"/>
        <v>#N/A</v>
      </c>
      <c r="X881" t="e">
        <f t="shared" si="111"/>
        <v>#N/A</v>
      </c>
    </row>
    <row r="882" spans="1:24" x14ac:dyDescent="0.3">
      <c r="A882">
        <v>9.1999999999999993</v>
      </c>
      <c r="B882">
        <v>0.56000000000000005</v>
      </c>
      <c r="C882">
        <v>0.18</v>
      </c>
      <c r="D882">
        <v>1.6</v>
      </c>
      <c r="E882">
        <v>7.8E-2</v>
      </c>
      <c r="F882">
        <v>10</v>
      </c>
      <c r="G882">
        <v>21</v>
      </c>
      <c r="H882">
        <v>0.99576000000000009</v>
      </c>
      <c r="I882">
        <v>3.15</v>
      </c>
      <c r="J882">
        <v>0.49</v>
      </c>
      <c r="K882">
        <v>9.9</v>
      </c>
      <c r="L882">
        <v>5</v>
      </c>
      <c r="M882" t="str">
        <f t="shared" si="104"/>
        <v>Medium</v>
      </c>
      <c r="N882">
        <f>(winequality_red[[#This Row],[Updated Quality &amp; Alcohol Analysis]]+winequality_red[[#This Row],[volatile acidity]]+winequality_red[[#This Row],[citric acid]])</f>
        <v>9.94</v>
      </c>
      <c r="O882">
        <f t="shared" si="105"/>
        <v>2.771717171717172E-2</v>
      </c>
      <c r="S882" t="e">
        <f t="shared" si="106"/>
        <v>#N/A</v>
      </c>
      <c r="T882" t="e">
        <f t="shared" si="107"/>
        <v>#N/A</v>
      </c>
      <c r="U882">
        <f t="shared" si="108"/>
        <v>9.9</v>
      </c>
      <c r="V882">
        <f t="shared" si="109"/>
        <v>5</v>
      </c>
      <c r="W882" t="e">
        <f t="shared" si="110"/>
        <v>#N/A</v>
      </c>
      <c r="X882" t="e">
        <f t="shared" si="111"/>
        <v>#N/A</v>
      </c>
    </row>
    <row r="883" spans="1:24" x14ac:dyDescent="0.3">
      <c r="A883">
        <v>7.6</v>
      </c>
      <c r="B883">
        <v>0.71499999999999997</v>
      </c>
      <c r="C883">
        <v>0</v>
      </c>
      <c r="D883">
        <v>2.1</v>
      </c>
      <c r="E883">
        <v>6.8000000000000005E-2</v>
      </c>
      <c r="F883">
        <v>30</v>
      </c>
      <c r="G883">
        <v>35</v>
      </c>
      <c r="H883">
        <v>0.99532999999999994</v>
      </c>
      <c r="I883">
        <v>3.48</v>
      </c>
      <c r="J883">
        <v>0.65</v>
      </c>
      <c r="K883">
        <v>11.4</v>
      </c>
      <c r="L883">
        <v>6</v>
      </c>
      <c r="M883" t="str">
        <f t="shared" si="104"/>
        <v>Medium</v>
      </c>
      <c r="N883">
        <f>(winequality_red[[#This Row],[Updated Quality &amp; Alcohol Analysis]]+winequality_red[[#This Row],[volatile acidity]]+winequality_red[[#This Row],[citric acid]])</f>
        <v>8.3149999999999995</v>
      </c>
      <c r="O883">
        <f t="shared" si="105"/>
        <v>4.0767543859649119E-2</v>
      </c>
      <c r="S883" t="e">
        <f t="shared" si="106"/>
        <v>#N/A</v>
      </c>
      <c r="T883" t="e">
        <f t="shared" si="107"/>
        <v>#N/A</v>
      </c>
      <c r="U883">
        <f t="shared" si="108"/>
        <v>11.4</v>
      </c>
      <c r="V883">
        <f t="shared" si="109"/>
        <v>6</v>
      </c>
      <c r="W883" t="e">
        <f t="shared" si="110"/>
        <v>#N/A</v>
      </c>
      <c r="X883" t="e">
        <f t="shared" si="111"/>
        <v>#N/A</v>
      </c>
    </row>
    <row r="884" spans="1:24" x14ac:dyDescent="0.3">
      <c r="A884">
        <v>8.4</v>
      </c>
      <c r="B884">
        <v>0.31</v>
      </c>
      <c r="C884">
        <v>0.28999999999999998</v>
      </c>
      <c r="D884">
        <v>3.1</v>
      </c>
      <c r="E884">
        <v>0.19399999999999998</v>
      </c>
      <c r="F884">
        <v>14</v>
      </c>
      <c r="G884">
        <v>26</v>
      </c>
      <c r="H884">
        <v>0.99536000000000002</v>
      </c>
      <c r="I884">
        <v>3.22</v>
      </c>
      <c r="J884">
        <v>0.78</v>
      </c>
      <c r="K884">
        <v>12</v>
      </c>
      <c r="L884">
        <v>6</v>
      </c>
      <c r="M884" t="str">
        <f t="shared" si="104"/>
        <v>Medium</v>
      </c>
      <c r="N884">
        <f>(winequality_red[[#This Row],[Updated Quality &amp; Alcohol Analysis]]+winequality_red[[#This Row],[volatile acidity]]+winequality_red[[#This Row],[citric acid]])</f>
        <v>9</v>
      </c>
      <c r="O884">
        <f t="shared" si="105"/>
        <v>2.0150000000000001E-2</v>
      </c>
      <c r="S884" t="e">
        <f t="shared" si="106"/>
        <v>#N/A</v>
      </c>
      <c r="T884" t="e">
        <f t="shared" si="107"/>
        <v>#N/A</v>
      </c>
      <c r="U884">
        <f t="shared" si="108"/>
        <v>12</v>
      </c>
      <c r="V884">
        <f t="shared" si="109"/>
        <v>6</v>
      </c>
      <c r="W884" t="e">
        <f t="shared" si="110"/>
        <v>#N/A</v>
      </c>
      <c r="X884" t="e">
        <f t="shared" si="111"/>
        <v>#N/A</v>
      </c>
    </row>
    <row r="885" spans="1:24" x14ac:dyDescent="0.3">
      <c r="A885">
        <v>7.2</v>
      </c>
      <c r="B885">
        <v>0.6</v>
      </c>
      <c r="C885">
        <v>0.04</v>
      </c>
      <c r="D885">
        <v>2.5</v>
      </c>
      <c r="E885">
        <v>7.5999999999999998E-2</v>
      </c>
      <c r="F885">
        <v>18</v>
      </c>
      <c r="G885">
        <v>88</v>
      </c>
      <c r="H885">
        <v>0.99744999999999995</v>
      </c>
      <c r="I885">
        <v>3.53</v>
      </c>
      <c r="J885">
        <v>0.55000000000000004</v>
      </c>
      <c r="K885">
        <v>9.5</v>
      </c>
      <c r="L885">
        <v>5</v>
      </c>
      <c r="M885" t="str">
        <f t="shared" si="104"/>
        <v>Medium</v>
      </c>
      <c r="N885">
        <f>(winequality_red[[#This Row],[Updated Quality &amp; Alcohol Analysis]]+winequality_red[[#This Row],[volatile acidity]]+winequality_red[[#This Row],[citric acid]])</f>
        <v>7.84</v>
      </c>
      <c r="O885">
        <f t="shared" si="105"/>
        <v>3.4736842105263156E-2</v>
      </c>
      <c r="S885" t="e">
        <f t="shared" si="106"/>
        <v>#N/A</v>
      </c>
      <c r="T885" t="e">
        <f t="shared" si="107"/>
        <v>#N/A</v>
      </c>
      <c r="U885">
        <f t="shared" si="108"/>
        <v>9.5</v>
      </c>
      <c r="V885">
        <f t="shared" si="109"/>
        <v>5</v>
      </c>
      <c r="W885" t="e">
        <f t="shared" si="110"/>
        <v>#N/A</v>
      </c>
      <c r="X885" t="e">
        <f t="shared" si="111"/>
        <v>#N/A</v>
      </c>
    </row>
    <row r="886" spans="1:24" x14ac:dyDescent="0.3">
      <c r="A886">
        <v>8.8000000000000007</v>
      </c>
      <c r="B886">
        <v>0.61</v>
      </c>
      <c r="C886">
        <v>0.19</v>
      </c>
      <c r="D886">
        <v>4</v>
      </c>
      <c r="E886">
        <v>9.4E-2</v>
      </c>
      <c r="F886">
        <v>30</v>
      </c>
      <c r="G886">
        <v>69</v>
      </c>
      <c r="H886">
        <v>0.99787000000000003</v>
      </c>
      <c r="I886">
        <v>3.22</v>
      </c>
      <c r="J886">
        <v>0.5</v>
      </c>
      <c r="K886">
        <v>10</v>
      </c>
      <c r="L886">
        <v>6</v>
      </c>
      <c r="M886" t="str">
        <f t="shared" si="104"/>
        <v>Medium</v>
      </c>
      <c r="N886">
        <f>(winequality_red[[#This Row],[Updated Quality &amp; Alcohol Analysis]]+winequality_red[[#This Row],[volatile acidity]]+winequality_red[[#This Row],[citric acid]])</f>
        <v>9.6</v>
      </c>
      <c r="O886">
        <f t="shared" si="105"/>
        <v>3.0499999999999999E-2</v>
      </c>
      <c r="S886" t="e">
        <f t="shared" si="106"/>
        <v>#N/A</v>
      </c>
      <c r="T886" t="e">
        <f t="shared" si="107"/>
        <v>#N/A</v>
      </c>
      <c r="U886">
        <f t="shared" si="108"/>
        <v>10</v>
      </c>
      <c r="V886">
        <f t="shared" si="109"/>
        <v>6</v>
      </c>
      <c r="W886" t="e">
        <f t="shared" si="110"/>
        <v>#N/A</v>
      </c>
      <c r="X886" t="e">
        <f t="shared" si="111"/>
        <v>#N/A</v>
      </c>
    </row>
    <row r="887" spans="1:24" x14ac:dyDescent="0.3">
      <c r="A887">
        <v>8.9</v>
      </c>
      <c r="B887">
        <v>0.75</v>
      </c>
      <c r="C887">
        <v>0.14000000000000001</v>
      </c>
      <c r="D887">
        <v>2.5</v>
      </c>
      <c r="E887">
        <v>8.5999999999999993E-2</v>
      </c>
      <c r="F887">
        <v>9</v>
      </c>
      <c r="G887">
        <v>30</v>
      </c>
      <c r="H887">
        <v>0.99824000000000002</v>
      </c>
      <c r="I887">
        <v>3.34</v>
      </c>
      <c r="J887">
        <v>0.64</v>
      </c>
      <c r="K887">
        <v>10.5</v>
      </c>
      <c r="L887">
        <v>5</v>
      </c>
      <c r="M887" t="str">
        <f t="shared" si="104"/>
        <v>Medium</v>
      </c>
      <c r="N887">
        <f>(winequality_red[[#This Row],[Updated Quality &amp; Alcohol Analysis]]+winequality_red[[#This Row],[volatile acidity]]+winequality_red[[#This Row],[citric acid]])</f>
        <v>9.7900000000000009</v>
      </c>
      <c r="O887">
        <f t="shared" si="105"/>
        <v>4.5714285714285714E-2</v>
      </c>
      <c r="S887" t="e">
        <f t="shared" si="106"/>
        <v>#N/A</v>
      </c>
      <c r="T887" t="e">
        <f t="shared" si="107"/>
        <v>#N/A</v>
      </c>
      <c r="U887">
        <f t="shared" si="108"/>
        <v>10.5</v>
      </c>
      <c r="V887">
        <f t="shared" si="109"/>
        <v>5</v>
      </c>
      <c r="W887" t="e">
        <f t="shared" si="110"/>
        <v>#N/A</v>
      </c>
      <c r="X887" t="e">
        <f t="shared" si="111"/>
        <v>#N/A</v>
      </c>
    </row>
    <row r="888" spans="1:24" x14ac:dyDescent="0.3">
      <c r="A888">
        <v>9</v>
      </c>
      <c r="B888">
        <v>0.8</v>
      </c>
      <c r="C888">
        <v>0.12</v>
      </c>
      <c r="D888">
        <v>2.4</v>
      </c>
      <c r="E888">
        <v>8.3000000000000004E-2</v>
      </c>
      <c r="F888">
        <v>8</v>
      </c>
      <c r="G888">
        <v>28</v>
      </c>
      <c r="H888">
        <v>0.99836000000000003</v>
      </c>
      <c r="I888">
        <v>3.33</v>
      </c>
      <c r="J888">
        <v>0.65</v>
      </c>
      <c r="K888">
        <v>10.4</v>
      </c>
      <c r="L888">
        <v>6</v>
      </c>
      <c r="M888" t="str">
        <f t="shared" si="104"/>
        <v>Medium</v>
      </c>
      <c r="N888">
        <f>(winequality_red[[#This Row],[Updated Quality &amp; Alcohol Analysis]]+winequality_red[[#This Row],[volatile acidity]]+winequality_red[[#This Row],[citric acid]])</f>
        <v>9.92</v>
      </c>
      <c r="O888">
        <f t="shared" si="105"/>
        <v>0.05</v>
      </c>
      <c r="S888" t="e">
        <f t="shared" si="106"/>
        <v>#N/A</v>
      </c>
      <c r="T888" t="e">
        <f t="shared" si="107"/>
        <v>#N/A</v>
      </c>
      <c r="U888">
        <f t="shared" si="108"/>
        <v>10.4</v>
      </c>
      <c r="V888">
        <f t="shared" si="109"/>
        <v>6</v>
      </c>
      <c r="W888" t="e">
        <f t="shared" si="110"/>
        <v>#N/A</v>
      </c>
      <c r="X888" t="e">
        <f t="shared" si="111"/>
        <v>#N/A</v>
      </c>
    </row>
    <row r="889" spans="1:24" x14ac:dyDescent="0.3">
      <c r="A889">
        <v>10.7</v>
      </c>
      <c r="B889">
        <v>0.52</v>
      </c>
      <c r="C889">
        <v>0.38</v>
      </c>
      <c r="D889">
        <v>2.6</v>
      </c>
      <c r="E889">
        <v>6.6000000000000003E-2</v>
      </c>
      <c r="F889">
        <v>29</v>
      </c>
      <c r="G889">
        <v>56</v>
      </c>
      <c r="H889">
        <v>0.99577000000000004</v>
      </c>
      <c r="I889">
        <v>3.15</v>
      </c>
      <c r="J889">
        <v>0.79</v>
      </c>
      <c r="K889">
        <v>12.1</v>
      </c>
      <c r="L889">
        <v>7</v>
      </c>
      <c r="M889" t="str">
        <f t="shared" si="104"/>
        <v>High</v>
      </c>
      <c r="N889">
        <f>(winequality_red[[#This Row],[Updated Quality &amp; Alcohol Analysis]]+winequality_red[[#This Row],[volatile acidity]]+winequality_red[[#This Row],[citric acid]])</f>
        <v>11.6</v>
      </c>
      <c r="O889">
        <f t="shared" si="105"/>
        <v>3.3950413223140498E-2</v>
      </c>
      <c r="S889" t="e">
        <f t="shared" si="106"/>
        <v>#N/A</v>
      </c>
      <c r="T889" t="e">
        <f t="shared" si="107"/>
        <v>#N/A</v>
      </c>
      <c r="U889" t="e">
        <f t="shared" si="108"/>
        <v>#N/A</v>
      </c>
      <c r="V889" t="e">
        <f t="shared" si="109"/>
        <v>#N/A</v>
      </c>
      <c r="W889">
        <f t="shared" si="110"/>
        <v>12.1</v>
      </c>
      <c r="X889">
        <f t="shared" si="111"/>
        <v>7</v>
      </c>
    </row>
    <row r="890" spans="1:24" x14ac:dyDescent="0.3">
      <c r="A890">
        <v>6.8</v>
      </c>
      <c r="B890">
        <v>0.56999999999999995</v>
      </c>
      <c r="C890">
        <v>0</v>
      </c>
      <c r="D890">
        <v>2.5</v>
      </c>
      <c r="E890">
        <v>7.2000000000000008E-2</v>
      </c>
      <c r="F890">
        <v>32</v>
      </c>
      <c r="G890">
        <v>64</v>
      </c>
      <c r="H890">
        <v>0.99491000000000007</v>
      </c>
      <c r="I890">
        <v>3.43</v>
      </c>
      <c r="J890">
        <v>0.56000000000000005</v>
      </c>
      <c r="K890">
        <v>11.2</v>
      </c>
      <c r="L890">
        <v>6</v>
      </c>
      <c r="M890" t="str">
        <f t="shared" si="104"/>
        <v>Medium</v>
      </c>
      <c r="N890">
        <f>(winequality_red[[#This Row],[Updated Quality &amp; Alcohol Analysis]]+winequality_red[[#This Row],[volatile acidity]]+winequality_red[[#This Row],[citric acid]])</f>
        <v>7.37</v>
      </c>
      <c r="O890">
        <f t="shared" si="105"/>
        <v>2.8500000000000001E-2</v>
      </c>
      <c r="S890" t="e">
        <f t="shared" si="106"/>
        <v>#N/A</v>
      </c>
      <c r="T890" t="e">
        <f t="shared" si="107"/>
        <v>#N/A</v>
      </c>
      <c r="U890">
        <f t="shared" si="108"/>
        <v>11.2</v>
      </c>
      <c r="V890">
        <f t="shared" si="109"/>
        <v>6</v>
      </c>
      <c r="W890" t="e">
        <f t="shared" si="110"/>
        <v>#N/A</v>
      </c>
      <c r="X890" t="e">
        <f t="shared" si="111"/>
        <v>#N/A</v>
      </c>
    </row>
    <row r="891" spans="1:24" x14ac:dyDescent="0.3">
      <c r="A891">
        <v>10.7</v>
      </c>
      <c r="B891">
        <v>0.9</v>
      </c>
      <c r="C891">
        <v>0.34</v>
      </c>
      <c r="D891">
        <v>6.6</v>
      </c>
      <c r="E891">
        <v>0.11199999999999999</v>
      </c>
      <c r="F891">
        <v>23</v>
      </c>
      <c r="G891">
        <v>99</v>
      </c>
      <c r="H891">
        <v>1.0028900000000001</v>
      </c>
      <c r="I891">
        <v>3.22</v>
      </c>
      <c r="J891">
        <v>0.68</v>
      </c>
      <c r="K891">
        <v>9.3000000000000007</v>
      </c>
      <c r="L891">
        <v>5</v>
      </c>
      <c r="M891" t="str">
        <f t="shared" si="104"/>
        <v>Medium</v>
      </c>
      <c r="N891">
        <f>(winequality_red[[#This Row],[Updated Quality &amp; Alcohol Analysis]]+winequality_red[[#This Row],[volatile acidity]]+winequality_red[[#This Row],[citric acid]])</f>
        <v>11.94</v>
      </c>
      <c r="O891">
        <f t="shared" si="105"/>
        <v>6.580645161290323E-2</v>
      </c>
      <c r="S891" t="e">
        <f t="shared" si="106"/>
        <v>#N/A</v>
      </c>
      <c r="T891" t="e">
        <f t="shared" si="107"/>
        <v>#N/A</v>
      </c>
      <c r="U891">
        <f t="shared" si="108"/>
        <v>9.3000000000000007</v>
      </c>
      <c r="V891">
        <f t="shared" si="109"/>
        <v>5</v>
      </c>
      <c r="W891" t="e">
        <f t="shared" si="110"/>
        <v>#N/A</v>
      </c>
      <c r="X891" t="e">
        <f t="shared" si="111"/>
        <v>#N/A</v>
      </c>
    </row>
    <row r="892" spans="1:24" x14ac:dyDescent="0.3">
      <c r="A892">
        <v>7.2</v>
      </c>
      <c r="B892">
        <v>0.34</v>
      </c>
      <c r="C892">
        <v>0.24</v>
      </c>
      <c r="D892">
        <v>2</v>
      </c>
      <c r="E892">
        <v>7.0999999999999994E-2</v>
      </c>
      <c r="F892">
        <v>30</v>
      </c>
      <c r="G892">
        <v>52</v>
      </c>
      <c r="H892">
        <v>0.99576000000000009</v>
      </c>
      <c r="I892">
        <v>3.44</v>
      </c>
      <c r="J892">
        <v>0.57999999999999996</v>
      </c>
      <c r="K892">
        <v>10.1</v>
      </c>
      <c r="L892">
        <v>5</v>
      </c>
      <c r="M892" t="str">
        <f t="shared" si="104"/>
        <v>Medium</v>
      </c>
      <c r="N892">
        <f>(winequality_red[[#This Row],[Updated Quality &amp; Alcohol Analysis]]+winequality_red[[#This Row],[volatile acidity]]+winequality_red[[#This Row],[citric acid]])</f>
        <v>7.78</v>
      </c>
      <c r="O892">
        <f t="shared" si="105"/>
        <v>1.9524752475247528E-2</v>
      </c>
      <c r="S892" t="e">
        <f t="shared" si="106"/>
        <v>#N/A</v>
      </c>
      <c r="T892" t="e">
        <f t="shared" si="107"/>
        <v>#N/A</v>
      </c>
      <c r="U892">
        <f t="shared" si="108"/>
        <v>10.1</v>
      </c>
      <c r="V892">
        <f t="shared" si="109"/>
        <v>5</v>
      </c>
      <c r="W892" t="e">
        <f t="shared" si="110"/>
        <v>#N/A</v>
      </c>
      <c r="X892" t="e">
        <f t="shared" si="111"/>
        <v>#N/A</v>
      </c>
    </row>
    <row r="893" spans="1:24" x14ac:dyDescent="0.3">
      <c r="A893">
        <v>7.2</v>
      </c>
      <c r="B893">
        <v>0.66</v>
      </c>
      <c r="C893">
        <v>0.03</v>
      </c>
      <c r="D893">
        <v>2.2999999999999998</v>
      </c>
      <c r="E893">
        <v>7.8E-2</v>
      </c>
      <c r="F893">
        <v>16</v>
      </c>
      <c r="G893">
        <v>86</v>
      </c>
      <c r="H893">
        <v>0.99742999999999993</v>
      </c>
      <c r="I893">
        <v>3.53</v>
      </c>
      <c r="J893">
        <v>0.56999999999999995</v>
      </c>
      <c r="K893">
        <v>9.6999999999999993</v>
      </c>
      <c r="L893">
        <v>5</v>
      </c>
      <c r="M893" t="str">
        <f t="shared" si="104"/>
        <v>Medium</v>
      </c>
      <c r="N893">
        <f>(winequality_red[[#This Row],[Updated Quality &amp; Alcohol Analysis]]+winequality_red[[#This Row],[volatile acidity]]+winequality_red[[#This Row],[citric acid]])</f>
        <v>7.8900000000000006</v>
      </c>
      <c r="O893">
        <f t="shared" si="105"/>
        <v>3.8783505154639179E-2</v>
      </c>
      <c r="S893" t="e">
        <f t="shared" si="106"/>
        <v>#N/A</v>
      </c>
      <c r="T893" t="e">
        <f t="shared" si="107"/>
        <v>#N/A</v>
      </c>
      <c r="U893">
        <f t="shared" si="108"/>
        <v>9.6999999999999993</v>
      </c>
      <c r="V893">
        <f t="shared" si="109"/>
        <v>5</v>
      </c>
      <c r="W893" t="e">
        <f t="shared" si="110"/>
        <v>#N/A</v>
      </c>
      <c r="X893" t="e">
        <f t="shared" si="111"/>
        <v>#N/A</v>
      </c>
    </row>
    <row r="894" spans="1:24" x14ac:dyDescent="0.3">
      <c r="A894">
        <v>10.1</v>
      </c>
      <c r="B894">
        <v>0.45</v>
      </c>
      <c r="C894">
        <v>0.23</v>
      </c>
      <c r="D894">
        <v>1.9</v>
      </c>
      <c r="E894">
        <v>8.199999999999999E-2</v>
      </c>
      <c r="F894">
        <v>10</v>
      </c>
      <c r="G894">
        <v>18</v>
      </c>
      <c r="H894">
        <v>0.99773999999999996</v>
      </c>
      <c r="I894">
        <v>3.22</v>
      </c>
      <c r="J894">
        <v>0.65</v>
      </c>
      <c r="K894">
        <v>9.3000000000000007</v>
      </c>
      <c r="L894">
        <v>6</v>
      </c>
      <c r="M894" t="str">
        <f t="shared" si="104"/>
        <v>Medium</v>
      </c>
      <c r="N894">
        <f>(winequality_red[[#This Row],[Updated Quality &amp; Alcohol Analysis]]+winequality_red[[#This Row],[volatile acidity]]+winequality_red[[#This Row],[citric acid]])</f>
        <v>10.78</v>
      </c>
      <c r="O894">
        <f t="shared" si="105"/>
        <v>3.145161290322581E-2</v>
      </c>
      <c r="S894" t="e">
        <f t="shared" si="106"/>
        <v>#N/A</v>
      </c>
      <c r="T894" t="e">
        <f t="shared" si="107"/>
        <v>#N/A</v>
      </c>
      <c r="U894">
        <f t="shared" si="108"/>
        <v>9.3000000000000007</v>
      </c>
      <c r="V894">
        <f t="shared" si="109"/>
        <v>6</v>
      </c>
      <c r="W894" t="e">
        <f t="shared" si="110"/>
        <v>#N/A</v>
      </c>
      <c r="X894" t="e">
        <f t="shared" si="111"/>
        <v>#N/A</v>
      </c>
    </row>
    <row r="895" spans="1:24" x14ac:dyDescent="0.3">
      <c r="A895">
        <v>7.2</v>
      </c>
      <c r="B895">
        <v>0.66</v>
      </c>
      <c r="C895">
        <v>0.03</v>
      </c>
      <c r="D895">
        <v>2.2999999999999998</v>
      </c>
      <c r="E895">
        <v>7.8E-2</v>
      </c>
      <c r="F895">
        <v>16</v>
      </c>
      <c r="G895">
        <v>86</v>
      </c>
      <c r="H895">
        <v>0.99742999999999993</v>
      </c>
      <c r="I895">
        <v>3.53</v>
      </c>
      <c r="J895">
        <v>0.56999999999999995</v>
      </c>
      <c r="K895">
        <v>9.6999999999999993</v>
      </c>
      <c r="L895">
        <v>5</v>
      </c>
      <c r="M895" t="str">
        <f t="shared" si="104"/>
        <v>Medium</v>
      </c>
      <c r="N895">
        <f>(winequality_red[[#This Row],[Updated Quality &amp; Alcohol Analysis]]+winequality_red[[#This Row],[volatile acidity]]+winequality_red[[#This Row],[citric acid]])</f>
        <v>7.8900000000000006</v>
      </c>
      <c r="O895">
        <f t="shared" si="105"/>
        <v>3.8783505154639179E-2</v>
      </c>
      <c r="S895" t="e">
        <f t="shared" si="106"/>
        <v>#N/A</v>
      </c>
      <c r="T895" t="e">
        <f t="shared" si="107"/>
        <v>#N/A</v>
      </c>
      <c r="U895">
        <f t="shared" si="108"/>
        <v>9.6999999999999993</v>
      </c>
      <c r="V895">
        <f t="shared" si="109"/>
        <v>5</v>
      </c>
      <c r="W895" t="e">
        <f t="shared" si="110"/>
        <v>#N/A</v>
      </c>
      <c r="X895" t="e">
        <f t="shared" si="111"/>
        <v>#N/A</v>
      </c>
    </row>
    <row r="896" spans="1:24" x14ac:dyDescent="0.3">
      <c r="A896">
        <v>7.2</v>
      </c>
      <c r="B896">
        <v>0.63</v>
      </c>
      <c r="C896">
        <v>0.03</v>
      </c>
      <c r="D896">
        <v>2.2000000000000002</v>
      </c>
      <c r="E896">
        <v>0.08</v>
      </c>
      <c r="F896">
        <v>17</v>
      </c>
      <c r="G896">
        <v>88</v>
      </c>
      <c r="H896">
        <v>0.99744999999999995</v>
      </c>
      <c r="I896">
        <v>3.53</v>
      </c>
      <c r="J896">
        <v>0.57999999999999996</v>
      </c>
      <c r="K896">
        <v>9.8000000000000007</v>
      </c>
      <c r="L896">
        <v>6</v>
      </c>
      <c r="M896" t="str">
        <f t="shared" si="104"/>
        <v>Medium</v>
      </c>
      <c r="N896">
        <f>(winequality_red[[#This Row],[Updated Quality &amp; Alcohol Analysis]]+winequality_red[[#This Row],[volatile acidity]]+winequality_red[[#This Row],[citric acid]])</f>
        <v>7.86</v>
      </c>
      <c r="O896">
        <f t="shared" si="105"/>
        <v>3.7285714285714283E-2</v>
      </c>
      <c r="S896" t="e">
        <f t="shared" si="106"/>
        <v>#N/A</v>
      </c>
      <c r="T896" t="e">
        <f t="shared" si="107"/>
        <v>#N/A</v>
      </c>
      <c r="U896">
        <f t="shared" si="108"/>
        <v>9.8000000000000007</v>
      </c>
      <c r="V896">
        <f t="shared" si="109"/>
        <v>6</v>
      </c>
      <c r="W896" t="e">
        <f t="shared" si="110"/>
        <v>#N/A</v>
      </c>
      <c r="X896" t="e">
        <f t="shared" si="111"/>
        <v>#N/A</v>
      </c>
    </row>
    <row r="897" spans="1:24" x14ac:dyDescent="0.3">
      <c r="A897">
        <v>7.1</v>
      </c>
      <c r="B897">
        <v>0.59</v>
      </c>
      <c r="C897">
        <v>0.01</v>
      </c>
      <c r="D897">
        <v>2.2999999999999998</v>
      </c>
      <c r="E897">
        <v>0.08</v>
      </c>
      <c r="F897">
        <v>27</v>
      </c>
      <c r="G897">
        <v>43</v>
      </c>
      <c r="H897">
        <v>0.99550000000000005</v>
      </c>
      <c r="I897">
        <v>3.42</v>
      </c>
      <c r="J897">
        <v>0.57999999999999996</v>
      </c>
      <c r="K897">
        <v>10.7</v>
      </c>
      <c r="L897">
        <v>6</v>
      </c>
      <c r="M897" t="str">
        <f t="shared" si="104"/>
        <v>Medium</v>
      </c>
      <c r="N897">
        <f>(winequality_red[[#This Row],[Updated Quality &amp; Alcohol Analysis]]+winequality_red[[#This Row],[volatile acidity]]+winequality_red[[#This Row],[citric acid]])</f>
        <v>7.6999999999999993</v>
      </c>
      <c r="O897">
        <f t="shared" si="105"/>
        <v>3.1981308411214951E-2</v>
      </c>
      <c r="S897" t="e">
        <f t="shared" si="106"/>
        <v>#N/A</v>
      </c>
      <c r="T897" t="e">
        <f t="shared" si="107"/>
        <v>#N/A</v>
      </c>
      <c r="U897">
        <f t="shared" si="108"/>
        <v>10.7</v>
      </c>
      <c r="V897">
        <f t="shared" si="109"/>
        <v>6</v>
      </c>
      <c r="W897" t="e">
        <f t="shared" si="110"/>
        <v>#N/A</v>
      </c>
      <c r="X897" t="e">
        <f t="shared" si="111"/>
        <v>#N/A</v>
      </c>
    </row>
    <row r="898" spans="1:24" x14ac:dyDescent="0.3">
      <c r="A898">
        <v>8.3000000000000007</v>
      </c>
      <c r="B898">
        <v>0.31</v>
      </c>
      <c r="C898">
        <v>0.39</v>
      </c>
      <c r="D898">
        <v>2.4</v>
      </c>
      <c r="E898">
        <v>7.8E-2</v>
      </c>
      <c r="F898">
        <v>17</v>
      </c>
      <c r="G898">
        <v>43</v>
      </c>
      <c r="H898">
        <v>0.99443999999999999</v>
      </c>
      <c r="I898">
        <v>3.31</v>
      </c>
      <c r="J898">
        <v>0.77</v>
      </c>
      <c r="K898">
        <v>12.5</v>
      </c>
      <c r="L898">
        <v>7</v>
      </c>
      <c r="M898" t="str">
        <f t="shared" ref="M898:M961" si="112">IF($L898&gt;=7,"High",IF($L898&gt;=5,"Medium","Low"))</f>
        <v>High</v>
      </c>
      <c r="N898">
        <f>(winequality_red[[#This Row],[Updated Quality &amp; Alcohol Analysis]]+winequality_red[[#This Row],[volatile acidity]]+winequality_red[[#This Row],[citric acid]])</f>
        <v>9.0000000000000018</v>
      </c>
      <c r="O898">
        <f t="shared" ref="O898:O961" si="113">($B898*$J898)/$K898</f>
        <v>1.9095999999999998E-2</v>
      </c>
      <c r="S898" t="e">
        <f t="shared" si="106"/>
        <v>#N/A</v>
      </c>
      <c r="T898" t="e">
        <f t="shared" si="107"/>
        <v>#N/A</v>
      </c>
      <c r="U898" t="e">
        <f t="shared" si="108"/>
        <v>#N/A</v>
      </c>
      <c r="V898" t="e">
        <f t="shared" si="109"/>
        <v>#N/A</v>
      </c>
      <c r="W898">
        <f t="shared" si="110"/>
        <v>12.5</v>
      </c>
      <c r="X898">
        <f t="shared" si="111"/>
        <v>7</v>
      </c>
    </row>
    <row r="899" spans="1:24" x14ac:dyDescent="0.3">
      <c r="A899">
        <v>7.1</v>
      </c>
      <c r="B899">
        <v>0.59</v>
      </c>
      <c r="C899">
        <v>0.01</v>
      </c>
      <c r="D899">
        <v>2.2999999999999998</v>
      </c>
      <c r="E899">
        <v>0.08</v>
      </c>
      <c r="F899">
        <v>27</v>
      </c>
      <c r="G899">
        <v>43</v>
      </c>
      <c r="H899">
        <v>0.99550000000000005</v>
      </c>
      <c r="I899">
        <v>3.42</v>
      </c>
      <c r="J899">
        <v>0.57999999999999996</v>
      </c>
      <c r="K899">
        <v>10.7</v>
      </c>
      <c r="L899">
        <v>6</v>
      </c>
      <c r="M899" t="str">
        <f t="shared" si="112"/>
        <v>Medium</v>
      </c>
      <c r="N899">
        <f>(winequality_red[[#This Row],[Updated Quality &amp; Alcohol Analysis]]+winequality_red[[#This Row],[volatile acidity]]+winequality_red[[#This Row],[citric acid]])</f>
        <v>7.6999999999999993</v>
      </c>
      <c r="O899">
        <f t="shared" si="113"/>
        <v>3.1981308411214951E-2</v>
      </c>
      <c r="S899" t="e">
        <f t="shared" ref="S899:S962" si="114">IF($M899="Low",$K899,NA())</f>
        <v>#N/A</v>
      </c>
      <c r="T899" t="e">
        <f t="shared" ref="T899:T962" si="115">IF($M899="Low",$L899,NA())</f>
        <v>#N/A</v>
      </c>
      <c r="U899">
        <f t="shared" ref="U899:U962" si="116">IF($M899="Medium",$K899,NA())</f>
        <v>10.7</v>
      </c>
      <c r="V899">
        <f t="shared" ref="V899:V962" si="117">IF($M899="Medium",$L899,NA())</f>
        <v>6</v>
      </c>
      <c r="W899" t="e">
        <f t="shared" ref="W899:W962" si="118">IF($M899="High",$K899,NA())</f>
        <v>#N/A</v>
      </c>
      <c r="X899" t="e">
        <f t="shared" ref="X899:X962" si="119">IF($M899="High",$L899,NA())</f>
        <v>#N/A</v>
      </c>
    </row>
    <row r="900" spans="1:24" x14ac:dyDescent="0.3">
      <c r="A900">
        <v>8.3000000000000007</v>
      </c>
      <c r="B900">
        <v>0.31</v>
      </c>
      <c r="C900">
        <v>0.39</v>
      </c>
      <c r="D900">
        <v>2.4</v>
      </c>
      <c r="E900">
        <v>7.8E-2</v>
      </c>
      <c r="F900">
        <v>17</v>
      </c>
      <c r="G900">
        <v>43</v>
      </c>
      <c r="H900">
        <v>0.99443999999999999</v>
      </c>
      <c r="I900">
        <v>3.31</v>
      </c>
      <c r="J900">
        <v>0.77</v>
      </c>
      <c r="K900">
        <v>12.5</v>
      </c>
      <c r="L900">
        <v>7</v>
      </c>
      <c r="M900" t="str">
        <f t="shared" si="112"/>
        <v>High</v>
      </c>
      <c r="N900">
        <f>(winequality_red[[#This Row],[Updated Quality &amp; Alcohol Analysis]]+winequality_red[[#This Row],[volatile acidity]]+winequality_red[[#This Row],[citric acid]])</f>
        <v>9.0000000000000018</v>
      </c>
      <c r="O900">
        <f t="shared" si="113"/>
        <v>1.9095999999999998E-2</v>
      </c>
      <c r="S900" t="e">
        <f t="shared" si="114"/>
        <v>#N/A</v>
      </c>
      <c r="T900" t="e">
        <f t="shared" si="115"/>
        <v>#N/A</v>
      </c>
      <c r="U900" t="e">
        <f t="shared" si="116"/>
        <v>#N/A</v>
      </c>
      <c r="V900" t="e">
        <f t="shared" si="117"/>
        <v>#N/A</v>
      </c>
      <c r="W900">
        <f t="shared" si="118"/>
        <v>12.5</v>
      </c>
      <c r="X900">
        <f t="shared" si="119"/>
        <v>7</v>
      </c>
    </row>
    <row r="901" spans="1:24" x14ac:dyDescent="0.3">
      <c r="A901">
        <v>8.3000000000000007</v>
      </c>
      <c r="B901">
        <v>1.02</v>
      </c>
      <c r="C901">
        <v>0.02</v>
      </c>
      <c r="D901">
        <v>3.4</v>
      </c>
      <c r="E901">
        <v>8.4000000000000005E-2</v>
      </c>
      <c r="F901">
        <v>6</v>
      </c>
      <c r="G901">
        <v>11</v>
      </c>
      <c r="H901">
        <v>0.99892000000000003</v>
      </c>
      <c r="I901">
        <v>3.48</v>
      </c>
      <c r="J901">
        <v>0.49</v>
      </c>
      <c r="K901">
        <v>11</v>
      </c>
      <c r="L901">
        <v>3</v>
      </c>
      <c r="M901" t="str">
        <f t="shared" si="112"/>
        <v>Low</v>
      </c>
      <c r="N901">
        <f>(winequality_red[[#This Row],[Updated Quality &amp; Alcohol Analysis]]+winequality_red[[#This Row],[volatile acidity]]+winequality_red[[#This Row],[citric acid]])</f>
        <v>9.34</v>
      </c>
      <c r="O901">
        <f t="shared" si="113"/>
        <v>4.5436363636363636E-2</v>
      </c>
      <c r="S901">
        <f t="shared" si="114"/>
        <v>11</v>
      </c>
      <c r="T901">
        <f t="shared" si="115"/>
        <v>3</v>
      </c>
      <c r="U901" t="e">
        <f t="shared" si="116"/>
        <v>#N/A</v>
      </c>
      <c r="V901" t="e">
        <f t="shared" si="117"/>
        <v>#N/A</v>
      </c>
      <c r="W901" t="e">
        <f t="shared" si="118"/>
        <v>#N/A</v>
      </c>
      <c r="X901" t="e">
        <f t="shared" si="119"/>
        <v>#N/A</v>
      </c>
    </row>
    <row r="902" spans="1:24" x14ac:dyDescent="0.3">
      <c r="A902">
        <v>8.9</v>
      </c>
      <c r="B902">
        <v>0.31</v>
      </c>
      <c r="C902">
        <v>0.36</v>
      </c>
      <c r="D902">
        <v>2.6</v>
      </c>
      <c r="E902">
        <v>5.5999999999999994E-2</v>
      </c>
      <c r="F902">
        <v>10</v>
      </c>
      <c r="G902">
        <v>39</v>
      </c>
      <c r="H902">
        <v>0.99562000000000006</v>
      </c>
      <c r="I902">
        <v>3.4</v>
      </c>
      <c r="J902">
        <v>0.69</v>
      </c>
      <c r="K902">
        <v>11.8</v>
      </c>
      <c r="L902">
        <v>5</v>
      </c>
      <c r="M902" t="str">
        <f t="shared" si="112"/>
        <v>Medium</v>
      </c>
      <c r="N902">
        <f>(winequality_red[[#This Row],[Updated Quality &amp; Alcohol Analysis]]+winequality_red[[#This Row],[volatile acidity]]+winequality_red[[#This Row],[citric acid]])</f>
        <v>9.57</v>
      </c>
      <c r="O902">
        <f t="shared" si="113"/>
        <v>1.8127118644067793E-2</v>
      </c>
      <c r="S902" t="e">
        <f t="shared" si="114"/>
        <v>#N/A</v>
      </c>
      <c r="T902" t="e">
        <f t="shared" si="115"/>
        <v>#N/A</v>
      </c>
      <c r="U902">
        <f t="shared" si="116"/>
        <v>11.8</v>
      </c>
      <c r="V902">
        <f t="shared" si="117"/>
        <v>5</v>
      </c>
      <c r="W902" t="e">
        <f t="shared" si="118"/>
        <v>#N/A</v>
      </c>
      <c r="X902" t="e">
        <f t="shared" si="119"/>
        <v>#N/A</v>
      </c>
    </row>
    <row r="903" spans="1:24" x14ac:dyDescent="0.3">
      <c r="A903">
        <v>7.4</v>
      </c>
      <c r="B903">
        <v>0.63500000000000001</v>
      </c>
      <c r="C903">
        <v>0.1</v>
      </c>
      <c r="D903">
        <v>2.4</v>
      </c>
      <c r="E903">
        <v>0.08</v>
      </c>
      <c r="F903">
        <v>16</v>
      </c>
      <c r="G903">
        <v>33</v>
      </c>
      <c r="H903">
        <v>0.99736000000000002</v>
      </c>
      <c r="I903">
        <v>3.58</v>
      </c>
      <c r="J903">
        <v>0.69</v>
      </c>
      <c r="K903">
        <v>10.8</v>
      </c>
      <c r="L903">
        <v>7</v>
      </c>
      <c r="M903" t="str">
        <f t="shared" si="112"/>
        <v>High</v>
      </c>
      <c r="N903">
        <f>(winequality_red[[#This Row],[Updated Quality &amp; Alcohol Analysis]]+winequality_red[[#This Row],[volatile acidity]]+winequality_red[[#This Row],[citric acid]])</f>
        <v>8.1349999999999998</v>
      </c>
      <c r="O903">
        <f t="shared" si="113"/>
        <v>4.0569444444444443E-2</v>
      </c>
      <c r="S903" t="e">
        <f t="shared" si="114"/>
        <v>#N/A</v>
      </c>
      <c r="T903" t="e">
        <f t="shared" si="115"/>
        <v>#N/A</v>
      </c>
      <c r="U903" t="e">
        <f t="shared" si="116"/>
        <v>#N/A</v>
      </c>
      <c r="V903" t="e">
        <f t="shared" si="117"/>
        <v>#N/A</v>
      </c>
      <c r="W903">
        <f t="shared" si="118"/>
        <v>10.8</v>
      </c>
      <c r="X903">
        <f t="shared" si="119"/>
        <v>7</v>
      </c>
    </row>
    <row r="904" spans="1:24" x14ac:dyDescent="0.3">
      <c r="A904">
        <v>7.4</v>
      </c>
      <c r="B904">
        <v>0.63500000000000001</v>
      </c>
      <c r="C904">
        <v>0.1</v>
      </c>
      <c r="D904">
        <v>2.4</v>
      </c>
      <c r="E904">
        <v>0.08</v>
      </c>
      <c r="F904">
        <v>16</v>
      </c>
      <c r="G904">
        <v>33</v>
      </c>
      <c r="H904">
        <v>0.99736000000000002</v>
      </c>
      <c r="I904">
        <v>3.58</v>
      </c>
      <c r="J904">
        <v>0.69</v>
      </c>
      <c r="K904">
        <v>10.8</v>
      </c>
      <c r="L904">
        <v>7</v>
      </c>
      <c r="M904" t="str">
        <f t="shared" si="112"/>
        <v>High</v>
      </c>
      <c r="N904">
        <f>(winequality_red[[#This Row],[Updated Quality &amp; Alcohol Analysis]]+winequality_red[[#This Row],[volatile acidity]]+winequality_red[[#This Row],[citric acid]])</f>
        <v>8.1349999999999998</v>
      </c>
      <c r="O904">
        <f t="shared" si="113"/>
        <v>4.0569444444444443E-2</v>
      </c>
      <c r="S904" t="e">
        <f t="shared" si="114"/>
        <v>#N/A</v>
      </c>
      <c r="T904" t="e">
        <f t="shared" si="115"/>
        <v>#N/A</v>
      </c>
      <c r="U904" t="e">
        <f t="shared" si="116"/>
        <v>#N/A</v>
      </c>
      <c r="V904" t="e">
        <f t="shared" si="117"/>
        <v>#N/A</v>
      </c>
      <c r="W904">
        <f t="shared" si="118"/>
        <v>10.8</v>
      </c>
      <c r="X904">
        <f t="shared" si="119"/>
        <v>7</v>
      </c>
    </row>
    <row r="905" spans="1:24" x14ac:dyDescent="0.3">
      <c r="A905">
        <v>6.8</v>
      </c>
      <c r="B905">
        <v>0.59</v>
      </c>
      <c r="C905">
        <v>0.06</v>
      </c>
      <c r="D905">
        <v>6</v>
      </c>
      <c r="E905">
        <v>0.06</v>
      </c>
      <c r="F905">
        <v>11</v>
      </c>
      <c r="G905">
        <v>18</v>
      </c>
      <c r="H905">
        <v>0.99619999999999997</v>
      </c>
      <c r="I905">
        <v>3.41</v>
      </c>
      <c r="J905">
        <v>0.59</v>
      </c>
      <c r="K905">
        <v>10.8</v>
      </c>
      <c r="L905">
        <v>7</v>
      </c>
      <c r="M905" t="str">
        <f t="shared" si="112"/>
        <v>High</v>
      </c>
      <c r="N905">
        <f>(winequality_red[[#This Row],[Updated Quality &amp; Alcohol Analysis]]+winequality_red[[#This Row],[volatile acidity]]+winequality_red[[#This Row],[citric acid]])</f>
        <v>7.4499999999999993</v>
      </c>
      <c r="O905">
        <f t="shared" si="113"/>
        <v>3.2231481481481479E-2</v>
      </c>
      <c r="S905" t="e">
        <f t="shared" si="114"/>
        <v>#N/A</v>
      </c>
      <c r="T905" t="e">
        <f t="shared" si="115"/>
        <v>#N/A</v>
      </c>
      <c r="U905" t="e">
        <f t="shared" si="116"/>
        <v>#N/A</v>
      </c>
      <c r="V905" t="e">
        <f t="shared" si="117"/>
        <v>#N/A</v>
      </c>
      <c r="W905">
        <f t="shared" si="118"/>
        <v>10.8</v>
      </c>
      <c r="X905">
        <f t="shared" si="119"/>
        <v>7</v>
      </c>
    </row>
    <row r="906" spans="1:24" x14ac:dyDescent="0.3">
      <c r="A906">
        <v>6.8</v>
      </c>
      <c r="B906">
        <v>0.59</v>
      </c>
      <c r="C906">
        <v>0.06</v>
      </c>
      <c r="D906">
        <v>6</v>
      </c>
      <c r="E906">
        <v>0.06</v>
      </c>
      <c r="F906">
        <v>11</v>
      </c>
      <c r="G906">
        <v>18</v>
      </c>
      <c r="H906">
        <v>0.99619999999999997</v>
      </c>
      <c r="I906">
        <v>3.41</v>
      </c>
      <c r="J906">
        <v>0.59</v>
      </c>
      <c r="K906">
        <v>10.8</v>
      </c>
      <c r="L906">
        <v>7</v>
      </c>
      <c r="M906" t="str">
        <f t="shared" si="112"/>
        <v>High</v>
      </c>
      <c r="N906">
        <f>(winequality_red[[#This Row],[Updated Quality &amp; Alcohol Analysis]]+winequality_red[[#This Row],[volatile acidity]]+winequality_red[[#This Row],[citric acid]])</f>
        <v>7.4499999999999993</v>
      </c>
      <c r="O906">
        <f t="shared" si="113"/>
        <v>3.2231481481481479E-2</v>
      </c>
      <c r="S906" t="e">
        <f t="shared" si="114"/>
        <v>#N/A</v>
      </c>
      <c r="T906" t="e">
        <f t="shared" si="115"/>
        <v>#N/A</v>
      </c>
      <c r="U906" t="e">
        <f t="shared" si="116"/>
        <v>#N/A</v>
      </c>
      <c r="V906" t="e">
        <f t="shared" si="117"/>
        <v>#N/A</v>
      </c>
      <c r="W906">
        <f t="shared" si="118"/>
        <v>10.8</v>
      </c>
      <c r="X906">
        <f t="shared" si="119"/>
        <v>7</v>
      </c>
    </row>
    <row r="907" spans="1:24" x14ac:dyDescent="0.3">
      <c r="A907">
        <v>9.1999999999999993</v>
      </c>
      <c r="B907">
        <v>0.57999999999999996</v>
      </c>
      <c r="C907">
        <v>0.2</v>
      </c>
      <c r="D907">
        <v>3</v>
      </c>
      <c r="E907">
        <v>8.1000000000000003E-2</v>
      </c>
      <c r="F907">
        <v>15</v>
      </c>
      <c r="G907">
        <v>115</v>
      </c>
      <c r="H907">
        <v>0.998</v>
      </c>
      <c r="I907">
        <v>3.23</v>
      </c>
      <c r="J907">
        <v>0.59</v>
      </c>
      <c r="K907">
        <v>9.5</v>
      </c>
      <c r="L907">
        <v>5</v>
      </c>
      <c r="M907" t="str">
        <f t="shared" si="112"/>
        <v>Medium</v>
      </c>
      <c r="N907">
        <f>(winequality_red[[#This Row],[Updated Quality &amp; Alcohol Analysis]]+winequality_red[[#This Row],[volatile acidity]]+winequality_red[[#This Row],[citric acid]])</f>
        <v>9.9799999999999986</v>
      </c>
      <c r="O907">
        <f t="shared" si="113"/>
        <v>3.602105263157894E-2</v>
      </c>
      <c r="S907" t="e">
        <f t="shared" si="114"/>
        <v>#N/A</v>
      </c>
      <c r="T907" t="e">
        <f t="shared" si="115"/>
        <v>#N/A</v>
      </c>
      <c r="U907">
        <f t="shared" si="116"/>
        <v>9.5</v>
      </c>
      <c r="V907">
        <f t="shared" si="117"/>
        <v>5</v>
      </c>
      <c r="W907" t="e">
        <f t="shared" si="118"/>
        <v>#N/A</v>
      </c>
      <c r="X907" t="e">
        <f t="shared" si="119"/>
        <v>#N/A</v>
      </c>
    </row>
    <row r="908" spans="1:24" x14ac:dyDescent="0.3">
      <c r="A908">
        <v>7.2</v>
      </c>
      <c r="B908">
        <v>0.54</v>
      </c>
      <c r="C908">
        <v>0.27</v>
      </c>
      <c r="D908">
        <v>2.6</v>
      </c>
      <c r="E908">
        <v>8.4000000000000005E-2</v>
      </c>
      <c r="F908">
        <v>12</v>
      </c>
      <c r="G908">
        <v>78</v>
      </c>
      <c r="H908">
        <v>0.99639999999999995</v>
      </c>
      <c r="I908">
        <v>3.39</v>
      </c>
      <c r="J908">
        <v>0.71</v>
      </c>
      <c r="K908">
        <v>11</v>
      </c>
      <c r="L908">
        <v>5</v>
      </c>
      <c r="M908" t="str">
        <f t="shared" si="112"/>
        <v>Medium</v>
      </c>
      <c r="N908">
        <f>(winequality_red[[#This Row],[Updated Quality &amp; Alcohol Analysis]]+winequality_red[[#This Row],[volatile acidity]]+winequality_red[[#This Row],[citric acid]])</f>
        <v>8.01</v>
      </c>
      <c r="O908">
        <f t="shared" si="113"/>
        <v>3.4854545454545457E-2</v>
      </c>
      <c r="S908" t="e">
        <f t="shared" si="114"/>
        <v>#N/A</v>
      </c>
      <c r="T908" t="e">
        <f t="shared" si="115"/>
        <v>#N/A</v>
      </c>
      <c r="U908">
        <f t="shared" si="116"/>
        <v>11</v>
      </c>
      <c r="V908">
        <f t="shared" si="117"/>
        <v>5</v>
      </c>
      <c r="W908" t="e">
        <f t="shared" si="118"/>
        <v>#N/A</v>
      </c>
      <c r="X908" t="e">
        <f t="shared" si="119"/>
        <v>#N/A</v>
      </c>
    </row>
    <row r="909" spans="1:24" x14ac:dyDescent="0.3">
      <c r="A909">
        <v>6.1</v>
      </c>
      <c r="B909">
        <v>0.56000000000000005</v>
      </c>
      <c r="C909">
        <v>0</v>
      </c>
      <c r="D909">
        <v>2.2000000000000002</v>
      </c>
      <c r="E909">
        <v>7.9000000000000001E-2</v>
      </c>
      <c r="F909">
        <v>6</v>
      </c>
      <c r="G909">
        <v>9</v>
      </c>
      <c r="H909">
        <v>0.99480000000000002</v>
      </c>
      <c r="I909">
        <v>3.59</v>
      </c>
      <c r="J909">
        <v>0.54</v>
      </c>
      <c r="K909">
        <v>11.5</v>
      </c>
      <c r="L909">
        <v>6</v>
      </c>
      <c r="M909" t="str">
        <f t="shared" si="112"/>
        <v>Medium</v>
      </c>
      <c r="N909">
        <f>(winequality_red[[#This Row],[Updated Quality &amp; Alcohol Analysis]]+winequality_red[[#This Row],[volatile acidity]]+winequality_red[[#This Row],[citric acid]])</f>
        <v>6.66</v>
      </c>
      <c r="O909">
        <f t="shared" si="113"/>
        <v>2.629565217391305E-2</v>
      </c>
      <c r="S909" t="e">
        <f t="shared" si="114"/>
        <v>#N/A</v>
      </c>
      <c r="T909" t="e">
        <f t="shared" si="115"/>
        <v>#N/A</v>
      </c>
      <c r="U909">
        <f t="shared" si="116"/>
        <v>11.5</v>
      </c>
      <c r="V909">
        <f t="shared" si="117"/>
        <v>6</v>
      </c>
      <c r="W909" t="e">
        <f t="shared" si="118"/>
        <v>#N/A</v>
      </c>
      <c r="X909" t="e">
        <f t="shared" si="119"/>
        <v>#N/A</v>
      </c>
    </row>
    <row r="910" spans="1:24" x14ac:dyDescent="0.3">
      <c r="A910">
        <v>7.4</v>
      </c>
      <c r="B910">
        <v>0.52</v>
      </c>
      <c r="C910">
        <v>0.13</v>
      </c>
      <c r="D910">
        <v>2.4</v>
      </c>
      <c r="E910">
        <v>7.8E-2</v>
      </c>
      <c r="F910">
        <v>34</v>
      </c>
      <c r="G910">
        <v>61</v>
      </c>
      <c r="H910">
        <v>0.99527999999999994</v>
      </c>
      <c r="I910">
        <v>3.43</v>
      </c>
      <c r="J910">
        <v>0.59</v>
      </c>
      <c r="K910">
        <v>10.8</v>
      </c>
      <c r="L910">
        <v>6</v>
      </c>
      <c r="M910" t="str">
        <f t="shared" si="112"/>
        <v>Medium</v>
      </c>
      <c r="N910">
        <f>(winequality_red[[#This Row],[Updated Quality &amp; Alcohol Analysis]]+winequality_red[[#This Row],[volatile acidity]]+winequality_red[[#This Row],[citric acid]])</f>
        <v>8.0500000000000007</v>
      </c>
      <c r="O910">
        <f t="shared" si="113"/>
        <v>2.8407407407407406E-2</v>
      </c>
      <c r="S910" t="e">
        <f t="shared" si="114"/>
        <v>#N/A</v>
      </c>
      <c r="T910" t="e">
        <f t="shared" si="115"/>
        <v>#N/A</v>
      </c>
      <c r="U910">
        <f t="shared" si="116"/>
        <v>10.8</v>
      </c>
      <c r="V910">
        <f t="shared" si="117"/>
        <v>6</v>
      </c>
      <c r="W910" t="e">
        <f t="shared" si="118"/>
        <v>#N/A</v>
      </c>
      <c r="X910" t="e">
        <f t="shared" si="119"/>
        <v>#N/A</v>
      </c>
    </row>
    <row r="911" spans="1:24" x14ac:dyDescent="0.3">
      <c r="A911">
        <v>7.3</v>
      </c>
      <c r="B911">
        <v>0.30499999999999999</v>
      </c>
      <c r="C911">
        <v>0.39</v>
      </c>
      <c r="D911">
        <v>1.2</v>
      </c>
      <c r="E911">
        <v>5.9000000000000004E-2</v>
      </c>
      <c r="F911">
        <v>7</v>
      </c>
      <c r="G911">
        <v>11</v>
      </c>
      <c r="H911">
        <v>0.99331000000000003</v>
      </c>
      <c r="I911">
        <v>3.29</v>
      </c>
      <c r="J911">
        <v>0.52</v>
      </c>
      <c r="K911">
        <v>11.5</v>
      </c>
      <c r="L911">
        <v>6</v>
      </c>
      <c r="M911" t="str">
        <f t="shared" si="112"/>
        <v>Medium</v>
      </c>
      <c r="N911">
        <f>(winequality_red[[#This Row],[Updated Quality &amp; Alcohol Analysis]]+winequality_red[[#This Row],[volatile acidity]]+winequality_red[[#This Row],[citric acid]])</f>
        <v>7.9949999999999992</v>
      </c>
      <c r="O911">
        <f t="shared" si="113"/>
        <v>1.3791304347826086E-2</v>
      </c>
      <c r="S911" t="e">
        <f t="shared" si="114"/>
        <v>#N/A</v>
      </c>
      <c r="T911" t="e">
        <f t="shared" si="115"/>
        <v>#N/A</v>
      </c>
      <c r="U911">
        <f t="shared" si="116"/>
        <v>11.5</v>
      </c>
      <c r="V911">
        <f t="shared" si="117"/>
        <v>6</v>
      </c>
      <c r="W911" t="e">
        <f t="shared" si="118"/>
        <v>#N/A</v>
      </c>
      <c r="X911" t="e">
        <f t="shared" si="119"/>
        <v>#N/A</v>
      </c>
    </row>
    <row r="912" spans="1:24" x14ac:dyDescent="0.3">
      <c r="A912">
        <v>9.3000000000000007</v>
      </c>
      <c r="B912">
        <v>0.38</v>
      </c>
      <c r="C912">
        <v>0.48</v>
      </c>
      <c r="D912">
        <v>3.8</v>
      </c>
      <c r="E912">
        <v>0.13200000000000001</v>
      </c>
      <c r="F912">
        <v>3</v>
      </c>
      <c r="G912">
        <v>11</v>
      </c>
      <c r="H912">
        <v>0.99577000000000004</v>
      </c>
      <c r="I912">
        <v>3.23</v>
      </c>
      <c r="J912">
        <v>0.56999999999999995</v>
      </c>
      <c r="K912">
        <v>13.2</v>
      </c>
      <c r="L912">
        <v>6</v>
      </c>
      <c r="M912" t="str">
        <f t="shared" si="112"/>
        <v>Medium</v>
      </c>
      <c r="N912">
        <f>(winequality_red[[#This Row],[Updated Quality &amp; Alcohol Analysis]]+winequality_red[[#This Row],[volatile acidity]]+winequality_red[[#This Row],[citric acid]])</f>
        <v>10.160000000000002</v>
      </c>
      <c r="O912">
        <f t="shared" si="113"/>
        <v>1.6409090909090908E-2</v>
      </c>
      <c r="S912" t="e">
        <f t="shared" si="114"/>
        <v>#N/A</v>
      </c>
      <c r="T912" t="e">
        <f t="shared" si="115"/>
        <v>#N/A</v>
      </c>
      <c r="U912">
        <f t="shared" si="116"/>
        <v>13.2</v>
      </c>
      <c r="V912">
        <f t="shared" si="117"/>
        <v>6</v>
      </c>
      <c r="W912" t="e">
        <f t="shared" si="118"/>
        <v>#N/A</v>
      </c>
      <c r="X912" t="e">
        <f t="shared" si="119"/>
        <v>#N/A</v>
      </c>
    </row>
    <row r="913" spans="1:24" x14ac:dyDescent="0.3">
      <c r="A913">
        <v>9.1</v>
      </c>
      <c r="B913">
        <v>0.28000000000000003</v>
      </c>
      <c r="C913">
        <v>0.46</v>
      </c>
      <c r="D913">
        <v>9</v>
      </c>
      <c r="E913">
        <v>0.114</v>
      </c>
      <c r="F913">
        <v>3</v>
      </c>
      <c r="G913">
        <v>9</v>
      </c>
      <c r="H913">
        <v>0.99901000000000006</v>
      </c>
      <c r="I913">
        <v>3.18</v>
      </c>
      <c r="J913">
        <v>0.6</v>
      </c>
      <c r="K913">
        <v>10.9</v>
      </c>
      <c r="L913">
        <v>6</v>
      </c>
      <c r="M913" t="str">
        <f t="shared" si="112"/>
        <v>Medium</v>
      </c>
      <c r="N913">
        <f>(winequality_red[[#This Row],[Updated Quality &amp; Alcohol Analysis]]+winequality_red[[#This Row],[volatile acidity]]+winequality_red[[#This Row],[citric acid]])</f>
        <v>9.84</v>
      </c>
      <c r="O913">
        <f t="shared" si="113"/>
        <v>1.5412844036697248E-2</v>
      </c>
      <c r="S913" t="e">
        <f t="shared" si="114"/>
        <v>#N/A</v>
      </c>
      <c r="T913" t="e">
        <f t="shared" si="115"/>
        <v>#N/A</v>
      </c>
      <c r="U913">
        <f t="shared" si="116"/>
        <v>10.9</v>
      </c>
      <c r="V913">
        <f t="shared" si="117"/>
        <v>6</v>
      </c>
      <c r="W913" t="e">
        <f t="shared" si="118"/>
        <v>#N/A</v>
      </c>
      <c r="X913" t="e">
        <f t="shared" si="119"/>
        <v>#N/A</v>
      </c>
    </row>
    <row r="914" spans="1:24" x14ac:dyDescent="0.3">
      <c r="A914">
        <v>10</v>
      </c>
      <c r="B914">
        <v>0.46</v>
      </c>
      <c r="C914">
        <v>0.44</v>
      </c>
      <c r="D914">
        <v>2.9</v>
      </c>
      <c r="E914">
        <v>6.5000000000000002E-2</v>
      </c>
      <c r="F914">
        <v>4</v>
      </c>
      <c r="G914">
        <v>8</v>
      </c>
      <c r="H914">
        <v>0.99673999999999996</v>
      </c>
      <c r="I914">
        <v>3.33</v>
      </c>
      <c r="J914">
        <v>0.62</v>
      </c>
      <c r="K914">
        <v>12.2</v>
      </c>
      <c r="L914">
        <v>6</v>
      </c>
      <c r="M914" t="str">
        <f t="shared" si="112"/>
        <v>Medium</v>
      </c>
      <c r="N914">
        <f>(winequality_red[[#This Row],[Updated Quality &amp; Alcohol Analysis]]+winequality_red[[#This Row],[volatile acidity]]+winequality_red[[#This Row],[citric acid]])</f>
        <v>10.9</v>
      </c>
      <c r="O914">
        <f t="shared" si="113"/>
        <v>2.3377049180327871E-2</v>
      </c>
      <c r="S914" t="e">
        <f t="shared" si="114"/>
        <v>#N/A</v>
      </c>
      <c r="T914" t="e">
        <f t="shared" si="115"/>
        <v>#N/A</v>
      </c>
      <c r="U914">
        <f t="shared" si="116"/>
        <v>12.2</v>
      </c>
      <c r="V914">
        <f t="shared" si="117"/>
        <v>6</v>
      </c>
      <c r="W914" t="e">
        <f t="shared" si="118"/>
        <v>#N/A</v>
      </c>
      <c r="X914" t="e">
        <f t="shared" si="119"/>
        <v>#N/A</v>
      </c>
    </row>
    <row r="915" spans="1:24" x14ac:dyDescent="0.3">
      <c r="A915">
        <v>9.4</v>
      </c>
      <c r="B915">
        <v>0.39500000000000002</v>
      </c>
      <c r="C915">
        <v>0.46</v>
      </c>
      <c r="D915">
        <v>4.5999999999999996</v>
      </c>
      <c r="E915">
        <v>9.4E-2</v>
      </c>
      <c r="F915">
        <v>3</v>
      </c>
      <c r="G915">
        <v>10</v>
      </c>
      <c r="H915">
        <v>0.99639</v>
      </c>
      <c r="I915">
        <v>3.27</v>
      </c>
      <c r="J915">
        <v>0.64</v>
      </c>
      <c r="K915">
        <v>12.2</v>
      </c>
      <c r="L915">
        <v>7</v>
      </c>
      <c r="M915" t="str">
        <f t="shared" si="112"/>
        <v>High</v>
      </c>
      <c r="N915">
        <f>(winequality_red[[#This Row],[Updated Quality &amp; Alcohol Analysis]]+winequality_red[[#This Row],[volatile acidity]]+winequality_red[[#This Row],[citric acid]])</f>
        <v>10.255000000000001</v>
      </c>
      <c r="O915">
        <f t="shared" si="113"/>
        <v>2.0721311475409839E-2</v>
      </c>
      <c r="S915" t="e">
        <f t="shared" si="114"/>
        <v>#N/A</v>
      </c>
      <c r="T915" t="e">
        <f t="shared" si="115"/>
        <v>#N/A</v>
      </c>
      <c r="U915" t="e">
        <f t="shared" si="116"/>
        <v>#N/A</v>
      </c>
      <c r="V915" t="e">
        <f t="shared" si="117"/>
        <v>#N/A</v>
      </c>
      <c r="W915">
        <f t="shared" si="118"/>
        <v>12.2</v>
      </c>
      <c r="X915">
        <f t="shared" si="119"/>
        <v>7</v>
      </c>
    </row>
    <row r="916" spans="1:24" x14ac:dyDescent="0.3">
      <c r="A916">
        <v>7.3</v>
      </c>
      <c r="B916">
        <v>0.30499999999999999</v>
      </c>
      <c r="C916">
        <v>0.39</v>
      </c>
      <c r="D916">
        <v>1.2</v>
      </c>
      <c r="E916">
        <v>5.9000000000000004E-2</v>
      </c>
      <c r="F916">
        <v>7</v>
      </c>
      <c r="G916">
        <v>11</v>
      </c>
      <c r="H916">
        <v>0.99331000000000003</v>
      </c>
      <c r="I916">
        <v>3.29</v>
      </c>
      <c r="J916">
        <v>0.52</v>
      </c>
      <c r="K916">
        <v>11.5</v>
      </c>
      <c r="L916">
        <v>6</v>
      </c>
      <c r="M916" t="str">
        <f t="shared" si="112"/>
        <v>Medium</v>
      </c>
      <c r="N916">
        <f>(winequality_red[[#This Row],[Updated Quality &amp; Alcohol Analysis]]+winequality_red[[#This Row],[volatile acidity]]+winequality_red[[#This Row],[citric acid]])</f>
        <v>7.9949999999999992</v>
      </c>
      <c r="O916">
        <f t="shared" si="113"/>
        <v>1.3791304347826086E-2</v>
      </c>
      <c r="S916" t="e">
        <f t="shared" si="114"/>
        <v>#N/A</v>
      </c>
      <c r="T916" t="e">
        <f t="shared" si="115"/>
        <v>#N/A</v>
      </c>
      <c r="U916">
        <f t="shared" si="116"/>
        <v>11.5</v>
      </c>
      <c r="V916">
        <f t="shared" si="117"/>
        <v>6</v>
      </c>
      <c r="W916" t="e">
        <f t="shared" si="118"/>
        <v>#N/A</v>
      </c>
      <c r="X916" t="e">
        <f t="shared" si="119"/>
        <v>#N/A</v>
      </c>
    </row>
    <row r="917" spans="1:24" x14ac:dyDescent="0.3">
      <c r="A917">
        <v>8.6</v>
      </c>
      <c r="B917">
        <v>0.315</v>
      </c>
      <c r="C917">
        <v>0.4</v>
      </c>
      <c r="D917">
        <v>2.2000000000000002</v>
      </c>
      <c r="E917">
        <v>7.9000000000000001E-2</v>
      </c>
      <c r="F917">
        <v>3</v>
      </c>
      <c r="G917">
        <v>6</v>
      </c>
      <c r="H917">
        <v>0.99512000000000012</v>
      </c>
      <c r="I917">
        <v>3.27</v>
      </c>
      <c r="J917">
        <v>0.67</v>
      </c>
      <c r="K917">
        <v>11.9</v>
      </c>
      <c r="L917">
        <v>6</v>
      </c>
      <c r="M917" t="str">
        <f t="shared" si="112"/>
        <v>Medium</v>
      </c>
      <c r="N917">
        <f>(winequality_red[[#This Row],[Updated Quality &amp; Alcohol Analysis]]+winequality_red[[#This Row],[volatile acidity]]+winequality_red[[#This Row],[citric acid]])</f>
        <v>9.3149999999999995</v>
      </c>
      <c r="O917">
        <f t="shared" si="113"/>
        <v>1.7735294117647061E-2</v>
      </c>
      <c r="S917" t="e">
        <f t="shared" si="114"/>
        <v>#N/A</v>
      </c>
      <c r="T917" t="e">
        <f t="shared" si="115"/>
        <v>#N/A</v>
      </c>
      <c r="U917">
        <f t="shared" si="116"/>
        <v>11.9</v>
      </c>
      <c r="V917">
        <f t="shared" si="117"/>
        <v>6</v>
      </c>
      <c r="W917" t="e">
        <f t="shared" si="118"/>
        <v>#N/A</v>
      </c>
      <c r="X917" t="e">
        <f t="shared" si="119"/>
        <v>#N/A</v>
      </c>
    </row>
    <row r="918" spans="1:24" x14ac:dyDescent="0.3">
      <c r="A918">
        <v>5.3</v>
      </c>
      <c r="B918">
        <v>0.71499999999999997</v>
      </c>
      <c r="C918">
        <v>0.19</v>
      </c>
      <c r="D918">
        <v>1.5</v>
      </c>
      <c r="E918">
        <v>0.161</v>
      </c>
      <c r="F918">
        <v>7</v>
      </c>
      <c r="G918">
        <v>62</v>
      </c>
      <c r="H918">
        <v>0.99395</v>
      </c>
      <c r="I918">
        <v>3.62</v>
      </c>
      <c r="J918">
        <v>0.61</v>
      </c>
      <c r="K918">
        <v>11</v>
      </c>
      <c r="L918">
        <v>5</v>
      </c>
      <c r="M918" t="str">
        <f t="shared" si="112"/>
        <v>Medium</v>
      </c>
      <c r="N918">
        <f>(winequality_red[[#This Row],[Updated Quality &amp; Alcohol Analysis]]+winequality_red[[#This Row],[volatile acidity]]+winequality_red[[#This Row],[citric acid]])</f>
        <v>6.2050000000000001</v>
      </c>
      <c r="O918">
        <f t="shared" si="113"/>
        <v>3.9649999999999998E-2</v>
      </c>
      <c r="S918" t="e">
        <f t="shared" si="114"/>
        <v>#N/A</v>
      </c>
      <c r="T918" t="e">
        <f t="shared" si="115"/>
        <v>#N/A</v>
      </c>
      <c r="U918">
        <f t="shared" si="116"/>
        <v>11</v>
      </c>
      <c r="V918">
        <f t="shared" si="117"/>
        <v>5</v>
      </c>
      <c r="W918" t="e">
        <f t="shared" si="118"/>
        <v>#N/A</v>
      </c>
      <c r="X918" t="e">
        <f t="shared" si="119"/>
        <v>#N/A</v>
      </c>
    </row>
    <row r="919" spans="1:24" x14ac:dyDescent="0.3">
      <c r="A919">
        <v>6.8</v>
      </c>
      <c r="B919">
        <v>0.41</v>
      </c>
      <c r="C919">
        <v>0.31</v>
      </c>
      <c r="D919">
        <v>8.8000000000000007</v>
      </c>
      <c r="E919">
        <v>8.4000000000000005E-2</v>
      </c>
      <c r="F919">
        <v>26</v>
      </c>
      <c r="G919">
        <v>45</v>
      </c>
      <c r="H919">
        <v>0.99824000000000002</v>
      </c>
      <c r="I919">
        <v>3.38</v>
      </c>
      <c r="J919">
        <v>0.64</v>
      </c>
      <c r="K919">
        <v>10.1</v>
      </c>
      <c r="L919">
        <v>6</v>
      </c>
      <c r="M919" t="str">
        <f t="shared" si="112"/>
        <v>Medium</v>
      </c>
      <c r="N919">
        <f>(winequality_red[[#This Row],[Updated Quality &amp; Alcohol Analysis]]+winequality_red[[#This Row],[volatile acidity]]+winequality_red[[#This Row],[citric acid]])</f>
        <v>7.52</v>
      </c>
      <c r="O919">
        <f t="shared" si="113"/>
        <v>2.5980198019801979E-2</v>
      </c>
      <c r="S919" t="e">
        <f t="shared" si="114"/>
        <v>#N/A</v>
      </c>
      <c r="T919" t="e">
        <f t="shared" si="115"/>
        <v>#N/A</v>
      </c>
      <c r="U919">
        <f t="shared" si="116"/>
        <v>10.1</v>
      </c>
      <c r="V919">
        <f t="shared" si="117"/>
        <v>6</v>
      </c>
      <c r="W919" t="e">
        <f t="shared" si="118"/>
        <v>#N/A</v>
      </c>
      <c r="X919" t="e">
        <f t="shared" si="119"/>
        <v>#N/A</v>
      </c>
    </row>
    <row r="920" spans="1:24" x14ac:dyDescent="0.3">
      <c r="A920">
        <v>8.4</v>
      </c>
      <c r="B920">
        <v>0.36</v>
      </c>
      <c r="C920">
        <v>0.32</v>
      </c>
      <c r="D920">
        <v>2.2000000000000002</v>
      </c>
      <c r="E920">
        <v>8.1000000000000003E-2</v>
      </c>
      <c r="F920">
        <v>32</v>
      </c>
      <c r="G920">
        <v>79</v>
      </c>
      <c r="H920">
        <v>0.99639999999999995</v>
      </c>
      <c r="I920">
        <v>3.3</v>
      </c>
      <c r="J920">
        <v>0.72</v>
      </c>
      <c r="K920">
        <v>11</v>
      </c>
      <c r="L920">
        <v>6</v>
      </c>
      <c r="M920" t="str">
        <f t="shared" si="112"/>
        <v>Medium</v>
      </c>
      <c r="N920">
        <f>(winequality_red[[#This Row],[Updated Quality &amp; Alcohol Analysis]]+winequality_red[[#This Row],[volatile acidity]]+winequality_red[[#This Row],[citric acid]])</f>
        <v>9.08</v>
      </c>
      <c r="O920">
        <f t="shared" si="113"/>
        <v>2.3563636363636363E-2</v>
      </c>
      <c r="S920" t="e">
        <f t="shared" si="114"/>
        <v>#N/A</v>
      </c>
      <c r="T920" t="e">
        <f t="shared" si="115"/>
        <v>#N/A</v>
      </c>
      <c r="U920">
        <f t="shared" si="116"/>
        <v>11</v>
      </c>
      <c r="V920">
        <f t="shared" si="117"/>
        <v>6</v>
      </c>
      <c r="W920" t="e">
        <f t="shared" si="118"/>
        <v>#N/A</v>
      </c>
      <c r="X920" t="e">
        <f t="shared" si="119"/>
        <v>#N/A</v>
      </c>
    </row>
    <row r="921" spans="1:24" x14ac:dyDescent="0.3">
      <c r="A921">
        <v>8.4</v>
      </c>
      <c r="B921">
        <v>0.62</v>
      </c>
      <c r="C921">
        <v>0.12</v>
      </c>
      <c r="D921">
        <v>1.8</v>
      </c>
      <c r="E921">
        <v>7.2000000000000008E-2</v>
      </c>
      <c r="F921">
        <v>38</v>
      </c>
      <c r="G921">
        <v>46</v>
      </c>
      <c r="H921">
        <v>0.99503999999999992</v>
      </c>
      <c r="I921">
        <v>3.38</v>
      </c>
      <c r="J921">
        <v>0.89</v>
      </c>
      <c r="K921">
        <v>11.8</v>
      </c>
      <c r="L921">
        <v>6</v>
      </c>
      <c r="M921" t="str">
        <f t="shared" si="112"/>
        <v>Medium</v>
      </c>
      <c r="N921">
        <f>(winequality_red[[#This Row],[Updated Quality &amp; Alcohol Analysis]]+winequality_red[[#This Row],[volatile acidity]]+winequality_red[[#This Row],[citric acid]])</f>
        <v>9.1399999999999988</v>
      </c>
      <c r="O921">
        <f t="shared" si="113"/>
        <v>4.6762711864406774E-2</v>
      </c>
      <c r="S921" t="e">
        <f t="shared" si="114"/>
        <v>#N/A</v>
      </c>
      <c r="T921" t="e">
        <f t="shared" si="115"/>
        <v>#N/A</v>
      </c>
      <c r="U921">
        <f t="shared" si="116"/>
        <v>11.8</v>
      </c>
      <c r="V921">
        <f t="shared" si="117"/>
        <v>6</v>
      </c>
      <c r="W921" t="e">
        <f t="shared" si="118"/>
        <v>#N/A</v>
      </c>
      <c r="X921" t="e">
        <f t="shared" si="119"/>
        <v>#N/A</v>
      </c>
    </row>
    <row r="922" spans="1:24" x14ac:dyDescent="0.3">
      <c r="A922">
        <v>9.6</v>
      </c>
      <c r="B922">
        <v>0.41</v>
      </c>
      <c r="C922">
        <v>0.37</v>
      </c>
      <c r="D922">
        <v>2.2999999999999998</v>
      </c>
      <c r="E922">
        <v>9.0999999999999998E-2</v>
      </c>
      <c r="F922">
        <v>10</v>
      </c>
      <c r="G922">
        <v>23</v>
      </c>
      <c r="H922">
        <v>0.99786000000000008</v>
      </c>
      <c r="I922">
        <v>3.24</v>
      </c>
      <c r="J922">
        <v>0.56000000000000005</v>
      </c>
      <c r="K922">
        <v>10.5</v>
      </c>
      <c r="L922">
        <v>5</v>
      </c>
      <c r="M922" t="str">
        <f t="shared" si="112"/>
        <v>Medium</v>
      </c>
      <c r="N922">
        <f>(winequality_red[[#This Row],[Updated Quality &amp; Alcohol Analysis]]+winequality_red[[#This Row],[volatile acidity]]+winequality_red[[#This Row],[citric acid]])</f>
        <v>10.379999999999999</v>
      </c>
      <c r="O922">
        <f t="shared" si="113"/>
        <v>2.1866666666666666E-2</v>
      </c>
      <c r="S922" t="e">
        <f t="shared" si="114"/>
        <v>#N/A</v>
      </c>
      <c r="T922" t="e">
        <f t="shared" si="115"/>
        <v>#N/A</v>
      </c>
      <c r="U922">
        <f t="shared" si="116"/>
        <v>10.5</v>
      </c>
      <c r="V922">
        <f t="shared" si="117"/>
        <v>5</v>
      </c>
      <c r="W922" t="e">
        <f t="shared" si="118"/>
        <v>#N/A</v>
      </c>
      <c r="X922" t="e">
        <f t="shared" si="119"/>
        <v>#N/A</v>
      </c>
    </row>
    <row r="923" spans="1:24" x14ac:dyDescent="0.3">
      <c r="A923">
        <v>8.4</v>
      </c>
      <c r="B923">
        <v>0.36</v>
      </c>
      <c r="C923">
        <v>0.32</v>
      </c>
      <c r="D923">
        <v>2.2000000000000002</v>
      </c>
      <c r="E923">
        <v>8.1000000000000003E-2</v>
      </c>
      <c r="F923">
        <v>32</v>
      </c>
      <c r="G923">
        <v>79</v>
      </c>
      <c r="H923">
        <v>0.99639999999999995</v>
      </c>
      <c r="I923">
        <v>3.3</v>
      </c>
      <c r="J923">
        <v>0.72</v>
      </c>
      <c r="K923">
        <v>11</v>
      </c>
      <c r="L923">
        <v>6</v>
      </c>
      <c r="M923" t="str">
        <f t="shared" si="112"/>
        <v>Medium</v>
      </c>
      <c r="N923">
        <f>(winequality_red[[#This Row],[Updated Quality &amp; Alcohol Analysis]]+winequality_red[[#This Row],[volatile acidity]]+winequality_red[[#This Row],[citric acid]])</f>
        <v>9.08</v>
      </c>
      <c r="O923">
        <f t="shared" si="113"/>
        <v>2.3563636363636363E-2</v>
      </c>
      <c r="S923" t="e">
        <f t="shared" si="114"/>
        <v>#N/A</v>
      </c>
      <c r="T923" t="e">
        <f t="shared" si="115"/>
        <v>#N/A</v>
      </c>
      <c r="U923">
        <f t="shared" si="116"/>
        <v>11</v>
      </c>
      <c r="V923">
        <f t="shared" si="117"/>
        <v>6</v>
      </c>
      <c r="W923" t="e">
        <f t="shared" si="118"/>
        <v>#N/A</v>
      </c>
      <c r="X923" t="e">
        <f t="shared" si="119"/>
        <v>#N/A</v>
      </c>
    </row>
    <row r="924" spans="1:24" x14ac:dyDescent="0.3">
      <c r="A924">
        <v>8.4</v>
      </c>
      <c r="B924">
        <v>0.62</v>
      </c>
      <c r="C924">
        <v>0.12</v>
      </c>
      <c r="D924">
        <v>1.8</v>
      </c>
      <c r="E924">
        <v>7.2000000000000008E-2</v>
      </c>
      <c r="F924">
        <v>38</v>
      </c>
      <c r="G924">
        <v>46</v>
      </c>
      <c r="H924">
        <v>0.99503999999999992</v>
      </c>
      <c r="I924">
        <v>3.38</v>
      </c>
      <c r="J924">
        <v>0.89</v>
      </c>
      <c r="K924">
        <v>11.8</v>
      </c>
      <c r="L924">
        <v>6</v>
      </c>
      <c r="M924" t="str">
        <f t="shared" si="112"/>
        <v>Medium</v>
      </c>
      <c r="N924">
        <f>(winequality_red[[#This Row],[Updated Quality &amp; Alcohol Analysis]]+winequality_red[[#This Row],[volatile acidity]]+winequality_red[[#This Row],[citric acid]])</f>
        <v>9.1399999999999988</v>
      </c>
      <c r="O924">
        <f t="shared" si="113"/>
        <v>4.6762711864406774E-2</v>
      </c>
      <c r="S924" t="e">
        <f t="shared" si="114"/>
        <v>#N/A</v>
      </c>
      <c r="T924" t="e">
        <f t="shared" si="115"/>
        <v>#N/A</v>
      </c>
      <c r="U924">
        <f t="shared" si="116"/>
        <v>11.8</v>
      </c>
      <c r="V924">
        <f t="shared" si="117"/>
        <v>6</v>
      </c>
      <c r="W924" t="e">
        <f t="shared" si="118"/>
        <v>#N/A</v>
      </c>
      <c r="X924" t="e">
        <f t="shared" si="119"/>
        <v>#N/A</v>
      </c>
    </row>
    <row r="925" spans="1:24" x14ac:dyDescent="0.3">
      <c r="A925">
        <v>6.8</v>
      </c>
      <c r="B925">
        <v>0.41</v>
      </c>
      <c r="C925">
        <v>0.31</v>
      </c>
      <c r="D925">
        <v>8.8000000000000007</v>
      </c>
      <c r="E925">
        <v>8.4000000000000005E-2</v>
      </c>
      <c r="F925">
        <v>26</v>
      </c>
      <c r="G925">
        <v>45</v>
      </c>
      <c r="H925">
        <v>0.99824000000000002</v>
      </c>
      <c r="I925">
        <v>3.38</v>
      </c>
      <c r="J925">
        <v>0.64</v>
      </c>
      <c r="K925">
        <v>10.1</v>
      </c>
      <c r="L925">
        <v>6</v>
      </c>
      <c r="M925" t="str">
        <f t="shared" si="112"/>
        <v>Medium</v>
      </c>
      <c r="N925">
        <f>(winequality_red[[#This Row],[Updated Quality &amp; Alcohol Analysis]]+winequality_red[[#This Row],[volatile acidity]]+winequality_red[[#This Row],[citric acid]])</f>
        <v>7.52</v>
      </c>
      <c r="O925">
        <f t="shared" si="113"/>
        <v>2.5980198019801979E-2</v>
      </c>
      <c r="S925" t="e">
        <f t="shared" si="114"/>
        <v>#N/A</v>
      </c>
      <c r="T925" t="e">
        <f t="shared" si="115"/>
        <v>#N/A</v>
      </c>
      <c r="U925">
        <f t="shared" si="116"/>
        <v>10.1</v>
      </c>
      <c r="V925">
        <f t="shared" si="117"/>
        <v>6</v>
      </c>
      <c r="W925" t="e">
        <f t="shared" si="118"/>
        <v>#N/A</v>
      </c>
      <c r="X925" t="e">
        <f t="shared" si="119"/>
        <v>#N/A</v>
      </c>
    </row>
    <row r="926" spans="1:24" x14ac:dyDescent="0.3">
      <c r="A926">
        <v>8.6</v>
      </c>
      <c r="B926">
        <v>0.47</v>
      </c>
      <c r="C926">
        <v>0.27</v>
      </c>
      <c r="D926">
        <v>2.2999999999999998</v>
      </c>
      <c r="E926">
        <v>5.5E-2</v>
      </c>
      <c r="F926">
        <v>14</v>
      </c>
      <c r="G926">
        <v>28</v>
      </c>
      <c r="H926">
        <v>0.99516000000000004</v>
      </c>
      <c r="I926">
        <v>3.18</v>
      </c>
      <c r="J926">
        <v>0.8</v>
      </c>
      <c r="K926">
        <v>11.2</v>
      </c>
      <c r="L926">
        <v>5</v>
      </c>
      <c r="M926" t="str">
        <f t="shared" si="112"/>
        <v>Medium</v>
      </c>
      <c r="N926">
        <f>(winequality_red[[#This Row],[Updated Quality &amp; Alcohol Analysis]]+winequality_red[[#This Row],[volatile acidity]]+winequality_red[[#This Row],[citric acid]])</f>
        <v>9.34</v>
      </c>
      <c r="O926">
        <f t="shared" si="113"/>
        <v>3.3571428571428572E-2</v>
      </c>
      <c r="S926" t="e">
        <f t="shared" si="114"/>
        <v>#N/A</v>
      </c>
      <c r="T926" t="e">
        <f t="shared" si="115"/>
        <v>#N/A</v>
      </c>
      <c r="U926">
        <f t="shared" si="116"/>
        <v>11.2</v>
      </c>
      <c r="V926">
        <f t="shared" si="117"/>
        <v>5</v>
      </c>
      <c r="W926" t="e">
        <f t="shared" si="118"/>
        <v>#N/A</v>
      </c>
      <c r="X926" t="e">
        <f t="shared" si="119"/>
        <v>#N/A</v>
      </c>
    </row>
    <row r="927" spans="1:24" x14ac:dyDescent="0.3">
      <c r="A927">
        <v>8.6</v>
      </c>
      <c r="B927">
        <v>0.22</v>
      </c>
      <c r="C927">
        <v>0.36</v>
      </c>
      <c r="D927">
        <v>1.9</v>
      </c>
      <c r="E927">
        <v>6.4000000000000001E-2</v>
      </c>
      <c r="F927">
        <v>53</v>
      </c>
      <c r="G927">
        <v>77</v>
      </c>
      <c r="H927">
        <v>0.99603999999999993</v>
      </c>
      <c r="I927">
        <v>3.47</v>
      </c>
      <c r="J927">
        <v>0.87</v>
      </c>
      <c r="K927">
        <v>11</v>
      </c>
      <c r="L927">
        <v>7</v>
      </c>
      <c r="M927" t="str">
        <f t="shared" si="112"/>
        <v>High</v>
      </c>
      <c r="N927">
        <f>(winequality_red[[#This Row],[Updated Quality &amp; Alcohol Analysis]]+winequality_red[[#This Row],[volatile acidity]]+winequality_red[[#This Row],[citric acid]])</f>
        <v>9.18</v>
      </c>
      <c r="O927">
        <f t="shared" si="113"/>
        <v>1.7399999999999999E-2</v>
      </c>
      <c r="S927" t="e">
        <f t="shared" si="114"/>
        <v>#N/A</v>
      </c>
      <c r="T927" t="e">
        <f t="shared" si="115"/>
        <v>#N/A</v>
      </c>
      <c r="U927" t="e">
        <f t="shared" si="116"/>
        <v>#N/A</v>
      </c>
      <c r="V927" t="e">
        <f t="shared" si="117"/>
        <v>#N/A</v>
      </c>
      <c r="W927">
        <f t="shared" si="118"/>
        <v>11</v>
      </c>
      <c r="X927">
        <f t="shared" si="119"/>
        <v>7</v>
      </c>
    </row>
    <row r="928" spans="1:24" x14ac:dyDescent="0.3">
      <c r="A928">
        <v>9.4</v>
      </c>
      <c r="B928">
        <v>0.24</v>
      </c>
      <c r="C928">
        <v>0.33</v>
      </c>
      <c r="D928">
        <v>2.2999999999999998</v>
      </c>
      <c r="E928">
        <v>6.0999999999999999E-2</v>
      </c>
      <c r="F928">
        <v>52</v>
      </c>
      <c r="G928">
        <v>73</v>
      </c>
      <c r="H928">
        <v>0.99786000000000008</v>
      </c>
      <c r="I928">
        <v>3.47</v>
      </c>
      <c r="J928">
        <v>0.9</v>
      </c>
      <c r="K928">
        <v>10.199999999999999</v>
      </c>
      <c r="L928">
        <v>6</v>
      </c>
      <c r="M928" t="str">
        <f t="shared" si="112"/>
        <v>Medium</v>
      </c>
      <c r="N928">
        <f>(winequality_red[[#This Row],[Updated Quality &amp; Alcohol Analysis]]+winequality_red[[#This Row],[volatile acidity]]+winequality_red[[#This Row],[citric acid]])</f>
        <v>9.9700000000000006</v>
      </c>
      <c r="O928">
        <f t="shared" si="113"/>
        <v>2.1176470588235297E-2</v>
      </c>
      <c r="S928" t="e">
        <f t="shared" si="114"/>
        <v>#N/A</v>
      </c>
      <c r="T928" t="e">
        <f t="shared" si="115"/>
        <v>#N/A</v>
      </c>
      <c r="U928">
        <f t="shared" si="116"/>
        <v>10.199999999999999</v>
      </c>
      <c r="V928">
        <f t="shared" si="117"/>
        <v>6</v>
      </c>
      <c r="W928" t="e">
        <f t="shared" si="118"/>
        <v>#N/A</v>
      </c>
      <c r="X928" t="e">
        <f t="shared" si="119"/>
        <v>#N/A</v>
      </c>
    </row>
    <row r="929" spans="1:24" x14ac:dyDescent="0.3">
      <c r="A929">
        <v>8.4</v>
      </c>
      <c r="B929">
        <v>0.67</v>
      </c>
      <c r="C929">
        <v>0.19</v>
      </c>
      <c r="D929">
        <v>2.2000000000000002</v>
      </c>
      <c r="E929">
        <v>9.3000000000000013E-2</v>
      </c>
      <c r="F929">
        <v>11</v>
      </c>
      <c r="G929">
        <v>75</v>
      </c>
      <c r="H929">
        <v>0.99736000000000002</v>
      </c>
      <c r="I929">
        <v>3.2</v>
      </c>
      <c r="J929">
        <v>0.59</v>
      </c>
      <c r="K929">
        <v>9.1999999999999993</v>
      </c>
      <c r="L929">
        <v>4</v>
      </c>
      <c r="M929" t="str">
        <f t="shared" si="112"/>
        <v>Low</v>
      </c>
      <c r="N929">
        <f>(winequality_red[[#This Row],[Updated Quality &amp; Alcohol Analysis]]+winequality_red[[#This Row],[volatile acidity]]+winequality_red[[#This Row],[citric acid]])</f>
        <v>9.26</v>
      </c>
      <c r="O929">
        <f t="shared" si="113"/>
        <v>4.2967391304347825E-2</v>
      </c>
      <c r="S929">
        <f t="shared" si="114"/>
        <v>9.1999999999999993</v>
      </c>
      <c r="T929">
        <f t="shared" si="115"/>
        <v>4</v>
      </c>
      <c r="U929" t="e">
        <f t="shared" si="116"/>
        <v>#N/A</v>
      </c>
      <c r="V929" t="e">
        <f t="shared" si="117"/>
        <v>#N/A</v>
      </c>
      <c r="W929" t="e">
        <f t="shared" si="118"/>
        <v>#N/A</v>
      </c>
      <c r="X929" t="e">
        <f t="shared" si="119"/>
        <v>#N/A</v>
      </c>
    </row>
    <row r="930" spans="1:24" x14ac:dyDescent="0.3">
      <c r="A930">
        <v>8.6</v>
      </c>
      <c r="B930">
        <v>0.47</v>
      </c>
      <c r="C930">
        <v>0.27</v>
      </c>
      <c r="D930">
        <v>2.2999999999999998</v>
      </c>
      <c r="E930">
        <v>5.5E-2</v>
      </c>
      <c r="F930">
        <v>14</v>
      </c>
      <c r="G930">
        <v>28</v>
      </c>
      <c r="H930">
        <v>0.99516000000000004</v>
      </c>
      <c r="I930">
        <v>3.18</v>
      </c>
      <c r="J930">
        <v>0.8</v>
      </c>
      <c r="K930">
        <v>11.2</v>
      </c>
      <c r="L930">
        <v>5</v>
      </c>
      <c r="M930" t="str">
        <f t="shared" si="112"/>
        <v>Medium</v>
      </c>
      <c r="N930">
        <f>(winequality_red[[#This Row],[Updated Quality &amp; Alcohol Analysis]]+winequality_red[[#This Row],[volatile acidity]]+winequality_red[[#This Row],[citric acid]])</f>
        <v>9.34</v>
      </c>
      <c r="O930">
        <f t="shared" si="113"/>
        <v>3.3571428571428572E-2</v>
      </c>
      <c r="S930" t="e">
        <f t="shared" si="114"/>
        <v>#N/A</v>
      </c>
      <c r="T930" t="e">
        <f t="shared" si="115"/>
        <v>#N/A</v>
      </c>
      <c r="U930">
        <f t="shared" si="116"/>
        <v>11.2</v>
      </c>
      <c r="V930">
        <f t="shared" si="117"/>
        <v>5</v>
      </c>
      <c r="W930" t="e">
        <f t="shared" si="118"/>
        <v>#N/A</v>
      </c>
      <c r="X930" t="e">
        <f t="shared" si="119"/>
        <v>#N/A</v>
      </c>
    </row>
    <row r="931" spans="1:24" x14ac:dyDescent="0.3">
      <c r="A931">
        <v>8.6999999999999993</v>
      </c>
      <c r="B931">
        <v>0.33</v>
      </c>
      <c r="C931">
        <v>0.38</v>
      </c>
      <c r="D931">
        <v>3.3</v>
      </c>
      <c r="E931">
        <v>6.3E-2</v>
      </c>
      <c r="F931">
        <v>10</v>
      </c>
      <c r="G931">
        <v>19</v>
      </c>
      <c r="H931">
        <v>0.9946799999999999</v>
      </c>
      <c r="I931">
        <v>3.3</v>
      </c>
      <c r="J931">
        <v>0.73</v>
      </c>
      <c r="K931">
        <v>12</v>
      </c>
      <c r="L931">
        <v>7</v>
      </c>
      <c r="M931" t="str">
        <f t="shared" si="112"/>
        <v>High</v>
      </c>
      <c r="N931">
        <f>(winequality_red[[#This Row],[Updated Quality &amp; Alcohol Analysis]]+winequality_red[[#This Row],[volatile acidity]]+winequality_red[[#This Row],[citric acid]])</f>
        <v>9.41</v>
      </c>
      <c r="O931">
        <f t="shared" si="113"/>
        <v>2.0074999999999999E-2</v>
      </c>
      <c r="S931" t="e">
        <f t="shared" si="114"/>
        <v>#N/A</v>
      </c>
      <c r="T931" t="e">
        <f t="shared" si="115"/>
        <v>#N/A</v>
      </c>
      <c r="U931" t="e">
        <f t="shared" si="116"/>
        <v>#N/A</v>
      </c>
      <c r="V931" t="e">
        <f t="shared" si="117"/>
        <v>#N/A</v>
      </c>
      <c r="W931">
        <f t="shared" si="118"/>
        <v>12</v>
      </c>
      <c r="X931">
        <f t="shared" si="119"/>
        <v>7</v>
      </c>
    </row>
    <row r="932" spans="1:24" x14ac:dyDescent="0.3">
      <c r="A932">
        <v>6.6</v>
      </c>
      <c r="B932">
        <v>0.61</v>
      </c>
      <c r="C932">
        <v>0.01</v>
      </c>
      <c r="D932">
        <v>1.9</v>
      </c>
      <c r="E932">
        <v>0.08</v>
      </c>
      <c r="F932">
        <v>8</v>
      </c>
      <c r="G932">
        <v>25</v>
      </c>
      <c r="H932">
        <v>0.99746000000000001</v>
      </c>
      <c r="I932">
        <v>3.69</v>
      </c>
      <c r="J932">
        <v>0.73</v>
      </c>
      <c r="K932">
        <v>10.5</v>
      </c>
      <c r="L932">
        <v>5</v>
      </c>
      <c r="M932" t="str">
        <f t="shared" si="112"/>
        <v>Medium</v>
      </c>
      <c r="N932">
        <f>(winequality_red[[#This Row],[Updated Quality &amp; Alcohol Analysis]]+winequality_red[[#This Row],[volatile acidity]]+winequality_red[[#This Row],[citric acid]])</f>
        <v>7.22</v>
      </c>
      <c r="O932">
        <f t="shared" si="113"/>
        <v>4.2409523809523807E-2</v>
      </c>
      <c r="S932" t="e">
        <f t="shared" si="114"/>
        <v>#N/A</v>
      </c>
      <c r="T932" t="e">
        <f t="shared" si="115"/>
        <v>#N/A</v>
      </c>
      <c r="U932">
        <f t="shared" si="116"/>
        <v>10.5</v>
      </c>
      <c r="V932">
        <f t="shared" si="117"/>
        <v>5</v>
      </c>
      <c r="W932" t="e">
        <f t="shared" si="118"/>
        <v>#N/A</v>
      </c>
      <c r="X932" t="e">
        <f t="shared" si="119"/>
        <v>#N/A</v>
      </c>
    </row>
    <row r="933" spans="1:24" x14ac:dyDescent="0.3">
      <c r="A933">
        <v>7.4</v>
      </c>
      <c r="B933">
        <v>0.61</v>
      </c>
      <c r="C933">
        <v>0.01</v>
      </c>
      <c r="D933">
        <v>2</v>
      </c>
      <c r="E933">
        <v>7.400000000000001E-2</v>
      </c>
      <c r="F933">
        <v>13</v>
      </c>
      <c r="G933">
        <v>38</v>
      </c>
      <c r="H933">
        <v>0.99747999999999992</v>
      </c>
      <c r="I933">
        <v>3.48</v>
      </c>
      <c r="J933">
        <v>0.65</v>
      </c>
      <c r="K933">
        <v>9.8000000000000007</v>
      </c>
      <c r="L933">
        <v>5</v>
      </c>
      <c r="M933" t="str">
        <f t="shared" si="112"/>
        <v>Medium</v>
      </c>
      <c r="N933">
        <f>(winequality_red[[#This Row],[Updated Quality &amp; Alcohol Analysis]]+winequality_red[[#This Row],[volatile acidity]]+winequality_red[[#This Row],[citric acid]])</f>
        <v>8.02</v>
      </c>
      <c r="O933">
        <f t="shared" si="113"/>
        <v>4.0459183673469387E-2</v>
      </c>
      <c r="S933" t="e">
        <f t="shared" si="114"/>
        <v>#N/A</v>
      </c>
      <c r="T933" t="e">
        <f t="shared" si="115"/>
        <v>#N/A</v>
      </c>
      <c r="U933">
        <f t="shared" si="116"/>
        <v>9.8000000000000007</v>
      </c>
      <c r="V933">
        <f t="shared" si="117"/>
        <v>5</v>
      </c>
      <c r="W933" t="e">
        <f t="shared" si="118"/>
        <v>#N/A</v>
      </c>
      <c r="X933" t="e">
        <f t="shared" si="119"/>
        <v>#N/A</v>
      </c>
    </row>
    <row r="934" spans="1:24" x14ac:dyDescent="0.3">
      <c r="A934">
        <v>7.6</v>
      </c>
      <c r="B934">
        <v>0.4</v>
      </c>
      <c r="C934">
        <v>0.28999999999999998</v>
      </c>
      <c r="D934">
        <v>1.9</v>
      </c>
      <c r="E934">
        <v>7.8E-2</v>
      </c>
      <c r="F934">
        <v>29</v>
      </c>
      <c r="G934">
        <v>66</v>
      </c>
      <c r="H934">
        <v>0.99709999999999999</v>
      </c>
      <c r="I934">
        <v>3.45</v>
      </c>
      <c r="J934">
        <v>0.59</v>
      </c>
      <c r="K934">
        <v>9.5</v>
      </c>
      <c r="L934">
        <v>6</v>
      </c>
      <c r="M934" t="str">
        <f t="shared" si="112"/>
        <v>Medium</v>
      </c>
      <c r="N934">
        <f>(winequality_red[[#This Row],[Updated Quality &amp; Alcohol Analysis]]+winequality_red[[#This Row],[volatile acidity]]+winequality_red[[#This Row],[citric acid]])</f>
        <v>8.2899999999999991</v>
      </c>
      <c r="O934">
        <f t="shared" si="113"/>
        <v>2.4842105263157895E-2</v>
      </c>
      <c r="S934" t="e">
        <f t="shared" si="114"/>
        <v>#N/A</v>
      </c>
      <c r="T934" t="e">
        <f t="shared" si="115"/>
        <v>#N/A</v>
      </c>
      <c r="U934">
        <f t="shared" si="116"/>
        <v>9.5</v>
      </c>
      <c r="V934">
        <f t="shared" si="117"/>
        <v>6</v>
      </c>
      <c r="W934" t="e">
        <f t="shared" si="118"/>
        <v>#N/A</v>
      </c>
      <c r="X934" t="e">
        <f t="shared" si="119"/>
        <v>#N/A</v>
      </c>
    </row>
    <row r="935" spans="1:24" x14ac:dyDescent="0.3">
      <c r="A935">
        <v>7.4</v>
      </c>
      <c r="B935">
        <v>0.61</v>
      </c>
      <c r="C935">
        <v>0.01</v>
      </c>
      <c r="D935">
        <v>2</v>
      </c>
      <c r="E935">
        <v>7.400000000000001E-2</v>
      </c>
      <c r="F935">
        <v>13</v>
      </c>
      <c r="G935">
        <v>38</v>
      </c>
      <c r="H935">
        <v>0.99747999999999992</v>
      </c>
      <c r="I935">
        <v>3.48</v>
      </c>
      <c r="J935">
        <v>0.65</v>
      </c>
      <c r="K935">
        <v>9.8000000000000007</v>
      </c>
      <c r="L935">
        <v>5</v>
      </c>
      <c r="M935" t="str">
        <f t="shared" si="112"/>
        <v>Medium</v>
      </c>
      <c r="N935">
        <f>(winequality_red[[#This Row],[Updated Quality &amp; Alcohol Analysis]]+winequality_red[[#This Row],[volatile acidity]]+winequality_red[[#This Row],[citric acid]])</f>
        <v>8.02</v>
      </c>
      <c r="O935">
        <f t="shared" si="113"/>
        <v>4.0459183673469387E-2</v>
      </c>
      <c r="S935" t="e">
        <f t="shared" si="114"/>
        <v>#N/A</v>
      </c>
      <c r="T935" t="e">
        <f t="shared" si="115"/>
        <v>#N/A</v>
      </c>
      <c r="U935">
        <f t="shared" si="116"/>
        <v>9.8000000000000007</v>
      </c>
      <c r="V935">
        <f t="shared" si="117"/>
        <v>5</v>
      </c>
      <c r="W935" t="e">
        <f t="shared" si="118"/>
        <v>#N/A</v>
      </c>
      <c r="X935" t="e">
        <f t="shared" si="119"/>
        <v>#N/A</v>
      </c>
    </row>
    <row r="936" spans="1:24" x14ac:dyDescent="0.3">
      <c r="A936">
        <v>6.6</v>
      </c>
      <c r="B936">
        <v>0.61</v>
      </c>
      <c r="C936">
        <v>0.01</v>
      </c>
      <c r="D936">
        <v>1.9</v>
      </c>
      <c r="E936">
        <v>0.08</v>
      </c>
      <c r="F936">
        <v>8</v>
      </c>
      <c r="G936">
        <v>25</v>
      </c>
      <c r="H936">
        <v>0.99746000000000001</v>
      </c>
      <c r="I936">
        <v>3.69</v>
      </c>
      <c r="J936">
        <v>0.73</v>
      </c>
      <c r="K936">
        <v>10.5</v>
      </c>
      <c r="L936">
        <v>5</v>
      </c>
      <c r="M936" t="str">
        <f t="shared" si="112"/>
        <v>Medium</v>
      </c>
      <c r="N936">
        <f>(winequality_red[[#This Row],[Updated Quality &amp; Alcohol Analysis]]+winequality_red[[#This Row],[volatile acidity]]+winequality_red[[#This Row],[citric acid]])</f>
        <v>7.22</v>
      </c>
      <c r="O936">
        <f t="shared" si="113"/>
        <v>4.2409523809523807E-2</v>
      </c>
      <c r="S936" t="e">
        <f t="shared" si="114"/>
        <v>#N/A</v>
      </c>
      <c r="T936" t="e">
        <f t="shared" si="115"/>
        <v>#N/A</v>
      </c>
      <c r="U936">
        <f t="shared" si="116"/>
        <v>10.5</v>
      </c>
      <c r="V936">
        <f t="shared" si="117"/>
        <v>5</v>
      </c>
      <c r="W936" t="e">
        <f t="shared" si="118"/>
        <v>#N/A</v>
      </c>
      <c r="X936" t="e">
        <f t="shared" si="119"/>
        <v>#N/A</v>
      </c>
    </row>
    <row r="937" spans="1:24" x14ac:dyDescent="0.3">
      <c r="A937">
        <v>8.8000000000000007</v>
      </c>
      <c r="B937">
        <v>0.3</v>
      </c>
      <c r="C937">
        <v>0.38</v>
      </c>
      <c r="D937">
        <v>2.2999999999999998</v>
      </c>
      <c r="E937">
        <v>0.06</v>
      </c>
      <c r="F937">
        <v>19</v>
      </c>
      <c r="G937">
        <v>72</v>
      </c>
      <c r="H937">
        <v>0.99542999999999993</v>
      </c>
      <c r="I937">
        <v>3.39</v>
      </c>
      <c r="J937">
        <v>0.72</v>
      </c>
      <c r="K937">
        <v>11.8</v>
      </c>
      <c r="L937">
        <v>6</v>
      </c>
      <c r="M937" t="str">
        <f t="shared" si="112"/>
        <v>Medium</v>
      </c>
      <c r="N937">
        <f>(winequality_red[[#This Row],[Updated Quality &amp; Alcohol Analysis]]+winequality_red[[#This Row],[volatile acidity]]+winequality_red[[#This Row],[citric acid]])</f>
        <v>9.4800000000000022</v>
      </c>
      <c r="O937">
        <f t="shared" si="113"/>
        <v>1.8305084745762711E-2</v>
      </c>
      <c r="S937" t="e">
        <f t="shared" si="114"/>
        <v>#N/A</v>
      </c>
      <c r="T937" t="e">
        <f t="shared" si="115"/>
        <v>#N/A</v>
      </c>
      <c r="U937">
        <f t="shared" si="116"/>
        <v>11.8</v>
      </c>
      <c r="V937">
        <f t="shared" si="117"/>
        <v>6</v>
      </c>
      <c r="W937" t="e">
        <f t="shared" si="118"/>
        <v>#N/A</v>
      </c>
      <c r="X937" t="e">
        <f t="shared" si="119"/>
        <v>#N/A</v>
      </c>
    </row>
    <row r="938" spans="1:24" x14ac:dyDescent="0.3">
      <c r="A938">
        <v>8.8000000000000007</v>
      </c>
      <c r="B938">
        <v>0.3</v>
      </c>
      <c r="C938">
        <v>0.38</v>
      </c>
      <c r="D938">
        <v>2.2999999999999998</v>
      </c>
      <c r="E938">
        <v>0.06</v>
      </c>
      <c r="F938">
        <v>19</v>
      </c>
      <c r="G938">
        <v>72</v>
      </c>
      <c r="H938">
        <v>0.99542999999999993</v>
      </c>
      <c r="I938">
        <v>3.39</v>
      </c>
      <c r="J938">
        <v>0.72</v>
      </c>
      <c r="K938">
        <v>11.8</v>
      </c>
      <c r="L938">
        <v>6</v>
      </c>
      <c r="M938" t="str">
        <f t="shared" si="112"/>
        <v>Medium</v>
      </c>
      <c r="N938">
        <f>(winequality_red[[#This Row],[Updated Quality &amp; Alcohol Analysis]]+winequality_red[[#This Row],[volatile acidity]]+winequality_red[[#This Row],[citric acid]])</f>
        <v>9.4800000000000022</v>
      </c>
      <c r="O938">
        <f t="shared" si="113"/>
        <v>1.8305084745762711E-2</v>
      </c>
      <c r="S938" t="e">
        <f t="shared" si="114"/>
        <v>#N/A</v>
      </c>
      <c r="T938" t="e">
        <f t="shared" si="115"/>
        <v>#N/A</v>
      </c>
      <c r="U938">
        <f t="shared" si="116"/>
        <v>11.8</v>
      </c>
      <c r="V938">
        <f t="shared" si="117"/>
        <v>6</v>
      </c>
      <c r="W938" t="e">
        <f t="shared" si="118"/>
        <v>#N/A</v>
      </c>
      <c r="X938" t="e">
        <f t="shared" si="119"/>
        <v>#N/A</v>
      </c>
    </row>
    <row r="939" spans="1:24" x14ac:dyDescent="0.3">
      <c r="A939">
        <v>12</v>
      </c>
      <c r="B939">
        <v>0.63</v>
      </c>
      <c r="C939">
        <v>0.5</v>
      </c>
      <c r="D939">
        <v>1.4</v>
      </c>
      <c r="E939">
        <v>7.0999999999999994E-2</v>
      </c>
      <c r="F939">
        <v>6</v>
      </c>
      <c r="G939">
        <v>26</v>
      </c>
      <c r="H939">
        <v>0.99791000000000007</v>
      </c>
      <c r="I939">
        <v>3.07</v>
      </c>
      <c r="J939">
        <v>0.6</v>
      </c>
      <c r="K939">
        <v>10.4</v>
      </c>
      <c r="L939">
        <v>4</v>
      </c>
      <c r="M939" t="str">
        <f t="shared" si="112"/>
        <v>Low</v>
      </c>
      <c r="N939">
        <f>(winequality_red[[#This Row],[Updated Quality &amp; Alcohol Analysis]]+winequality_red[[#This Row],[volatile acidity]]+winequality_red[[#This Row],[citric acid]])</f>
        <v>13.13</v>
      </c>
      <c r="O939">
        <f t="shared" si="113"/>
        <v>3.6346153846153847E-2</v>
      </c>
      <c r="S939">
        <f t="shared" si="114"/>
        <v>10.4</v>
      </c>
      <c r="T939">
        <f t="shared" si="115"/>
        <v>4</v>
      </c>
      <c r="U939" t="e">
        <f t="shared" si="116"/>
        <v>#N/A</v>
      </c>
      <c r="V939" t="e">
        <f t="shared" si="117"/>
        <v>#N/A</v>
      </c>
      <c r="W939" t="e">
        <f t="shared" si="118"/>
        <v>#N/A</v>
      </c>
      <c r="X939" t="e">
        <f t="shared" si="119"/>
        <v>#N/A</v>
      </c>
    </row>
    <row r="940" spans="1:24" x14ac:dyDescent="0.3">
      <c r="A940">
        <v>7.2</v>
      </c>
      <c r="B940">
        <v>0.38</v>
      </c>
      <c r="C940">
        <v>0.38</v>
      </c>
      <c r="D940">
        <v>2.8</v>
      </c>
      <c r="E940">
        <v>6.8000000000000005E-2</v>
      </c>
      <c r="F940">
        <v>23</v>
      </c>
      <c r="G940">
        <v>42</v>
      </c>
      <c r="H940">
        <v>0.99356</v>
      </c>
      <c r="I940">
        <v>3.34</v>
      </c>
      <c r="J940">
        <v>0.72</v>
      </c>
      <c r="K940">
        <v>12.9</v>
      </c>
      <c r="L940">
        <v>7</v>
      </c>
      <c r="M940" t="str">
        <f t="shared" si="112"/>
        <v>High</v>
      </c>
      <c r="N940">
        <f>(winequality_red[[#This Row],[Updated Quality &amp; Alcohol Analysis]]+winequality_red[[#This Row],[volatile acidity]]+winequality_red[[#This Row],[citric acid]])</f>
        <v>7.96</v>
      </c>
      <c r="O940">
        <f t="shared" si="113"/>
        <v>2.1209302325581394E-2</v>
      </c>
      <c r="S940" t="e">
        <f t="shared" si="114"/>
        <v>#N/A</v>
      </c>
      <c r="T940" t="e">
        <f t="shared" si="115"/>
        <v>#N/A</v>
      </c>
      <c r="U940" t="e">
        <f t="shared" si="116"/>
        <v>#N/A</v>
      </c>
      <c r="V940" t="e">
        <f t="shared" si="117"/>
        <v>#N/A</v>
      </c>
      <c r="W940">
        <f t="shared" si="118"/>
        <v>12.9</v>
      </c>
      <c r="X940">
        <f t="shared" si="119"/>
        <v>7</v>
      </c>
    </row>
    <row r="941" spans="1:24" x14ac:dyDescent="0.3">
      <c r="A941">
        <v>6.2</v>
      </c>
      <c r="B941">
        <v>0.46</v>
      </c>
      <c r="C941">
        <v>0.17</v>
      </c>
      <c r="D941">
        <v>1.6</v>
      </c>
      <c r="E941">
        <v>7.2999999999999995E-2</v>
      </c>
      <c r="F941">
        <v>7</v>
      </c>
      <c r="G941">
        <v>11</v>
      </c>
      <c r="H941">
        <v>0.99424999999999997</v>
      </c>
      <c r="I941">
        <v>3.61</v>
      </c>
      <c r="J941">
        <v>0.54</v>
      </c>
      <c r="K941">
        <v>11.4</v>
      </c>
      <c r="L941">
        <v>5</v>
      </c>
      <c r="M941" t="str">
        <f t="shared" si="112"/>
        <v>Medium</v>
      </c>
      <c r="N941">
        <f>(winequality_red[[#This Row],[Updated Quality &amp; Alcohol Analysis]]+winequality_red[[#This Row],[volatile acidity]]+winequality_red[[#This Row],[citric acid]])</f>
        <v>6.83</v>
      </c>
      <c r="O941">
        <f t="shared" si="113"/>
        <v>2.1789473684210529E-2</v>
      </c>
      <c r="S941" t="e">
        <f t="shared" si="114"/>
        <v>#N/A</v>
      </c>
      <c r="T941" t="e">
        <f t="shared" si="115"/>
        <v>#N/A</v>
      </c>
      <c r="U941">
        <f t="shared" si="116"/>
        <v>11.4</v>
      </c>
      <c r="V941">
        <f t="shared" si="117"/>
        <v>5</v>
      </c>
      <c r="W941" t="e">
        <f t="shared" si="118"/>
        <v>#N/A</v>
      </c>
      <c r="X941" t="e">
        <f t="shared" si="119"/>
        <v>#N/A</v>
      </c>
    </row>
    <row r="942" spans="1:24" x14ac:dyDescent="0.3">
      <c r="A942">
        <v>9.6</v>
      </c>
      <c r="B942">
        <v>0.33</v>
      </c>
      <c r="C942">
        <v>0.52</v>
      </c>
      <c r="D942">
        <v>2.2000000000000002</v>
      </c>
      <c r="E942">
        <v>7.400000000000001E-2</v>
      </c>
      <c r="F942">
        <v>13</v>
      </c>
      <c r="G942">
        <v>25</v>
      </c>
      <c r="H942">
        <v>0.99508999999999992</v>
      </c>
      <c r="I942">
        <v>3.36</v>
      </c>
      <c r="J942">
        <v>0.76</v>
      </c>
      <c r="K942">
        <v>12.4</v>
      </c>
      <c r="L942">
        <v>7</v>
      </c>
      <c r="M942" t="str">
        <f t="shared" si="112"/>
        <v>High</v>
      </c>
      <c r="N942">
        <f>(winequality_red[[#This Row],[Updated Quality &amp; Alcohol Analysis]]+winequality_red[[#This Row],[volatile acidity]]+winequality_red[[#This Row],[citric acid]])</f>
        <v>10.45</v>
      </c>
      <c r="O942">
        <f t="shared" si="113"/>
        <v>2.0225806451612906E-2</v>
      </c>
      <c r="S942" t="e">
        <f t="shared" si="114"/>
        <v>#N/A</v>
      </c>
      <c r="T942" t="e">
        <f t="shared" si="115"/>
        <v>#N/A</v>
      </c>
      <c r="U942" t="e">
        <f t="shared" si="116"/>
        <v>#N/A</v>
      </c>
      <c r="V942" t="e">
        <f t="shared" si="117"/>
        <v>#N/A</v>
      </c>
      <c r="W942">
        <f t="shared" si="118"/>
        <v>12.4</v>
      </c>
      <c r="X942">
        <f t="shared" si="119"/>
        <v>7</v>
      </c>
    </row>
    <row r="943" spans="1:24" x14ac:dyDescent="0.3">
      <c r="A943">
        <v>9.9</v>
      </c>
      <c r="B943">
        <v>0.27</v>
      </c>
      <c r="C943">
        <v>0.49</v>
      </c>
      <c r="D943">
        <v>5</v>
      </c>
      <c r="E943">
        <v>8.199999999999999E-2</v>
      </c>
      <c r="F943">
        <v>9</v>
      </c>
      <c r="G943">
        <v>17</v>
      </c>
      <c r="H943">
        <v>0.99483999999999995</v>
      </c>
      <c r="I943">
        <v>3.19</v>
      </c>
      <c r="J943">
        <v>0.52</v>
      </c>
      <c r="K943">
        <v>12.5</v>
      </c>
      <c r="L943">
        <v>7</v>
      </c>
      <c r="M943" t="str">
        <f t="shared" si="112"/>
        <v>High</v>
      </c>
      <c r="N943">
        <f>(winequality_red[[#This Row],[Updated Quality &amp; Alcohol Analysis]]+winequality_red[[#This Row],[volatile acidity]]+winequality_red[[#This Row],[citric acid]])</f>
        <v>10.66</v>
      </c>
      <c r="O943">
        <f t="shared" si="113"/>
        <v>1.1232000000000002E-2</v>
      </c>
      <c r="S943" t="e">
        <f t="shared" si="114"/>
        <v>#N/A</v>
      </c>
      <c r="T943" t="e">
        <f t="shared" si="115"/>
        <v>#N/A</v>
      </c>
      <c r="U943" t="e">
        <f t="shared" si="116"/>
        <v>#N/A</v>
      </c>
      <c r="V943" t="e">
        <f t="shared" si="117"/>
        <v>#N/A</v>
      </c>
      <c r="W943">
        <f t="shared" si="118"/>
        <v>12.5</v>
      </c>
      <c r="X943">
        <f t="shared" si="119"/>
        <v>7</v>
      </c>
    </row>
    <row r="944" spans="1:24" x14ac:dyDescent="0.3">
      <c r="A944">
        <v>10.1</v>
      </c>
      <c r="B944">
        <v>0.43</v>
      </c>
      <c r="C944">
        <v>0.4</v>
      </c>
      <c r="D944">
        <v>2.6</v>
      </c>
      <c r="E944">
        <v>9.1999999999999998E-2</v>
      </c>
      <c r="F944">
        <v>13</v>
      </c>
      <c r="G944">
        <v>52</v>
      </c>
      <c r="H944">
        <v>0.99834000000000001</v>
      </c>
      <c r="I944">
        <v>3.22</v>
      </c>
      <c r="J944">
        <v>0.64</v>
      </c>
      <c r="K944">
        <v>10</v>
      </c>
      <c r="L944">
        <v>7</v>
      </c>
      <c r="M944" t="str">
        <f t="shared" si="112"/>
        <v>High</v>
      </c>
      <c r="N944">
        <f>(winequality_red[[#This Row],[Updated Quality &amp; Alcohol Analysis]]+winequality_red[[#This Row],[volatile acidity]]+winequality_red[[#This Row],[citric acid]])</f>
        <v>10.93</v>
      </c>
      <c r="O944">
        <f t="shared" si="113"/>
        <v>2.7519999999999999E-2</v>
      </c>
      <c r="S944" t="e">
        <f t="shared" si="114"/>
        <v>#N/A</v>
      </c>
      <c r="T944" t="e">
        <f t="shared" si="115"/>
        <v>#N/A</v>
      </c>
      <c r="U944" t="e">
        <f t="shared" si="116"/>
        <v>#N/A</v>
      </c>
      <c r="V944" t="e">
        <f t="shared" si="117"/>
        <v>#N/A</v>
      </c>
      <c r="W944">
        <f t="shared" si="118"/>
        <v>10</v>
      </c>
      <c r="X944">
        <f t="shared" si="119"/>
        <v>7</v>
      </c>
    </row>
    <row r="945" spans="1:24" x14ac:dyDescent="0.3">
      <c r="A945">
        <v>9.8000000000000007</v>
      </c>
      <c r="B945">
        <v>0.5</v>
      </c>
      <c r="C945">
        <v>0.34</v>
      </c>
      <c r="D945">
        <v>2.2999999999999998</v>
      </c>
      <c r="E945">
        <v>9.4E-2</v>
      </c>
      <c r="F945">
        <v>10</v>
      </c>
      <c r="G945">
        <v>45</v>
      </c>
      <c r="H945">
        <v>0.99863999999999997</v>
      </c>
      <c r="I945">
        <v>3.24</v>
      </c>
      <c r="J945">
        <v>0.6</v>
      </c>
      <c r="K945">
        <v>9.6999999999999993</v>
      </c>
      <c r="L945">
        <v>7</v>
      </c>
      <c r="M945" t="str">
        <f t="shared" si="112"/>
        <v>High</v>
      </c>
      <c r="N945">
        <f>(winequality_red[[#This Row],[Updated Quality &amp; Alcohol Analysis]]+winequality_red[[#This Row],[volatile acidity]]+winequality_red[[#This Row],[citric acid]])</f>
        <v>10.64</v>
      </c>
      <c r="O945">
        <f t="shared" si="113"/>
        <v>3.0927835051546393E-2</v>
      </c>
      <c r="S945" t="e">
        <f t="shared" si="114"/>
        <v>#N/A</v>
      </c>
      <c r="T945" t="e">
        <f t="shared" si="115"/>
        <v>#N/A</v>
      </c>
      <c r="U945" t="e">
        <f t="shared" si="116"/>
        <v>#N/A</v>
      </c>
      <c r="V945" t="e">
        <f t="shared" si="117"/>
        <v>#N/A</v>
      </c>
      <c r="W945">
        <f t="shared" si="118"/>
        <v>9.6999999999999993</v>
      </c>
      <c r="X945">
        <f t="shared" si="119"/>
        <v>7</v>
      </c>
    </row>
    <row r="946" spans="1:24" x14ac:dyDescent="0.3">
      <c r="A946">
        <v>8.3000000000000007</v>
      </c>
      <c r="B946">
        <v>0.3</v>
      </c>
      <c r="C946">
        <v>0.49</v>
      </c>
      <c r="D946">
        <v>3.8</v>
      </c>
      <c r="E946">
        <v>0.09</v>
      </c>
      <c r="F946">
        <v>11</v>
      </c>
      <c r="G946">
        <v>24</v>
      </c>
      <c r="H946">
        <v>0.99497999999999998</v>
      </c>
      <c r="I946">
        <v>3.27</v>
      </c>
      <c r="J946">
        <v>0.64</v>
      </c>
      <c r="K946">
        <v>12.1</v>
      </c>
      <c r="L946">
        <v>7</v>
      </c>
      <c r="M946" t="str">
        <f t="shared" si="112"/>
        <v>High</v>
      </c>
      <c r="N946">
        <f>(winequality_red[[#This Row],[Updated Quality &amp; Alcohol Analysis]]+winequality_red[[#This Row],[volatile acidity]]+winequality_red[[#This Row],[citric acid]])</f>
        <v>9.0900000000000016</v>
      </c>
      <c r="O946">
        <f t="shared" si="113"/>
        <v>1.5867768595041323E-2</v>
      </c>
      <c r="S946" t="e">
        <f t="shared" si="114"/>
        <v>#N/A</v>
      </c>
      <c r="T946" t="e">
        <f t="shared" si="115"/>
        <v>#N/A</v>
      </c>
      <c r="U946" t="e">
        <f t="shared" si="116"/>
        <v>#N/A</v>
      </c>
      <c r="V946" t="e">
        <f t="shared" si="117"/>
        <v>#N/A</v>
      </c>
      <c r="W946">
        <f t="shared" si="118"/>
        <v>12.1</v>
      </c>
      <c r="X946">
        <f t="shared" si="119"/>
        <v>7</v>
      </c>
    </row>
    <row r="947" spans="1:24" x14ac:dyDescent="0.3">
      <c r="A947">
        <v>10.199999999999999</v>
      </c>
      <c r="B947">
        <v>0.44</v>
      </c>
      <c r="C947">
        <v>0.42</v>
      </c>
      <c r="D947">
        <v>2</v>
      </c>
      <c r="E947">
        <v>7.0999999999999994E-2</v>
      </c>
      <c r="F947">
        <v>7</v>
      </c>
      <c r="G947">
        <v>20</v>
      </c>
      <c r="H947">
        <v>0.99565999999999999</v>
      </c>
      <c r="I947">
        <v>3.14</v>
      </c>
      <c r="J947">
        <v>0.79</v>
      </c>
      <c r="K947">
        <v>11.1</v>
      </c>
      <c r="L947">
        <v>7</v>
      </c>
      <c r="M947" t="str">
        <f t="shared" si="112"/>
        <v>High</v>
      </c>
      <c r="N947">
        <f>(winequality_red[[#This Row],[Updated Quality &amp; Alcohol Analysis]]+winequality_red[[#This Row],[volatile acidity]]+winequality_red[[#This Row],[citric acid]])</f>
        <v>11.059999999999999</v>
      </c>
      <c r="O947">
        <f t="shared" si="113"/>
        <v>3.1315315315315319E-2</v>
      </c>
      <c r="S947" t="e">
        <f t="shared" si="114"/>
        <v>#N/A</v>
      </c>
      <c r="T947" t="e">
        <f t="shared" si="115"/>
        <v>#N/A</v>
      </c>
      <c r="U947" t="e">
        <f t="shared" si="116"/>
        <v>#N/A</v>
      </c>
      <c r="V947" t="e">
        <f t="shared" si="117"/>
        <v>#N/A</v>
      </c>
      <c r="W947">
        <f t="shared" si="118"/>
        <v>11.1</v>
      </c>
      <c r="X947">
        <f t="shared" si="119"/>
        <v>7</v>
      </c>
    </row>
    <row r="948" spans="1:24" x14ac:dyDescent="0.3">
      <c r="A948">
        <v>10.199999999999999</v>
      </c>
      <c r="B948">
        <v>0.44</v>
      </c>
      <c r="C948">
        <v>0.57999999999999996</v>
      </c>
      <c r="D948">
        <v>4.0999999999999996</v>
      </c>
      <c r="E948">
        <v>9.1999999999999998E-2</v>
      </c>
      <c r="F948">
        <v>11</v>
      </c>
      <c r="G948">
        <v>24</v>
      </c>
      <c r="H948">
        <v>0.99744999999999995</v>
      </c>
      <c r="I948">
        <v>3.29</v>
      </c>
      <c r="J948">
        <v>0.99</v>
      </c>
      <c r="K948">
        <v>12</v>
      </c>
      <c r="L948">
        <v>7</v>
      </c>
      <c r="M948" t="str">
        <f t="shared" si="112"/>
        <v>High</v>
      </c>
      <c r="N948">
        <f>(winequality_red[[#This Row],[Updated Quality &amp; Alcohol Analysis]]+winequality_red[[#This Row],[volatile acidity]]+winequality_red[[#This Row],[citric acid]])</f>
        <v>11.219999999999999</v>
      </c>
      <c r="O948">
        <f t="shared" si="113"/>
        <v>3.6299999999999999E-2</v>
      </c>
      <c r="S948" t="e">
        <f t="shared" si="114"/>
        <v>#N/A</v>
      </c>
      <c r="T948" t="e">
        <f t="shared" si="115"/>
        <v>#N/A</v>
      </c>
      <c r="U948" t="e">
        <f t="shared" si="116"/>
        <v>#N/A</v>
      </c>
      <c r="V948" t="e">
        <f t="shared" si="117"/>
        <v>#N/A</v>
      </c>
      <c r="W948">
        <f t="shared" si="118"/>
        <v>12</v>
      </c>
      <c r="X948">
        <f t="shared" si="119"/>
        <v>7</v>
      </c>
    </row>
    <row r="949" spans="1:24" x14ac:dyDescent="0.3">
      <c r="A949">
        <v>8.3000000000000007</v>
      </c>
      <c r="B949">
        <v>0.28000000000000003</v>
      </c>
      <c r="C949">
        <v>0.48</v>
      </c>
      <c r="D949">
        <v>2.1</v>
      </c>
      <c r="E949">
        <v>9.3000000000000013E-2</v>
      </c>
      <c r="F949">
        <v>6</v>
      </c>
      <c r="G949">
        <v>12</v>
      </c>
      <c r="H949">
        <v>0.99407999999999996</v>
      </c>
      <c r="I949">
        <v>3.26</v>
      </c>
      <c r="J949">
        <v>0.62</v>
      </c>
      <c r="K949">
        <v>12.4</v>
      </c>
      <c r="L949">
        <v>7</v>
      </c>
      <c r="M949" t="str">
        <f t="shared" si="112"/>
        <v>High</v>
      </c>
      <c r="N949">
        <f>(winequality_red[[#This Row],[Updated Quality &amp; Alcohol Analysis]]+winequality_red[[#This Row],[volatile acidity]]+winequality_red[[#This Row],[citric acid]])</f>
        <v>9.06</v>
      </c>
      <c r="O949">
        <f t="shared" si="113"/>
        <v>1.4E-2</v>
      </c>
      <c r="S949" t="e">
        <f t="shared" si="114"/>
        <v>#N/A</v>
      </c>
      <c r="T949" t="e">
        <f t="shared" si="115"/>
        <v>#N/A</v>
      </c>
      <c r="U949" t="e">
        <f t="shared" si="116"/>
        <v>#N/A</v>
      </c>
      <c r="V949" t="e">
        <f t="shared" si="117"/>
        <v>#N/A</v>
      </c>
      <c r="W949">
        <f t="shared" si="118"/>
        <v>12.4</v>
      </c>
      <c r="X949">
        <f t="shared" si="119"/>
        <v>7</v>
      </c>
    </row>
    <row r="950" spans="1:24" x14ac:dyDescent="0.3">
      <c r="A950">
        <v>8.9</v>
      </c>
      <c r="B950">
        <v>0.12</v>
      </c>
      <c r="C950">
        <v>0.45</v>
      </c>
      <c r="D950">
        <v>1.8</v>
      </c>
      <c r="E950">
        <v>7.4999999999999997E-2</v>
      </c>
      <c r="F950">
        <v>10</v>
      </c>
      <c r="G950">
        <v>21</v>
      </c>
      <c r="H950">
        <v>0.99552000000000007</v>
      </c>
      <c r="I950">
        <v>3.41</v>
      </c>
      <c r="J950">
        <v>0.76</v>
      </c>
      <c r="K950">
        <v>11.9</v>
      </c>
      <c r="L950">
        <v>7</v>
      </c>
      <c r="M950" t="str">
        <f t="shared" si="112"/>
        <v>High</v>
      </c>
      <c r="N950">
        <f>(winequality_red[[#This Row],[Updated Quality &amp; Alcohol Analysis]]+winequality_red[[#This Row],[volatile acidity]]+winequality_red[[#This Row],[citric acid]])</f>
        <v>9.4699999999999989</v>
      </c>
      <c r="O950">
        <f t="shared" si="113"/>
        <v>7.6638655462184877E-3</v>
      </c>
      <c r="S950" t="e">
        <f t="shared" si="114"/>
        <v>#N/A</v>
      </c>
      <c r="T950" t="e">
        <f t="shared" si="115"/>
        <v>#N/A</v>
      </c>
      <c r="U950" t="e">
        <f t="shared" si="116"/>
        <v>#N/A</v>
      </c>
      <c r="V950" t="e">
        <f t="shared" si="117"/>
        <v>#N/A</v>
      </c>
      <c r="W950">
        <f t="shared" si="118"/>
        <v>11.9</v>
      </c>
      <c r="X950">
        <f t="shared" si="119"/>
        <v>7</v>
      </c>
    </row>
    <row r="951" spans="1:24" x14ac:dyDescent="0.3">
      <c r="A951">
        <v>8.9</v>
      </c>
      <c r="B951">
        <v>0.12</v>
      </c>
      <c r="C951">
        <v>0.45</v>
      </c>
      <c r="D951">
        <v>1.8</v>
      </c>
      <c r="E951">
        <v>7.4999999999999997E-2</v>
      </c>
      <c r="F951">
        <v>10</v>
      </c>
      <c r="G951">
        <v>21</v>
      </c>
      <c r="H951">
        <v>0.99552000000000007</v>
      </c>
      <c r="I951">
        <v>3.41</v>
      </c>
      <c r="J951">
        <v>0.76</v>
      </c>
      <c r="K951">
        <v>11.9</v>
      </c>
      <c r="L951">
        <v>7</v>
      </c>
      <c r="M951" t="str">
        <f t="shared" si="112"/>
        <v>High</v>
      </c>
      <c r="N951">
        <f>(winequality_red[[#This Row],[Updated Quality &amp; Alcohol Analysis]]+winequality_red[[#This Row],[volatile acidity]]+winequality_red[[#This Row],[citric acid]])</f>
        <v>9.4699999999999989</v>
      </c>
      <c r="O951">
        <f t="shared" si="113"/>
        <v>7.6638655462184877E-3</v>
      </c>
      <c r="S951" t="e">
        <f t="shared" si="114"/>
        <v>#N/A</v>
      </c>
      <c r="T951" t="e">
        <f t="shared" si="115"/>
        <v>#N/A</v>
      </c>
      <c r="U951" t="e">
        <f t="shared" si="116"/>
        <v>#N/A</v>
      </c>
      <c r="V951" t="e">
        <f t="shared" si="117"/>
        <v>#N/A</v>
      </c>
      <c r="W951">
        <f t="shared" si="118"/>
        <v>11.9</v>
      </c>
      <c r="X951">
        <f t="shared" si="119"/>
        <v>7</v>
      </c>
    </row>
    <row r="952" spans="1:24" x14ac:dyDescent="0.3">
      <c r="A952">
        <v>8.9</v>
      </c>
      <c r="B952">
        <v>0.12</v>
      </c>
      <c r="C952">
        <v>0.45</v>
      </c>
      <c r="D952">
        <v>1.8</v>
      </c>
      <c r="E952">
        <v>7.4999999999999997E-2</v>
      </c>
      <c r="F952">
        <v>10</v>
      </c>
      <c r="G952">
        <v>21</v>
      </c>
      <c r="H952">
        <v>0.99552000000000007</v>
      </c>
      <c r="I952">
        <v>3.41</v>
      </c>
      <c r="J952">
        <v>0.76</v>
      </c>
      <c r="K952">
        <v>11.9</v>
      </c>
      <c r="L952">
        <v>7</v>
      </c>
      <c r="M952" t="str">
        <f t="shared" si="112"/>
        <v>High</v>
      </c>
      <c r="N952">
        <f>(winequality_red[[#This Row],[Updated Quality &amp; Alcohol Analysis]]+winequality_red[[#This Row],[volatile acidity]]+winequality_red[[#This Row],[citric acid]])</f>
        <v>9.4699999999999989</v>
      </c>
      <c r="O952">
        <f t="shared" si="113"/>
        <v>7.6638655462184877E-3</v>
      </c>
      <c r="S952" t="e">
        <f t="shared" si="114"/>
        <v>#N/A</v>
      </c>
      <c r="T952" t="e">
        <f t="shared" si="115"/>
        <v>#N/A</v>
      </c>
      <c r="U952" t="e">
        <f t="shared" si="116"/>
        <v>#N/A</v>
      </c>
      <c r="V952" t="e">
        <f t="shared" si="117"/>
        <v>#N/A</v>
      </c>
      <c r="W952">
        <f t="shared" si="118"/>
        <v>11.9</v>
      </c>
      <c r="X952">
        <f t="shared" si="119"/>
        <v>7</v>
      </c>
    </row>
    <row r="953" spans="1:24" x14ac:dyDescent="0.3">
      <c r="A953">
        <v>8.3000000000000007</v>
      </c>
      <c r="B953">
        <v>0.28000000000000003</v>
      </c>
      <c r="C953">
        <v>0.48</v>
      </c>
      <c r="D953">
        <v>2.1</v>
      </c>
      <c r="E953">
        <v>9.3000000000000013E-2</v>
      </c>
      <c r="F953">
        <v>6</v>
      </c>
      <c r="G953">
        <v>12</v>
      </c>
      <c r="H953">
        <v>0.99407999999999996</v>
      </c>
      <c r="I953">
        <v>3.26</v>
      </c>
      <c r="J953">
        <v>0.62</v>
      </c>
      <c r="K953">
        <v>12.4</v>
      </c>
      <c r="L953">
        <v>7</v>
      </c>
      <c r="M953" t="str">
        <f t="shared" si="112"/>
        <v>High</v>
      </c>
      <c r="N953">
        <f>(winequality_red[[#This Row],[Updated Quality &amp; Alcohol Analysis]]+winequality_red[[#This Row],[volatile acidity]]+winequality_red[[#This Row],[citric acid]])</f>
        <v>9.06</v>
      </c>
      <c r="O953">
        <f t="shared" si="113"/>
        <v>1.4E-2</v>
      </c>
      <c r="S953" t="e">
        <f t="shared" si="114"/>
        <v>#N/A</v>
      </c>
      <c r="T953" t="e">
        <f t="shared" si="115"/>
        <v>#N/A</v>
      </c>
      <c r="U953" t="e">
        <f t="shared" si="116"/>
        <v>#N/A</v>
      </c>
      <c r="V953" t="e">
        <f t="shared" si="117"/>
        <v>#N/A</v>
      </c>
      <c r="W953">
        <f t="shared" si="118"/>
        <v>12.4</v>
      </c>
      <c r="X953">
        <f t="shared" si="119"/>
        <v>7</v>
      </c>
    </row>
    <row r="954" spans="1:24" x14ac:dyDescent="0.3">
      <c r="A954">
        <v>8.1999999999999993</v>
      </c>
      <c r="B954">
        <v>0.31</v>
      </c>
      <c r="C954">
        <v>0.4</v>
      </c>
      <c r="D954">
        <v>2.2000000000000002</v>
      </c>
      <c r="E954">
        <v>5.7999999999999996E-2</v>
      </c>
      <c r="F954">
        <v>6</v>
      </c>
      <c r="G954">
        <v>10</v>
      </c>
      <c r="H954">
        <v>0.99536000000000002</v>
      </c>
      <c r="I954">
        <v>3.31</v>
      </c>
      <c r="J954">
        <v>0.68</v>
      </c>
      <c r="K954">
        <v>11.2</v>
      </c>
      <c r="L954">
        <v>7</v>
      </c>
      <c r="M954" t="str">
        <f t="shared" si="112"/>
        <v>High</v>
      </c>
      <c r="N954">
        <f>(winequality_red[[#This Row],[Updated Quality &amp; Alcohol Analysis]]+winequality_red[[#This Row],[volatile acidity]]+winequality_red[[#This Row],[citric acid]])</f>
        <v>8.91</v>
      </c>
      <c r="O954">
        <f t="shared" si="113"/>
        <v>1.8821428571428572E-2</v>
      </c>
      <c r="S954" t="e">
        <f t="shared" si="114"/>
        <v>#N/A</v>
      </c>
      <c r="T954" t="e">
        <f t="shared" si="115"/>
        <v>#N/A</v>
      </c>
      <c r="U954" t="e">
        <f t="shared" si="116"/>
        <v>#N/A</v>
      </c>
      <c r="V954" t="e">
        <f t="shared" si="117"/>
        <v>#N/A</v>
      </c>
      <c r="W954">
        <f t="shared" si="118"/>
        <v>11.2</v>
      </c>
      <c r="X954">
        <f t="shared" si="119"/>
        <v>7</v>
      </c>
    </row>
    <row r="955" spans="1:24" x14ac:dyDescent="0.3">
      <c r="A955">
        <v>10.199999999999999</v>
      </c>
      <c r="B955">
        <v>0.34</v>
      </c>
      <c r="C955">
        <v>0.48</v>
      </c>
      <c r="D955">
        <v>2.1</v>
      </c>
      <c r="E955">
        <v>5.2000000000000005E-2</v>
      </c>
      <c r="F955">
        <v>5</v>
      </c>
      <c r="G955">
        <v>9</v>
      </c>
      <c r="H955">
        <v>0.99457999999999991</v>
      </c>
      <c r="I955">
        <v>3.2</v>
      </c>
      <c r="J955">
        <v>0.69</v>
      </c>
      <c r="K955">
        <v>12.1</v>
      </c>
      <c r="L955">
        <v>7</v>
      </c>
      <c r="M955" t="str">
        <f t="shared" si="112"/>
        <v>High</v>
      </c>
      <c r="N955">
        <f>(winequality_red[[#This Row],[Updated Quality &amp; Alcohol Analysis]]+winequality_red[[#This Row],[volatile acidity]]+winequality_red[[#This Row],[citric acid]])</f>
        <v>11.02</v>
      </c>
      <c r="O955">
        <f t="shared" si="113"/>
        <v>1.9388429752066116E-2</v>
      </c>
      <c r="S955" t="e">
        <f t="shared" si="114"/>
        <v>#N/A</v>
      </c>
      <c r="T955" t="e">
        <f t="shared" si="115"/>
        <v>#N/A</v>
      </c>
      <c r="U955" t="e">
        <f t="shared" si="116"/>
        <v>#N/A</v>
      </c>
      <c r="V955" t="e">
        <f t="shared" si="117"/>
        <v>#N/A</v>
      </c>
      <c r="W955">
        <f t="shared" si="118"/>
        <v>12.1</v>
      </c>
      <c r="X955">
        <f t="shared" si="119"/>
        <v>7</v>
      </c>
    </row>
    <row r="956" spans="1:24" x14ac:dyDescent="0.3">
      <c r="A956">
        <v>7.6</v>
      </c>
      <c r="B956">
        <v>0.43</v>
      </c>
      <c r="C956">
        <v>0.4</v>
      </c>
      <c r="D956">
        <v>2.7</v>
      </c>
      <c r="E956">
        <v>8.199999999999999E-2</v>
      </c>
      <c r="F956">
        <v>6</v>
      </c>
      <c r="G956">
        <v>11</v>
      </c>
      <c r="H956">
        <v>0.99537999999999993</v>
      </c>
      <c r="I956">
        <v>3.44</v>
      </c>
      <c r="J956">
        <v>0.54</v>
      </c>
      <c r="K956">
        <v>12.2</v>
      </c>
      <c r="L956">
        <v>6</v>
      </c>
      <c r="M956" t="str">
        <f t="shared" si="112"/>
        <v>Medium</v>
      </c>
      <c r="N956">
        <f>(winequality_red[[#This Row],[Updated Quality &amp; Alcohol Analysis]]+winequality_red[[#This Row],[volatile acidity]]+winequality_red[[#This Row],[citric acid]])</f>
        <v>8.43</v>
      </c>
      <c r="O956">
        <f t="shared" si="113"/>
        <v>1.9032786885245904E-2</v>
      </c>
      <c r="S956" t="e">
        <f t="shared" si="114"/>
        <v>#N/A</v>
      </c>
      <c r="T956" t="e">
        <f t="shared" si="115"/>
        <v>#N/A</v>
      </c>
      <c r="U956">
        <f t="shared" si="116"/>
        <v>12.2</v>
      </c>
      <c r="V956">
        <f t="shared" si="117"/>
        <v>6</v>
      </c>
      <c r="W956" t="e">
        <f t="shared" si="118"/>
        <v>#N/A</v>
      </c>
      <c r="X956" t="e">
        <f t="shared" si="119"/>
        <v>#N/A</v>
      </c>
    </row>
    <row r="957" spans="1:24" x14ac:dyDescent="0.3">
      <c r="A957">
        <v>8.5</v>
      </c>
      <c r="B957">
        <v>0.21</v>
      </c>
      <c r="C957">
        <v>0.52</v>
      </c>
      <c r="D957">
        <v>1.9</v>
      </c>
      <c r="E957">
        <v>0.09</v>
      </c>
      <c r="F957">
        <v>9</v>
      </c>
      <c r="G957">
        <v>23</v>
      </c>
      <c r="H957">
        <v>0.99647999999999992</v>
      </c>
      <c r="I957">
        <v>3.36</v>
      </c>
      <c r="J957">
        <v>0.67</v>
      </c>
      <c r="K957">
        <v>10.4</v>
      </c>
      <c r="L957">
        <v>5</v>
      </c>
      <c r="M957" t="str">
        <f t="shared" si="112"/>
        <v>Medium</v>
      </c>
      <c r="N957">
        <f>(winequality_red[[#This Row],[Updated Quality &amp; Alcohol Analysis]]+winequality_red[[#This Row],[volatile acidity]]+winequality_red[[#This Row],[citric acid]])</f>
        <v>9.23</v>
      </c>
      <c r="O957">
        <f t="shared" si="113"/>
        <v>1.3528846153846153E-2</v>
      </c>
      <c r="S957" t="e">
        <f t="shared" si="114"/>
        <v>#N/A</v>
      </c>
      <c r="T957" t="e">
        <f t="shared" si="115"/>
        <v>#N/A</v>
      </c>
      <c r="U957">
        <f t="shared" si="116"/>
        <v>10.4</v>
      </c>
      <c r="V957">
        <f t="shared" si="117"/>
        <v>5</v>
      </c>
      <c r="W957" t="e">
        <f t="shared" si="118"/>
        <v>#N/A</v>
      </c>
      <c r="X957" t="e">
        <f t="shared" si="119"/>
        <v>#N/A</v>
      </c>
    </row>
    <row r="958" spans="1:24" x14ac:dyDescent="0.3">
      <c r="A958">
        <v>9</v>
      </c>
      <c r="B958">
        <v>0.36</v>
      </c>
      <c r="C958">
        <v>0.52</v>
      </c>
      <c r="D958">
        <v>2.1</v>
      </c>
      <c r="E958">
        <v>0.111</v>
      </c>
      <c r="F958">
        <v>5</v>
      </c>
      <c r="G958">
        <v>10</v>
      </c>
      <c r="H958">
        <v>0.9956799999999999</v>
      </c>
      <c r="I958">
        <v>3.31</v>
      </c>
      <c r="J958">
        <v>0.62</v>
      </c>
      <c r="K958">
        <v>11.3</v>
      </c>
      <c r="L958">
        <v>6</v>
      </c>
      <c r="M958" t="str">
        <f t="shared" si="112"/>
        <v>Medium</v>
      </c>
      <c r="N958">
        <f>(winequality_red[[#This Row],[Updated Quality &amp; Alcohol Analysis]]+winequality_red[[#This Row],[volatile acidity]]+winequality_red[[#This Row],[citric acid]])</f>
        <v>9.879999999999999</v>
      </c>
      <c r="O958">
        <f t="shared" si="113"/>
        <v>1.9752212389380529E-2</v>
      </c>
      <c r="S958" t="e">
        <f t="shared" si="114"/>
        <v>#N/A</v>
      </c>
      <c r="T958" t="e">
        <f t="shared" si="115"/>
        <v>#N/A</v>
      </c>
      <c r="U958">
        <f t="shared" si="116"/>
        <v>11.3</v>
      </c>
      <c r="V958">
        <f t="shared" si="117"/>
        <v>6</v>
      </c>
      <c r="W958" t="e">
        <f t="shared" si="118"/>
        <v>#N/A</v>
      </c>
      <c r="X958" t="e">
        <f t="shared" si="119"/>
        <v>#N/A</v>
      </c>
    </row>
    <row r="959" spans="1:24" x14ac:dyDescent="0.3">
      <c r="A959">
        <v>9.5</v>
      </c>
      <c r="B959">
        <v>0.37</v>
      </c>
      <c r="C959">
        <v>0.52</v>
      </c>
      <c r="D959">
        <v>2</v>
      </c>
      <c r="E959">
        <v>8.8000000000000009E-2</v>
      </c>
      <c r="F959">
        <v>12</v>
      </c>
      <c r="G959">
        <v>51</v>
      </c>
      <c r="H959">
        <v>0.99612999999999996</v>
      </c>
      <c r="I959">
        <v>3.29</v>
      </c>
      <c r="J959">
        <v>0.57999999999999996</v>
      </c>
      <c r="K959">
        <v>11.1</v>
      </c>
      <c r="L959">
        <v>6</v>
      </c>
      <c r="M959" t="str">
        <f t="shared" si="112"/>
        <v>Medium</v>
      </c>
      <c r="N959">
        <f>(winequality_red[[#This Row],[Updated Quality &amp; Alcohol Analysis]]+winequality_red[[#This Row],[volatile acidity]]+winequality_red[[#This Row],[citric acid]])</f>
        <v>10.389999999999999</v>
      </c>
      <c r="O959">
        <f t="shared" si="113"/>
        <v>1.9333333333333334E-2</v>
      </c>
      <c r="S959" t="e">
        <f t="shared" si="114"/>
        <v>#N/A</v>
      </c>
      <c r="T959" t="e">
        <f t="shared" si="115"/>
        <v>#N/A</v>
      </c>
      <c r="U959">
        <f t="shared" si="116"/>
        <v>11.1</v>
      </c>
      <c r="V959">
        <f t="shared" si="117"/>
        <v>6</v>
      </c>
      <c r="W959" t="e">
        <f t="shared" si="118"/>
        <v>#N/A</v>
      </c>
      <c r="X959" t="e">
        <f t="shared" si="119"/>
        <v>#N/A</v>
      </c>
    </row>
    <row r="960" spans="1:24" x14ac:dyDescent="0.3">
      <c r="A960">
        <v>6.4</v>
      </c>
      <c r="B960">
        <v>0.56999999999999995</v>
      </c>
      <c r="C960">
        <v>0.12</v>
      </c>
      <c r="D960">
        <v>2.2999999999999998</v>
      </c>
      <c r="E960">
        <v>0.12</v>
      </c>
      <c r="F960">
        <v>25</v>
      </c>
      <c r="G960">
        <v>36</v>
      </c>
      <c r="H960">
        <v>0.99519000000000002</v>
      </c>
      <c r="I960">
        <v>3.47</v>
      </c>
      <c r="J960">
        <v>0.71</v>
      </c>
      <c r="K960">
        <v>11.3</v>
      </c>
      <c r="L960">
        <v>7</v>
      </c>
      <c r="M960" t="str">
        <f t="shared" si="112"/>
        <v>High</v>
      </c>
      <c r="N960">
        <f>(winequality_red[[#This Row],[Updated Quality &amp; Alcohol Analysis]]+winequality_red[[#This Row],[volatile acidity]]+winequality_red[[#This Row],[citric acid]])</f>
        <v>7.0900000000000007</v>
      </c>
      <c r="O960">
        <f t="shared" si="113"/>
        <v>3.5814159292035394E-2</v>
      </c>
      <c r="S960" t="e">
        <f t="shared" si="114"/>
        <v>#N/A</v>
      </c>
      <c r="T960" t="e">
        <f t="shared" si="115"/>
        <v>#N/A</v>
      </c>
      <c r="U960" t="e">
        <f t="shared" si="116"/>
        <v>#N/A</v>
      </c>
      <c r="V960" t="e">
        <f t="shared" si="117"/>
        <v>#N/A</v>
      </c>
      <c r="W960">
        <f t="shared" si="118"/>
        <v>11.3</v>
      </c>
      <c r="X960">
        <f t="shared" si="119"/>
        <v>7</v>
      </c>
    </row>
    <row r="961" spans="1:24" x14ac:dyDescent="0.3">
      <c r="A961">
        <v>8</v>
      </c>
      <c r="B961">
        <v>0.59</v>
      </c>
      <c r="C961">
        <v>0.05</v>
      </c>
      <c r="D961">
        <v>2</v>
      </c>
      <c r="E961">
        <v>8.900000000000001E-2</v>
      </c>
      <c r="F961">
        <v>12</v>
      </c>
      <c r="G961">
        <v>32</v>
      </c>
      <c r="H961">
        <v>0.99734999999999996</v>
      </c>
      <c r="I961">
        <v>3.36</v>
      </c>
      <c r="J961">
        <v>0.61</v>
      </c>
      <c r="K961">
        <v>10</v>
      </c>
      <c r="L961">
        <v>5</v>
      </c>
      <c r="M961" t="str">
        <f t="shared" si="112"/>
        <v>Medium</v>
      </c>
      <c r="N961">
        <f>(winequality_red[[#This Row],[Updated Quality &amp; Alcohol Analysis]]+winequality_red[[#This Row],[volatile acidity]]+winequality_red[[#This Row],[citric acid]])</f>
        <v>8.64</v>
      </c>
      <c r="O961">
        <f t="shared" si="113"/>
        <v>3.5990000000000001E-2</v>
      </c>
      <c r="S961" t="e">
        <f t="shared" si="114"/>
        <v>#N/A</v>
      </c>
      <c r="T961" t="e">
        <f t="shared" si="115"/>
        <v>#N/A</v>
      </c>
      <c r="U961">
        <f t="shared" si="116"/>
        <v>10</v>
      </c>
      <c r="V961">
        <f t="shared" si="117"/>
        <v>5</v>
      </c>
      <c r="W961" t="e">
        <f t="shared" si="118"/>
        <v>#N/A</v>
      </c>
      <c r="X961" t="e">
        <f t="shared" si="119"/>
        <v>#N/A</v>
      </c>
    </row>
    <row r="962" spans="1:24" x14ac:dyDescent="0.3">
      <c r="A962">
        <v>8.5</v>
      </c>
      <c r="B962">
        <v>0.47</v>
      </c>
      <c r="C962">
        <v>0.27</v>
      </c>
      <c r="D962">
        <v>1.9</v>
      </c>
      <c r="E962">
        <v>5.7999999999999996E-2</v>
      </c>
      <c r="F962">
        <v>18</v>
      </c>
      <c r="G962">
        <v>38</v>
      </c>
      <c r="H962">
        <v>0.99517999999999995</v>
      </c>
      <c r="I962">
        <v>3.16</v>
      </c>
      <c r="J962">
        <v>0.85</v>
      </c>
      <c r="K962">
        <v>11.1</v>
      </c>
      <c r="L962">
        <v>6</v>
      </c>
      <c r="M962" t="str">
        <f t="shared" ref="M962:M1025" si="120">IF($L962&gt;=7,"High",IF($L962&gt;=5,"Medium","Low"))</f>
        <v>Medium</v>
      </c>
      <c r="N962">
        <f>(winequality_red[[#This Row],[Updated Quality &amp; Alcohol Analysis]]+winequality_red[[#This Row],[volatile acidity]]+winequality_red[[#This Row],[citric acid]])</f>
        <v>9.24</v>
      </c>
      <c r="O962">
        <f t="shared" ref="O962:O1025" si="121">($B962*$J962)/$K962</f>
        <v>3.5990990990990991E-2</v>
      </c>
      <c r="S962" t="e">
        <f t="shared" si="114"/>
        <v>#N/A</v>
      </c>
      <c r="T962" t="e">
        <f t="shared" si="115"/>
        <v>#N/A</v>
      </c>
      <c r="U962">
        <f t="shared" si="116"/>
        <v>11.1</v>
      </c>
      <c r="V962">
        <f t="shared" si="117"/>
        <v>6</v>
      </c>
      <c r="W962" t="e">
        <f t="shared" si="118"/>
        <v>#N/A</v>
      </c>
      <c r="X962" t="e">
        <f t="shared" si="119"/>
        <v>#N/A</v>
      </c>
    </row>
    <row r="963" spans="1:24" x14ac:dyDescent="0.3">
      <c r="A963">
        <v>7.1</v>
      </c>
      <c r="B963">
        <v>0.56000000000000005</v>
      </c>
      <c r="C963">
        <v>0.14000000000000001</v>
      </c>
      <c r="D963">
        <v>1.6</v>
      </c>
      <c r="E963">
        <v>7.8E-2</v>
      </c>
      <c r="F963">
        <v>7</v>
      </c>
      <c r="G963">
        <v>18</v>
      </c>
      <c r="H963">
        <v>0.99592000000000003</v>
      </c>
      <c r="I963">
        <v>3.27</v>
      </c>
      <c r="J963">
        <v>0.62</v>
      </c>
      <c r="K963">
        <v>9.3000000000000007</v>
      </c>
      <c r="L963">
        <v>5</v>
      </c>
      <c r="M963" t="str">
        <f t="shared" si="120"/>
        <v>Medium</v>
      </c>
      <c r="N963">
        <f>(winequality_red[[#This Row],[Updated Quality &amp; Alcohol Analysis]]+winequality_red[[#This Row],[volatile acidity]]+winequality_red[[#This Row],[citric acid]])</f>
        <v>7.8</v>
      </c>
      <c r="O963">
        <f t="shared" si="121"/>
        <v>3.7333333333333329E-2</v>
      </c>
      <c r="S963" t="e">
        <f t="shared" ref="S963:S1026" si="122">IF($M963="Low",$K963,NA())</f>
        <v>#N/A</v>
      </c>
      <c r="T963" t="e">
        <f t="shared" ref="T963:T1026" si="123">IF($M963="Low",$L963,NA())</f>
        <v>#N/A</v>
      </c>
      <c r="U963">
        <f t="shared" ref="U963:U1026" si="124">IF($M963="Medium",$K963,NA())</f>
        <v>9.3000000000000007</v>
      </c>
      <c r="V963">
        <f t="shared" ref="V963:V1026" si="125">IF($M963="Medium",$L963,NA())</f>
        <v>5</v>
      </c>
      <c r="W963" t="e">
        <f t="shared" ref="W963:W1026" si="126">IF($M963="High",$K963,NA())</f>
        <v>#N/A</v>
      </c>
      <c r="X963" t="e">
        <f t="shared" ref="X963:X1026" si="127">IF($M963="High",$L963,NA())</f>
        <v>#N/A</v>
      </c>
    </row>
    <row r="964" spans="1:24" x14ac:dyDescent="0.3">
      <c r="A964">
        <v>6.6</v>
      </c>
      <c r="B964">
        <v>0.56999999999999995</v>
      </c>
      <c r="C964">
        <v>0.02</v>
      </c>
      <c r="D964">
        <v>2.1</v>
      </c>
      <c r="E964">
        <v>0.115</v>
      </c>
      <c r="F964">
        <v>6</v>
      </c>
      <c r="G964">
        <v>16</v>
      </c>
      <c r="H964">
        <v>0.99653999999999998</v>
      </c>
      <c r="I964">
        <v>3.38</v>
      </c>
      <c r="J964">
        <v>0.69</v>
      </c>
      <c r="K964">
        <v>9.5</v>
      </c>
      <c r="L964">
        <v>5</v>
      </c>
      <c r="M964" t="str">
        <f t="shared" si="120"/>
        <v>Medium</v>
      </c>
      <c r="N964">
        <f>(winequality_red[[#This Row],[Updated Quality &amp; Alcohol Analysis]]+winequality_red[[#This Row],[volatile acidity]]+winequality_red[[#This Row],[citric acid]])</f>
        <v>7.1899999999999995</v>
      </c>
      <c r="O964">
        <f t="shared" si="121"/>
        <v>4.1399999999999992E-2</v>
      </c>
      <c r="S964" t="e">
        <f t="shared" si="122"/>
        <v>#N/A</v>
      </c>
      <c r="T964" t="e">
        <f t="shared" si="123"/>
        <v>#N/A</v>
      </c>
      <c r="U964">
        <f t="shared" si="124"/>
        <v>9.5</v>
      </c>
      <c r="V964">
        <f t="shared" si="125"/>
        <v>5</v>
      </c>
      <c r="W964" t="e">
        <f t="shared" si="126"/>
        <v>#N/A</v>
      </c>
      <c r="X964" t="e">
        <f t="shared" si="127"/>
        <v>#N/A</v>
      </c>
    </row>
    <row r="965" spans="1:24" x14ac:dyDescent="0.3">
      <c r="A965">
        <v>8.8000000000000007</v>
      </c>
      <c r="B965">
        <v>0.27</v>
      </c>
      <c r="C965">
        <v>0.39</v>
      </c>
      <c r="D965">
        <v>2</v>
      </c>
      <c r="E965">
        <v>0.1</v>
      </c>
      <c r="F965">
        <v>20</v>
      </c>
      <c r="G965">
        <v>27</v>
      </c>
      <c r="H965">
        <v>0.99546000000000001</v>
      </c>
      <c r="I965">
        <v>3.15</v>
      </c>
      <c r="J965">
        <v>0.69</v>
      </c>
      <c r="K965">
        <v>11.2</v>
      </c>
      <c r="L965">
        <v>6</v>
      </c>
      <c r="M965" t="str">
        <f t="shared" si="120"/>
        <v>Medium</v>
      </c>
      <c r="N965">
        <f>(winequality_red[[#This Row],[Updated Quality &amp; Alcohol Analysis]]+winequality_red[[#This Row],[volatile acidity]]+winequality_red[[#This Row],[citric acid]])</f>
        <v>9.4600000000000009</v>
      </c>
      <c r="O965">
        <f t="shared" si="121"/>
        <v>1.663392857142857E-2</v>
      </c>
      <c r="S965" t="e">
        <f t="shared" si="122"/>
        <v>#N/A</v>
      </c>
      <c r="T965" t="e">
        <f t="shared" si="123"/>
        <v>#N/A</v>
      </c>
      <c r="U965">
        <f t="shared" si="124"/>
        <v>11.2</v>
      </c>
      <c r="V965">
        <f t="shared" si="125"/>
        <v>6</v>
      </c>
      <c r="W965" t="e">
        <f t="shared" si="126"/>
        <v>#N/A</v>
      </c>
      <c r="X965" t="e">
        <f t="shared" si="127"/>
        <v>#N/A</v>
      </c>
    </row>
    <row r="966" spans="1:24" x14ac:dyDescent="0.3">
      <c r="A966">
        <v>8.5</v>
      </c>
      <c r="B966">
        <v>0.47</v>
      </c>
      <c r="C966">
        <v>0.27</v>
      </c>
      <c r="D966">
        <v>1.9</v>
      </c>
      <c r="E966">
        <v>5.7999999999999996E-2</v>
      </c>
      <c r="F966">
        <v>18</v>
      </c>
      <c r="G966">
        <v>38</v>
      </c>
      <c r="H966">
        <v>0.99517999999999995</v>
      </c>
      <c r="I966">
        <v>3.16</v>
      </c>
      <c r="J966">
        <v>0.85</v>
      </c>
      <c r="K966">
        <v>11.1</v>
      </c>
      <c r="L966">
        <v>6</v>
      </c>
      <c r="M966" t="str">
        <f t="shared" si="120"/>
        <v>Medium</v>
      </c>
      <c r="N966">
        <f>(winequality_red[[#This Row],[Updated Quality &amp; Alcohol Analysis]]+winequality_red[[#This Row],[volatile acidity]]+winequality_red[[#This Row],[citric acid]])</f>
        <v>9.24</v>
      </c>
      <c r="O966">
        <f t="shared" si="121"/>
        <v>3.5990990990990991E-2</v>
      </c>
      <c r="S966" t="e">
        <f t="shared" si="122"/>
        <v>#N/A</v>
      </c>
      <c r="T966" t="e">
        <f t="shared" si="123"/>
        <v>#N/A</v>
      </c>
      <c r="U966">
        <f t="shared" si="124"/>
        <v>11.1</v>
      </c>
      <c r="V966">
        <f t="shared" si="125"/>
        <v>6</v>
      </c>
      <c r="W966" t="e">
        <f t="shared" si="126"/>
        <v>#N/A</v>
      </c>
      <c r="X966" t="e">
        <f t="shared" si="127"/>
        <v>#N/A</v>
      </c>
    </row>
    <row r="967" spans="1:24" x14ac:dyDescent="0.3">
      <c r="A967">
        <v>8.3000000000000007</v>
      </c>
      <c r="B967">
        <v>0.34</v>
      </c>
      <c r="C967">
        <v>0.4</v>
      </c>
      <c r="D967">
        <v>2.4</v>
      </c>
      <c r="E967">
        <v>6.5000000000000002E-2</v>
      </c>
      <c r="F967">
        <v>24</v>
      </c>
      <c r="G967">
        <v>48</v>
      </c>
      <c r="H967">
        <v>0.99553999999999998</v>
      </c>
      <c r="I967">
        <v>3.34</v>
      </c>
      <c r="J967">
        <v>0.86</v>
      </c>
      <c r="K967">
        <v>11</v>
      </c>
      <c r="L967">
        <v>6</v>
      </c>
      <c r="M967" t="str">
        <f t="shared" si="120"/>
        <v>Medium</v>
      </c>
      <c r="N967">
        <f>(winequality_red[[#This Row],[Updated Quality &amp; Alcohol Analysis]]+winequality_red[[#This Row],[volatile acidity]]+winequality_red[[#This Row],[citric acid]])</f>
        <v>9.0400000000000009</v>
      </c>
      <c r="O967">
        <f t="shared" si="121"/>
        <v>2.6581818181818182E-2</v>
      </c>
      <c r="S967" t="e">
        <f t="shared" si="122"/>
        <v>#N/A</v>
      </c>
      <c r="T967" t="e">
        <f t="shared" si="123"/>
        <v>#N/A</v>
      </c>
      <c r="U967">
        <f t="shared" si="124"/>
        <v>11</v>
      </c>
      <c r="V967">
        <f t="shared" si="125"/>
        <v>6</v>
      </c>
      <c r="W967" t="e">
        <f t="shared" si="126"/>
        <v>#N/A</v>
      </c>
      <c r="X967" t="e">
        <f t="shared" si="127"/>
        <v>#N/A</v>
      </c>
    </row>
    <row r="968" spans="1:24" x14ac:dyDescent="0.3">
      <c r="A968">
        <v>9</v>
      </c>
      <c r="B968">
        <v>0.38</v>
      </c>
      <c r="C968">
        <v>0.41</v>
      </c>
      <c r="D968">
        <v>2.4</v>
      </c>
      <c r="E968">
        <v>0.10300000000000001</v>
      </c>
      <c r="F968">
        <v>6</v>
      </c>
      <c r="G968">
        <v>10</v>
      </c>
      <c r="H968">
        <v>0.99603999999999993</v>
      </c>
      <c r="I968">
        <v>3.13</v>
      </c>
      <c r="J968">
        <v>0.57999999999999996</v>
      </c>
      <c r="K968">
        <v>11.9</v>
      </c>
      <c r="L968">
        <v>7</v>
      </c>
      <c r="M968" t="str">
        <f t="shared" si="120"/>
        <v>High</v>
      </c>
      <c r="N968">
        <f>(winequality_red[[#This Row],[Updated Quality &amp; Alcohol Analysis]]+winequality_red[[#This Row],[volatile acidity]]+winequality_red[[#This Row],[citric acid]])</f>
        <v>9.7900000000000009</v>
      </c>
      <c r="O968">
        <f t="shared" si="121"/>
        <v>1.8521008403361343E-2</v>
      </c>
      <c r="S968" t="e">
        <f t="shared" si="122"/>
        <v>#N/A</v>
      </c>
      <c r="T968" t="e">
        <f t="shared" si="123"/>
        <v>#N/A</v>
      </c>
      <c r="U968" t="e">
        <f t="shared" si="124"/>
        <v>#N/A</v>
      </c>
      <c r="V968" t="e">
        <f t="shared" si="125"/>
        <v>#N/A</v>
      </c>
      <c r="W968">
        <f t="shared" si="126"/>
        <v>11.9</v>
      </c>
      <c r="X968">
        <f t="shared" si="127"/>
        <v>7</v>
      </c>
    </row>
    <row r="969" spans="1:24" x14ac:dyDescent="0.3">
      <c r="A969">
        <v>8.5</v>
      </c>
      <c r="B969">
        <v>0.66</v>
      </c>
      <c r="C969">
        <v>0.2</v>
      </c>
      <c r="D969">
        <v>2.1</v>
      </c>
      <c r="E969">
        <v>9.6999999999999989E-2</v>
      </c>
      <c r="F969">
        <v>23</v>
      </c>
      <c r="G969">
        <v>113</v>
      </c>
      <c r="H969">
        <v>0.99732999999999994</v>
      </c>
      <c r="I969">
        <v>3.13</v>
      </c>
      <c r="J969">
        <v>0.48</v>
      </c>
      <c r="K969">
        <v>9.1999999999999993</v>
      </c>
      <c r="L969">
        <v>5</v>
      </c>
      <c r="M969" t="str">
        <f t="shared" si="120"/>
        <v>Medium</v>
      </c>
      <c r="N969">
        <f>(winequality_red[[#This Row],[Updated Quality &amp; Alcohol Analysis]]+winequality_red[[#This Row],[volatile acidity]]+winequality_red[[#This Row],[citric acid]])</f>
        <v>9.36</v>
      </c>
      <c r="O969">
        <f t="shared" si="121"/>
        <v>3.443478260869566E-2</v>
      </c>
      <c r="S969" t="e">
        <f t="shared" si="122"/>
        <v>#N/A</v>
      </c>
      <c r="T969" t="e">
        <f t="shared" si="123"/>
        <v>#N/A</v>
      </c>
      <c r="U969">
        <f t="shared" si="124"/>
        <v>9.1999999999999993</v>
      </c>
      <c r="V969">
        <f t="shared" si="125"/>
        <v>5</v>
      </c>
      <c r="W969" t="e">
        <f t="shared" si="126"/>
        <v>#N/A</v>
      </c>
      <c r="X969" t="e">
        <f t="shared" si="127"/>
        <v>#N/A</v>
      </c>
    </row>
    <row r="970" spans="1:24" x14ac:dyDescent="0.3">
      <c r="A970">
        <v>9</v>
      </c>
      <c r="B970">
        <v>0.4</v>
      </c>
      <c r="C970">
        <v>0.43</v>
      </c>
      <c r="D970">
        <v>2.4</v>
      </c>
      <c r="E970">
        <v>6.8000000000000005E-2</v>
      </c>
      <c r="F970">
        <v>29</v>
      </c>
      <c r="G970">
        <v>46</v>
      </c>
      <c r="H970">
        <v>0.99429999999999996</v>
      </c>
      <c r="I970">
        <v>3.2</v>
      </c>
      <c r="J970">
        <v>0.6</v>
      </c>
      <c r="K970">
        <v>12.2</v>
      </c>
      <c r="L970">
        <v>6</v>
      </c>
      <c r="M970" t="str">
        <f t="shared" si="120"/>
        <v>Medium</v>
      </c>
      <c r="N970">
        <f>(winequality_red[[#This Row],[Updated Quality &amp; Alcohol Analysis]]+winequality_red[[#This Row],[volatile acidity]]+winequality_red[[#This Row],[citric acid]])</f>
        <v>9.83</v>
      </c>
      <c r="O970">
        <f t="shared" si="121"/>
        <v>1.9672131147540985E-2</v>
      </c>
      <c r="S970" t="e">
        <f t="shared" si="122"/>
        <v>#N/A</v>
      </c>
      <c r="T970" t="e">
        <f t="shared" si="123"/>
        <v>#N/A</v>
      </c>
      <c r="U970">
        <f t="shared" si="124"/>
        <v>12.2</v>
      </c>
      <c r="V970">
        <f t="shared" si="125"/>
        <v>6</v>
      </c>
      <c r="W970" t="e">
        <f t="shared" si="126"/>
        <v>#N/A</v>
      </c>
      <c r="X970" t="e">
        <f t="shared" si="127"/>
        <v>#N/A</v>
      </c>
    </row>
    <row r="971" spans="1:24" x14ac:dyDescent="0.3">
      <c r="A971">
        <v>6.7</v>
      </c>
      <c r="B971">
        <v>0.56000000000000005</v>
      </c>
      <c r="C971">
        <v>0.09</v>
      </c>
      <c r="D971">
        <v>2.9</v>
      </c>
      <c r="E971">
        <v>7.9000000000000001E-2</v>
      </c>
      <c r="F971">
        <v>7</v>
      </c>
      <c r="G971">
        <v>22</v>
      </c>
      <c r="H971">
        <v>0.99668999999999996</v>
      </c>
      <c r="I971">
        <v>3.46</v>
      </c>
      <c r="J971">
        <v>0.61</v>
      </c>
      <c r="K971">
        <v>10.199999999999999</v>
      </c>
      <c r="L971">
        <v>5</v>
      </c>
      <c r="M971" t="str">
        <f t="shared" si="120"/>
        <v>Medium</v>
      </c>
      <c r="N971">
        <f>(winequality_red[[#This Row],[Updated Quality &amp; Alcohol Analysis]]+winequality_red[[#This Row],[volatile acidity]]+winequality_red[[#This Row],[citric acid]])</f>
        <v>7.35</v>
      </c>
      <c r="O971">
        <f t="shared" si="121"/>
        <v>3.3490196078431379E-2</v>
      </c>
      <c r="S971" t="e">
        <f t="shared" si="122"/>
        <v>#N/A</v>
      </c>
      <c r="T971" t="e">
        <f t="shared" si="123"/>
        <v>#N/A</v>
      </c>
      <c r="U971">
        <f t="shared" si="124"/>
        <v>10.199999999999999</v>
      </c>
      <c r="V971">
        <f t="shared" si="125"/>
        <v>5</v>
      </c>
      <c r="W971" t="e">
        <f t="shared" si="126"/>
        <v>#N/A</v>
      </c>
      <c r="X971" t="e">
        <f t="shared" si="127"/>
        <v>#N/A</v>
      </c>
    </row>
    <row r="972" spans="1:24" x14ac:dyDescent="0.3">
      <c r="A972">
        <v>10.4</v>
      </c>
      <c r="B972">
        <v>0.26</v>
      </c>
      <c r="C972">
        <v>0.48</v>
      </c>
      <c r="D972">
        <v>1.9</v>
      </c>
      <c r="E972">
        <v>6.6000000000000003E-2</v>
      </c>
      <c r="F972">
        <v>6</v>
      </c>
      <c r="G972">
        <v>10</v>
      </c>
      <c r="H972">
        <v>0.99724000000000002</v>
      </c>
      <c r="I972">
        <v>3.33</v>
      </c>
      <c r="J972">
        <v>0.87</v>
      </c>
      <c r="K972">
        <v>10.9</v>
      </c>
      <c r="L972">
        <v>6</v>
      </c>
      <c r="M972" t="str">
        <f t="shared" si="120"/>
        <v>Medium</v>
      </c>
      <c r="N972">
        <f>(winequality_red[[#This Row],[Updated Quality &amp; Alcohol Analysis]]+winequality_red[[#This Row],[volatile acidity]]+winequality_red[[#This Row],[citric acid]])</f>
        <v>11.14</v>
      </c>
      <c r="O972">
        <f t="shared" si="121"/>
        <v>2.075229357798165E-2</v>
      </c>
      <c r="S972" t="e">
        <f t="shared" si="122"/>
        <v>#N/A</v>
      </c>
      <c r="T972" t="e">
        <f t="shared" si="123"/>
        <v>#N/A</v>
      </c>
      <c r="U972">
        <f t="shared" si="124"/>
        <v>10.9</v>
      </c>
      <c r="V972">
        <f t="shared" si="125"/>
        <v>6</v>
      </c>
      <c r="W972" t="e">
        <f t="shared" si="126"/>
        <v>#N/A</v>
      </c>
      <c r="X972" t="e">
        <f t="shared" si="127"/>
        <v>#N/A</v>
      </c>
    </row>
    <row r="973" spans="1:24" x14ac:dyDescent="0.3">
      <c r="A973">
        <v>10.4</v>
      </c>
      <c r="B973">
        <v>0.26</v>
      </c>
      <c r="C973">
        <v>0.48</v>
      </c>
      <c r="D973">
        <v>1.9</v>
      </c>
      <c r="E973">
        <v>6.6000000000000003E-2</v>
      </c>
      <c r="F973">
        <v>6</v>
      </c>
      <c r="G973">
        <v>10</v>
      </c>
      <c r="H973">
        <v>0.99724000000000002</v>
      </c>
      <c r="I973">
        <v>3.33</v>
      </c>
      <c r="J973">
        <v>0.87</v>
      </c>
      <c r="K973">
        <v>10.9</v>
      </c>
      <c r="L973">
        <v>6</v>
      </c>
      <c r="M973" t="str">
        <f t="shared" si="120"/>
        <v>Medium</v>
      </c>
      <c r="N973">
        <f>(winequality_red[[#This Row],[Updated Quality &amp; Alcohol Analysis]]+winequality_red[[#This Row],[volatile acidity]]+winequality_red[[#This Row],[citric acid]])</f>
        <v>11.14</v>
      </c>
      <c r="O973">
        <f t="shared" si="121"/>
        <v>2.075229357798165E-2</v>
      </c>
      <c r="S973" t="e">
        <f t="shared" si="122"/>
        <v>#N/A</v>
      </c>
      <c r="T973" t="e">
        <f t="shared" si="123"/>
        <v>#N/A</v>
      </c>
      <c r="U973">
        <f t="shared" si="124"/>
        <v>10.9</v>
      </c>
      <c r="V973">
        <f t="shared" si="125"/>
        <v>6</v>
      </c>
      <c r="W973" t="e">
        <f t="shared" si="126"/>
        <v>#N/A</v>
      </c>
      <c r="X973" t="e">
        <f t="shared" si="127"/>
        <v>#N/A</v>
      </c>
    </row>
    <row r="974" spans="1:24" x14ac:dyDescent="0.3">
      <c r="A974">
        <v>10.1</v>
      </c>
      <c r="B974">
        <v>0.38</v>
      </c>
      <c r="C974">
        <v>0.5</v>
      </c>
      <c r="D974">
        <v>2.4</v>
      </c>
      <c r="E974">
        <v>0.10400000000000001</v>
      </c>
      <c r="F974">
        <v>6</v>
      </c>
      <c r="G974">
        <v>13</v>
      </c>
      <c r="H974">
        <v>0.99642999999999993</v>
      </c>
      <c r="I974">
        <v>3.22</v>
      </c>
      <c r="J974">
        <v>0.65</v>
      </c>
      <c r="K974">
        <v>11.6</v>
      </c>
      <c r="L974">
        <v>7</v>
      </c>
      <c r="M974" t="str">
        <f t="shared" si="120"/>
        <v>High</v>
      </c>
      <c r="N974">
        <f>(winequality_red[[#This Row],[Updated Quality &amp; Alcohol Analysis]]+winequality_red[[#This Row],[volatile acidity]]+winequality_red[[#This Row],[citric acid]])</f>
        <v>10.98</v>
      </c>
      <c r="O974">
        <f t="shared" si="121"/>
        <v>2.1293103448275865E-2</v>
      </c>
      <c r="S974" t="e">
        <f t="shared" si="122"/>
        <v>#N/A</v>
      </c>
      <c r="T974" t="e">
        <f t="shared" si="123"/>
        <v>#N/A</v>
      </c>
      <c r="U974" t="e">
        <f t="shared" si="124"/>
        <v>#N/A</v>
      </c>
      <c r="V974" t="e">
        <f t="shared" si="125"/>
        <v>#N/A</v>
      </c>
      <c r="W974">
        <f t="shared" si="126"/>
        <v>11.6</v>
      </c>
      <c r="X974">
        <f t="shared" si="127"/>
        <v>7</v>
      </c>
    </row>
    <row r="975" spans="1:24" x14ac:dyDescent="0.3">
      <c r="A975">
        <v>8.5</v>
      </c>
      <c r="B975">
        <v>0.34</v>
      </c>
      <c r="C975">
        <v>0.44</v>
      </c>
      <c r="D975">
        <v>1.7</v>
      </c>
      <c r="E975">
        <v>7.9000000000000001E-2</v>
      </c>
      <c r="F975">
        <v>6</v>
      </c>
      <c r="G975">
        <v>12</v>
      </c>
      <c r="H975">
        <v>0.99604999999999999</v>
      </c>
      <c r="I975">
        <v>3.52</v>
      </c>
      <c r="J975">
        <v>0.63</v>
      </c>
      <c r="K975">
        <v>10.7</v>
      </c>
      <c r="L975">
        <v>5</v>
      </c>
      <c r="M975" t="str">
        <f t="shared" si="120"/>
        <v>Medium</v>
      </c>
      <c r="N975">
        <f>(winequality_red[[#This Row],[Updated Quality &amp; Alcohol Analysis]]+winequality_red[[#This Row],[volatile acidity]]+winequality_red[[#This Row],[citric acid]])</f>
        <v>9.2799999999999994</v>
      </c>
      <c r="O975">
        <f t="shared" si="121"/>
        <v>2.001869158878505E-2</v>
      </c>
      <c r="S975" t="e">
        <f t="shared" si="122"/>
        <v>#N/A</v>
      </c>
      <c r="T975" t="e">
        <f t="shared" si="123"/>
        <v>#N/A</v>
      </c>
      <c r="U975">
        <f t="shared" si="124"/>
        <v>10.7</v>
      </c>
      <c r="V975">
        <f t="shared" si="125"/>
        <v>5</v>
      </c>
      <c r="W975" t="e">
        <f t="shared" si="126"/>
        <v>#N/A</v>
      </c>
      <c r="X975" t="e">
        <f t="shared" si="127"/>
        <v>#N/A</v>
      </c>
    </row>
    <row r="976" spans="1:24" x14ac:dyDescent="0.3">
      <c r="A976">
        <v>8.8000000000000007</v>
      </c>
      <c r="B976">
        <v>0.33</v>
      </c>
      <c r="C976">
        <v>0.41</v>
      </c>
      <c r="D976">
        <v>5.9</v>
      </c>
      <c r="E976">
        <v>7.2999999999999995E-2</v>
      </c>
      <c r="F976">
        <v>7</v>
      </c>
      <c r="G976">
        <v>13</v>
      </c>
      <c r="H976">
        <v>0.99657999999999991</v>
      </c>
      <c r="I976">
        <v>3.3</v>
      </c>
      <c r="J976">
        <v>0.62</v>
      </c>
      <c r="K976">
        <v>12.1</v>
      </c>
      <c r="L976">
        <v>7</v>
      </c>
      <c r="M976" t="str">
        <f t="shared" si="120"/>
        <v>High</v>
      </c>
      <c r="N976">
        <f>(winequality_red[[#This Row],[Updated Quality &amp; Alcohol Analysis]]+winequality_red[[#This Row],[volatile acidity]]+winequality_red[[#This Row],[citric acid]])</f>
        <v>9.5400000000000009</v>
      </c>
      <c r="O976">
        <f t="shared" si="121"/>
        <v>1.6909090909090908E-2</v>
      </c>
      <c r="S976" t="e">
        <f t="shared" si="122"/>
        <v>#N/A</v>
      </c>
      <c r="T976" t="e">
        <f t="shared" si="123"/>
        <v>#N/A</v>
      </c>
      <c r="U976" t="e">
        <f t="shared" si="124"/>
        <v>#N/A</v>
      </c>
      <c r="V976" t="e">
        <f t="shared" si="125"/>
        <v>#N/A</v>
      </c>
      <c r="W976">
        <f t="shared" si="126"/>
        <v>12.1</v>
      </c>
      <c r="X976">
        <f t="shared" si="127"/>
        <v>7</v>
      </c>
    </row>
    <row r="977" spans="1:24" x14ac:dyDescent="0.3">
      <c r="A977">
        <v>7.2</v>
      </c>
      <c r="B977">
        <v>0.41</v>
      </c>
      <c r="C977">
        <v>0.3</v>
      </c>
      <c r="D977">
        <v>2.1</v>
      </c>
      <c r="E977">
        <v>8.3000000000000004E-2</v>
      </c>
      <c r="F977">
        <v>35</v>
      </c>
      <c r="G977">
        <v>72</v>
      </c>
      <c r="H977">
        <v>0.997</v>
      </c>
      <c r="I977">
        <v>3.44</v>
      </c>
      <c r="J977">
        <v>0.52</v>
      </c>
      <c r="K977">
        <v>9.4</v>
      </c>
      <c r="L977">
        <v>5</v>
      </c>
      <c r="M977" t="str">
        <f t="shared" si="120"/>
        <v>Medium</v>
      </c>
      <c r="N977">
        <f>(winequality_red[[#This Row],[Updated Quality &amp; Alcohol Analysis]]+winequality_red[[#This Row],[volatile acidity]]+winequality_red[[#This Row],[citric acid]])</f>
        <v>7.91</v>
      </c>
      <c r="O977">
        <f t="shared" si="121"/>
        <v>2.2680851063829787E-2</v>
      </c>
      <c r="S977" t="e">
        <f t="shared" si="122"/>
        <v>#N/A</v>
      </c>
      <c r="T977" t="e">
        <f t="shared" si="123"/>
        <v>#N/A</v>
      </c>
      <c r="U977">
        <f t="shared" si="124"/>
        <v>9.4</v>
      </c>
      <c r="V977">
        <f t="shared" si="125"/>
        <v>5</v>
      </c>
      <c r="W977" t="e">
        <f t="shared" si="126"/>
        <v>#N/A</v>
      </c>
      <c r="X977" t="e">
        <f t="shared" si="127"/>
        <v>#N/A</v>
      </c>
    </row>
    <row r="978" spans="1:24" x14ac:dyDescent="0.3">
      <c r="A978">
        <v>7.2</v>
      </c>
      <c r="B978">
        <v>0.41</v>
      </c>
      <c r="C978">
        <v>0.3</v>
      </c>
      <c r="D978">
        <v>2.1</v>
      </c>
      <c r="E978">
        <v>8.3000000000000004E-2</v>
      </c>
      <c r="F978">
        <v>35</v>
      </c>
      <c r="G978">
        <v>72</v>
      </c>
      <c r="H978">
        <v>0.997</v>
      </c>
      <c r="I978">
        <v>3.44</v>
      </c>
      <c r="J978">
        <v>0.52</v>
      </c>
      <c r="K978">
        <v>9.4</v>
      </c>
      <c r="L978">
        <v>5</v>
      </c>
      <c r="M978" t="str">
        <f t="shared" si="120"/>
        <v>Medium</v>
      </c>
      <c r="N978">
        <f>(winequality_red[[#This Row],[Updated Quality &amp; Alcohol Analysis]]+winequality_red[[#This Row],[volatile acidity]]+winequality_red[[#This Row],[citric acid]])</f>
        <v>7.91</v>
      </c>
      <c r="O978">
        <f t="shared" si="121"/>
        <v>2.2680851063829787E-2</v>
      </c>
      <c r="S978" t="e">
        <f t="shared" si="122"/>
        <v>#N/A</v>
      </c>
      <c r="T978" t="e">
        <f t="shared" si="123"/>
        <v>#N/A</v>
      </c>
      <c r="U978">
        <f t="shared" si="124"/>
        <v>9.4</v>
      </c>
      <c r="V978">
        <f t="shared" si="125"/>
        <v>5</v>
      </c>
      <c r="W978" t="e">
        <f t="shared" si="126"/>
        <v>#N/A</v>
      </c>
      <c r="X978" t="e">
        <f t="shared" si="127"/>
        <v>#N/A</v>
      </c>
    </row>
    <row r="979" spans="1:24" x14ac:dyDescent="0.3">
      <c r="A979">
        <v>8.4</v>
      </c>
      <c r="B979">
        <v>0.59</v>
      </c>
      <c r="C979">
        <v>0.28999999999999998</v>
      </c>
      <c r="D979">
        <v>2.6</v>
      </c>
      <c r="E979">
        <v>0.109</v>
      </c>
      <c r="F979">
        <v>31</v>
      </c>
      <c r="G979">
        <v>119</v>
      </c>
      <c r="H979">
        <v>0.99801000000000006</v>
      </c>
      <c r="I979">
        <v>3.15</v>
      </c>
      <c r="J979">
        <v>0.5</v>
      </c>
      <c r="K979">
        <v>9.1</v>
      </c>
      <c r="L979">
        <v>5</v>
      </c>
      <c r="M979" t="str">
        <f t="shared" si="120"/>
        <v>Medium</v>
      </c>
      <c r="N979">
        <f>(winequality_red[[#This Row],[Updated Quality &amp; Alcohol Analysis]]+winequality_red[[#This Row],[volatile acidity]]+winequality_red[[#This Row],[citric acid]])</f>
        <v>9.2799999999999994</v>
      </c>
      <c r="O979">
        <f t="shared" si="121"/>
        <v>3.241758241758242E-2</v>
      </c>
      <c r="S979" t="e">
        <f t="shared" si="122"/>
        <v>#N/A</v>
      </c>
      <c r="T979" t="e">
        <f t="shared" si="123"/>
        <v>#N/A</v>
      </c>
      <c r="U979">
        <f t="shared" si="124"/>
        <v>9.1</v>
      </c>
      <c r="V979">
        <f t="shared" si="125"/>
        <v>5</v>
      </c>
      <c r="W979" t="e">
        <f t="shared" si="126"/>
        <v>#N/A</v>
      </c>
      <c r="X979" t="e">
        <f t="shared" si="127"/>
        <v>#N/A</v>
      </c>
    </row>
    <row r="980" spans="1:24" x14ac:dyDescent="0.3">
      <c r="A980">
        <v>7</v>
      </c>
      <c r="B980">
        <v>0.4</v>
      </c>
      <c r="C980">
        <v>0.32</v>
      </c>
      <c r="D980">
        <v>3.6</v>
      </c>
      <c r="E980">
        <v>6.0999999999999999E-2</v>
      </c>
      <c r="F980">
        <v>9</v>
      </c>
      <c r="G980">
        <v>29</v>
      </c>
      <c r="H980">
        <v>0.99416000000000004</v>
      </c>
      <c r="I980">
        <v>3.28</v>
      </c>
      <c r="J980">
        <v>0.49</v>
      </c>
      <c r="K980">
        <v>11.3</v>
      </c>
      <c r="L980">
        <v>7</v>
      </c>
      <c r="M980" t="str">
        <f t="shared" si="120"/>
        <v>High</v>
      </c>
      <c r="N980">
        <f>(winequality_red[[#This Row],[Updated Quality &amp; Alcohol Analysis]]+winequality_red[[#This Row],[volatile acidity]]+winequality_red[[#This Row],[citric acid]])</f>
        <v>7.7200000000000006</v>
      </c>
      <c r="O980">
        <f t="shared" si="121"/>
        <v>1.7345132743362832E-2</v>
      </c>
      <c r="S980" t="e">
        <f t="shared" si="122"/>
        <v>#N/A</v>
      </c>
      <c r="T980" t="e">
        <f t="shared" si="123"/>
        <v>#N/A</v>
      </c>
      <c r="U980" t="e">
        <f t="shared" si="124"/>
        <v>#N/A</v>
      </c>
      <c r="V980" t="e">
        <f t="shared" si="125"/>
        <v>#N/A</v>
      </c>
      <c r="W980">
        <f t="shared" si="126"/>
        <v>11.3</v>
      </c>
      <c r="X980">
        <f t="shared" si="127"/>
        <v>7</v>
      </c>
    </row>
    <row r="981" spans="1:24" x14ac:dyDescent="0.3">
      <c r="A981">
        <v>12.2</v>
      </c>
      <c r="B981">
        <v>0.45</v>
      </c>
      <c r="C981">
        <v>0.49</v>
      </c>
      <c r="D981">
        <v>1.4</v>
      </c>
      <c r="E981">
        <v>7.4999999999999997E-2</v>
      </c>
      <c r="F981">
        <v>3</v>
      </c>
      <c r="G981">
        <v>6</v>
      </c>
      <c r="H981">
        <v>0.99690000000000001</v>
      </c>
      <c r="I981">
        <v>3.13</v>
      </c>
      <c r="J981">
        <v>0.63</v>
      </c>
      <c r="K981">
        <v>10.4</v>
      </c>
      <c r="L981">
        <v>5</v>
      </c>
      <c r="M981" t="str">
        <f t="shared" si="120"/>
        <v>Medium</v>
      </c>
      <c r="N981">
        <f>(winequality_red[[#This Row],[Updated Quality &amp; Alcohol Analysis]]+winequality_red[[#This Row],[volatile acidity]]+winequality_red[[#This Row],[citric acid]])</f>
        <v>13.139999999999999</v>
      </c>
      <c r="O981">
        <f t="shared" si="121"/>
        <v>2.7259615384615386E-2</v>
      </c>
      <c r="S981" t="e">
        <f t="shared" si="122"/>
        <v>#N/A</v>
      </c>
      <c r="T981" t="e">
        <f t="shared" si="123"/>
        <v>#N/A</v>
      </c>
      <c r="U981">
        <f t="shared" si="124"/>
        <v>10.4</v>
      </c>
      <c r="V981">
        <f t="shared" si="125"/>
        <v>5</v>
      </c>
      <c r="W981" t="e">
        <f t="shared" si="126"/>
        <v>#N/A</v>
      </c>
      <c r="X981" t="e">
        <f t="shared" si="127"/>
        <v>#N/A</v>
      </c>
    </row>
    <row r="982" spans="1:24" x14ac:dyDescent="0.3">
      <c r="A982">
        <v>9.1</v>
      </c>
      <c r="B982">
        <v>0.5</v>
      </c>
      <c r="C982">
        <v>0.3</v>
      </c>
      <c r="D982">
        <v>1.9</v>
      </c>
      <c r="E982">
        <v>6.5000000000000002E-2</v>
      </c>
      <c r="F982">
        <v>8</v>
      </c>
      <c r="G982">
        <v>17</v>
      </c>
      <c r="H982">
        <v>0.99773999999999996</v>
      </c>
      <c r="I982">
        <v>3.32</v>
      </c>
      <c r="J982">
        <v>0.71</v>
      </c>
      <c r="K982">
        <v>10.5</v>
      </c>
      <c r="L982">
        <v>6</v>
      </c>
      <c r="M982" t="str">
        <f t="shared" si="120"/>
        <v>Medium</v>
      </c>
      <c r="N982">
        <f>(winequality_red[[#This Row],[Updated Quality &amp; Alcohol Analysis]]+winequality_red[[#This Row],[volatile acidity]]+winequality_red[[#This Row],[citric acid]])</f>
        <v>9.9</v>
      </c>
      <c r="O982">
        <f t="shared" si="121"/>
        <v>3.380952380952381E-2</v>
      </c>
      <c r="S982" t="e">
        <f t="shared" si="122"/>
        <v>#N/A</v>
      </c>
      <c r="T982" t="e">
        <f t="shared" si="123"/>
        <v>#N/A</v>
      </c>
      <c r="U982">
        <f t="shared" si="124"/>
        <v>10.5</v>
      </c>
      <c r="V982">
        <f t="shared" si="125"/>
        <v>6</v>
      </c>
      <c r="W982" t="e">
        <f t="shared" si="126"/>
        <v>#N/A</v>
      </c>
      <c r="X982" t="e">
        <f t="shared" si="127"/>
        <v>#N/A</v>
      </c>
    </row>
    <row r="983" spans="1:24" x14ac:dyDescent="0.3">
      <c r="A983">
        <v>9.5</v>
      </c>
      <c r="B983">
        <v>0.86</v>
      </c>
      <c r="C983">
        <v>0.26</v>
      </c>
      <c r="D983">
        <v>1.9</v>
      </c>
      <c r="E983">
        <v>7.9000000000000001E-2</v>
      </c>
      <c r="F983">
        <v>13</v>
      </c>
      <c r="G983">
        <v>28</v>
      </c>
      <c r="H983">
        <v>0.99712000000000012</v>
      </c>
      <c r="I983">
        <v>3.25</v>
      </c>
      <c r="J983">
        <v>0.62</v>
      </c>
      <c r="K983">
        <v>10</v>
      </c>
      <c r="L983">
        <v>5</v>
      </c>
      <c r="M983" t="str">
        <f t="shared" si="120"/>
        <v>Medium</v>
      </c>
      <c r="N983">
        <f>(winequality_red[[#This Row],[Updated Quality &amp; Alcohol Analysis]]+winequality_red[[#This Row],[volatile acidity]]+winequality_red[[#This Row],[citric acid]])</f>
        <v>10.62</v>
      </c>
      <c r="O983">
        <f t="shared" si="121"/>
        <v>5.3319999999999999E-2</v>
      </c>
      <c r="S983" t="e">
        <f t="shared" si="122"/>
        <v>#N/A</v>
      </c>
      <c r="T983" t="e">
        <f t="shared" si="123"/>
        <v>#N/A</v>
      </c>
      <c r="U983">
        <f t="shared" si="124"/>
        <v>10</v>
      </c>
      <c r="V983">
        <f t="shared" si="125"/>
        <v>5</v>
      </c>
      <c r="W983" t="e">
        <f t="shared" si="126"/>
        <v>#N/A</v>
      </c>
      <c r="X983" t="e">
        <f t="shared" si="127"/>
        <v>#N/A</v>
      </c>
    </row>
    <row r="984" spans="1:24" x14ac:dyDescent="0.3">
      <c r="A984">
        <v>7.3</v>
      </c>
      <c r="B984">
        <v>0.52</v>
      </c>
      <c r="C984">
        <v>0.32</v>
      </c>
      <c r="D984">
        <v>2.1</v>
      </c>
      <c r="E984">
        <v>7.0000000000000007E-2</v>
      </c>
      <c r="F984">
        <v>51</v>
      </c>
      <c r="G984">
        <v>70</v>
      </c>
      <c r="H984">
        <v>0.99417999999999995</v>
      </c>
      <c r="I984">
        <v>3.34</v>
      </c>
      <c r="J984">
        <v>0.82</v>
      </c>
      <c r="K984">
        <v>12.9</v>
      </c>
      <c r="L984">
        <v>6</v>
      </c>
      <c r="M984" t="str">
        <f t="shared" si="120"/>
        <v>Medium</v>
      </c>
      <c r="N984">
        <f>(winequality_red[[#This Row],[Updated Quality &amp; Alcohol Analysis]]+winequality_red[[#This Row],[volatile acidity]]+winequality_red[[#This Row],[citric acid]])</f>
        <v>8.14</v>
      </c>
      <c r="O984">
        <f t="shared" si="121"/>
        <v>3.3054263565891473E-2</v>
      </c>
      <c r="S984" t="e">
        <f t="shared" si="122"/>
        <v>#N/A</v>
      </c>
      <c r="T984" t="e">
        <f t="shared" si="123"/>
        <v>#N/A</v>
      </c>
      <c r="U984">
        <f t="shared" si="124"/>
        <v>12.9</v>
      </c>
      <c r="V984">
        <f t="shared" si="125"/>
        <v>6</v>
      </c>
      <c r="W984" t="e">
        <f t="shared" si="126"/>
        <v>#N/A</v>
      </c>
      <c r="X984" t="e">
        <f t="shared" si="127"/>
        <v>#N/A</v>
      </c>
    </row>
    <row r="985" spans="1:24" x14ac:dyDescent="0.3">
      <c r="A985">
        <v>9.1</v>
      </c>
      <c r="B985">
        <v>0.5</v>
      </c>
      <c r="C985">
        <v>0.3</v>
      </c>
      <c r="D985">
        <v>1.9</v>
      </c>
      <c r="E985">
        <v>6.5000000000000002E-2</v>
      </c>
      <c r="F985">
        <v>8</v>
      </c>
      <c r="G985">
        <v>17</v>
      </c>
      <c r="H985">
        <v>0.99773999999999996</v>
      </c>
      <c r="I985">
        <v>3.32</v>
      </c>
      <c r="J985">
        <v>0.71</v>
      </c>
      <c r="K985">
        <v>10.5</v>
      </c>
      <c r="L985">
        <v>6</v>
      </c>
      <c r="M985" t="str">
        <f t="shared" si="120"/>
        <v>Medium</v>
      </c>
      <c r="N985">
        <f>(winequality_red[[#This Row],[Updated Quality &amp; Alcohol Analysis]]+winequality_red[[#This Row],[volatile acidity]]+winequality_red[[#This Row],[citric acid]])</f>
        <v>9.9</v>
      </c>
      <c r="O985">
        <f t="shared" si="121"/>
        <v>3.380952380952381E-2</v>
      </c>
      <c r="S985" t="e">
        <f t="shared" si="122"/>
        <v>#N/A</v>
      </c>
      <c r="T985" t="e">
        <f t="shared" si="123"/>
        <v>#N/A</v>
      </c>
      <c r="U985">
        <f t="shared" si="124"/>
        <v>10.5</v>
      </c>
      <c r="V985">
        <f t="shared" si="125"/>
        <v>6</v>
      </c>
      <c r="W985" t="e">
        <f t="shared" si="126"/>
        <v>#N/A</v>
      </c>
      <c r="X985" t="e">
        <f t="shared" si="127"/>
        <v>#N/A</v>
      </c>
    </row>
    <row r="986" spans="1:24" x14ac:dyDescent="0.3">
      <c r="A986">
        <v>12.2</v>
      </c>
      <c r="B986">
        <v>0.45</v>
      </c>
      <c r="C986">
        <v>0.49</v>
      </c>
      <c r="D986">
        <v>1.4</v>
      </c>
      <c r="E986">
        <v>7.4999999999999997E-2</v>
      </c>
      <c r="F986">
        <v>3</v>
      </c>
      <c r="G986">
        <v>6</v>
      </c>
      <c r="H986">
        <v>0.99690000000000001</v>
      </c>
      <c r="I986">
        <v>3.13</v>
      </c>
      <c r="J986">
        <v>0.63</v>
      </c>
      <c r="K986">
        <v>10.4</v>
      </c>
      <c r="L986">
        <v>5</v>
      </c>
      <c r="M986" t="str">
        <f t="shared" si="120"/>
        <v>Medium</v>
      </c>
      <c r="N986">
        <f>(winequality_red[[#This Row],[Updated Quality &amp; Alcohol Analysis]]+winequality_red[[#This Row],[volatile acidity]]+winequality_red[[#This Row],[citric acid]])</f>
        <v>13.139999999999999</v>
      </c>
      <c r="O986">
        <f t="shared" si="121"/>
        <v>2.7259615384615386E-2</v>
      </c>
      <c r="S986" t="e">
        <f t="shared" si="122"/>
        <v>#N/A</v>
      </c>
      <c r="T986" t="e">
        <f t="shared" si="123"/>
        <v>#N/A</v>
      </c>
      <c r="U986">
        <f t="shared" si="124"/>
        <v>10.4</v>
      </c>
      <c r="V986">
        <f t="shared" si="125"/>
        <v>5</v>
      </c>
      <c r="W986" t="e">
        <f t="shared" si="126"/>
        <v>#N/A</v>
      </c>
      <c r="X986" t="e">
        <f t="shared" si="127"/>
        <v>#N/A</v>
      </c>
    </row>
    <row r="987" spans="1:24" x14ac:dyDescent="0.3">
      <c r="A987">
        <v>7.4</v>
      </c>
      <c r="B987">
        <v>0.57999999999999996</v>
      </c>
      <c r="C987">
        <v>0</v>
      </c>
      <c r="D987">
        <v>2</v>
      </c>
      <c r="E987">
        <v>6.4000000000000001E-2</v>
      </c>
      <c r="F987">
        <v>7</v>
      </c>
      <c r="G987">
        <v>11</v>
      </c>
      <c r="H987">
        <v>0.99562000000000006</v>
      </c>
      <c r="I987">
        <v>3.45</v>
      </c>
      <c r="J987">
        <v>0.57999999999999996</v>
      </c>
      <c r="K987">
        <v>11.3</v>
      </c>
      <c r="L987">
        <v>6</v>
      </c>
      <c r="M987" t="str">
        <f t="shared" si="120"/>
        <v>Medium</v>
      </c>
      <c r="N987">
        <f>(winequality_red[[#This Row],[Updated Quality &amp; Alcohol Analysis]]+winequality_red[[#This Row],[volatile acidity]]+winequality_red[[#This Row],[citric acid]])</f>
        <v>7.98</v>
      </c>
      <c r="O987">
        <f t="shared" si="121"/>
        <v>2.9769911504424776E-2</v>
      </c>
      <c r="S987" t="e">
        <f t="shared" si="122"/>
        <v>#N/A</v>
      </c>
      <c r="T987" t="e">
        <f t="shared" si="123"/>
        <v>#N/A</v>
      </c>
      <c r="U987">
        <f t="shared" si="124"/>
        <v>11.3</v>
      </c>
      <c r="V987">
        <f t="shared" si="125"/>
        <v>6</v>
      </c>
      <c r="W987" t="e">
        <f t="shared" si="126"/>
        <v>#N/A</v>
      </c>
      <c r="X987" t="e">
        <f t="shared" si="127"/>
        <v>#N/A</v>
      </c>
    </row>
    <row r="988" spans="1:24" x14ac:dyDescent="0.3">
      <c r="A988">
        <v>9.8000000000000007</v>
      </c>
      <c r="B988">
        <v>0.34</v>
      </c>
      <c r="C988">
        <v>0.39</v>
      </c>
      <c r="D988">
        <v>1.4</v>
      </c>
      <c r="E988">
        <v>6.6000000000000003E-2</v>
      </c>
      <c r="F988">
        <v>3</v>
      </c>
      <c r="G988">
        <v>7</v>
      </c>
      <c r="H988">
        <v>0.99470000000000003</v>
      </c>
      <c r="I988">
        <v>3.19</v>
      </c>
      <c r="J988">
        <v>0.55000000000000004</v>
      </c>
      <c r="K988">
        <v>11.4</v>
      </c>
      <c r="L988">
        <v>7</v>
      </c>
      <c r="M988" t="str">
        <f t="shared" si="120"/>
        <v>High</v>
      </c>
      <c r="N988">
        <f>(winequality_red[[#This Row],[Updated Quality &amp; Alcohol Analysis]]+winequality_red[[#This Row],[volatile acidity]]+winequality_red[[#This Row],[citric acid]])</f>
        <v>10.530000000000001</v>
      </c>
      <c r="O988">
        <f t="shared" si="121"/>
        <v>1.6403508771929826E-2</v>
      </c>
      <c r="S988" t="e">
        <f t="shared" si="122"/>
        <v>#N/A</v>
      </c>
      <c r="T988" t="e">
        <f t="shared" si="123"/>
        <v>#N/A</v>
      </c>
      <c r="U988" t="e">
        <f t="shared" si="124"/>
        <v>#N/A</v>
      </c>
      <c r="V988" t="e">
        <f t="shared" si="125"/>
        <v>#N/A</v>
      </c>
      <c r="W988">
        <f t="shared" si="126"/>
        <v>11.4</v>
      </c>
      <c r="X988">
        <f t="shared" si="127"/>
        <v>7</v>
      </c>
    </row>
    <row r="989" spans="1:24" x14ac:dyDescent="0.3">
      <c r="A989">
        <v>7.1</v>
      </c>
      <c r="B989">
        <v>0.36</v>
      </c>
      <c r="C989">
        <v>0.3</v>
      </c>
      <c r="D989">
        <v>1.6</v>
      </c>
      <c r="E989">
        <v>0.08</v>
      </c>
      <c r="F989">
        <v>35</v>
      </c>
      <c r="G989">
        <v>70</v>
      </c>
      <c r="H989">
        <v>0.99692999999999987</v>
      </c>
      <c r="I989">
        <v>3.44</v>
      </c>
      <c r="J989">
        <v>0.5</v>
      </c>
      <c r="K989">
        <v>9.4</v>
      </c>
      <c r="L989">
        <v>5</v>
      </c>
      <c r="M989" t="str">
        <f t="shared" si="120"/>
        <v>Medium</v>
      </c>
      <c r="N989">
        <f>(winequality_red[[#This Row],[Updated Quality &amp; Alcohol Analysis]]+winequality_red[[#This Row],[volatile acidity]]+winequality_red[[#This Row],[citric acid]])</f>
        <v>7.76</v>
      </c>
      <c r="O989">
        <f t="shared" si="121"/>
        <v>1.9148936170212766E-2</v>
      </c>
      <c r="S989" t="e">
        <f t="shared" si="122"/>
        <v>#N/A</v>
      </c>
      <c r="T989" t="e">
        <f t="shared" si="123"/>
        <v>#N/A</v>
      </c>
      <c r="U989">
        <f t="shared" si="124"/>
        <v>9.4</v>
      </c>
      <c r="V989">
        <f t="shared" si="125"/>
        <v>5</v>
      </c>
      <c r="W989" t="e">
        <f t="shared" si="126"/>
        <v>#N/A</v>
      </c>
      <c r="X989" t="e">
        <f t="shared" si="127"/>
        <v>#N/A</v>
      </c>
    </row>
    <row r="990" spans="1:24" x14ac:dyDescent="0.3">
      <c r="A990">
        <v>7.7</v>
      </c>
      <c r="B990">
        <v>0.39</v>
      </c>
      <c r="C990">
        <v>0.12</v>
      </c>
      <c r="D990">
        <v>1.7</v>
      </c>
      <c r="E990">
        <v>9.6999999999999989E-2</v>
      </c>
      <c r="F990">
        <v>19</v>
      </c>
      <c r="G990">
        <v>27</v>
      </c>
      <c r="H990">
        <v>0.99596000000000007</v>
      </c>
      <c r="I990">
        <v>3.16</v>
      </c>
      <c r="J990">
        <v>0.49</v>
      </c>
      <c r="K990">
        <v>9.4</v>
      </c>
      <c r="L990">
        <v>5</v>
      </c>
      <c r="M990" t="str">
        <f t="shared" si="120"/>
        <v>Medium</v>
      </c>
      <c r="N990">
        <f>(winequality_red[[#This Row],[Updated Quality &amp; Alcohol Analysis]]+winequality_red[[#This Row],[volatile acidity]]+winequality_red[[#This Row],[citric acid]])</f>
        <v>8.2099999999999991</v>
      </c>
      <c r="O990">
        <f t="shared" si="121"/>
        <v>2.0329787234042551E-2</v>
      </c>
      <c r="S990" t="e">
        <f t="shared" si="122"/>
        <v>#N/A</v>
      </c>
      <c r="T990" t="e">
        <f t="shared" si="123"/>
        <v>#N/A</v>
      </c>
      <c r="U990">
        <f t="shared" si="124"/>
        <v>9.4</v>
      </c>
      <c r="V990">
        <f t="shared" si="125"/>
        <v>5</v>
      </c>
      <c r="W990" t="e">
        <f t="shared" si="126"/>
        <v>#N/A</v>
      </c>
      <c r="X990" t="e">
        <f t="shared" si="127"/>
        <v>#N/A</v>
      </c>
    </row>
    <row r="991" spans="1:24" x14ac:dyDescent="0.3">
      <c r="A991">
        <v>9.6999999999999993</v>
      </c>
      <c r="B991">
        <v>0.29499999999999998</v>
      </c>
      <c r="C991">
        <v>0.4</v>
      </c>
      <c r="D991">
        <v>1.5</v>
      </c>
      <c r="E991">
        <v>7.2999999999999995E-2</v>
      </c>
      <c r="F991">
        <v>14</v>
      </c>
      <c r="G991">
        <v>21</v>
      </c>
      <c r="H991">
        <v>0.99556</v>
      </c>
      <c r="I991">
        <v>3.14</v>
      </c>
      <c r="J991">
        <v>0.51</v>
      </c>
      <c r="K991">
        <v>10.9</v>
      </c>
      <c r="L991">
        <v>6</v>
      </c>
      <c r="M991" t="str">
        <f t="shared" si="120"/>
        <v>Medium</v>
      </c>
      <c r="N991">
        <f>(winequality_red[[#This Row],[Updated Quality &amp; Alcohol Analysis]]+winequality_red[[#This Row],[volatile acidity]]+winequality_red[[#This Row],[citric acid]])</f>
        <v>10.395</v>
      </c>
      <c r="O991">
        <f t="shared" si="121"/>
        <v>1.3802752293577981E-2</v>
      </c>
      <c r="S991" t="e">
        <f t="shared" si="122"/>
        <v>#N/A</v>
      </c>
      <c r="T991" t="e">
        <f t="shared" si="123"/>
        <v>#N/A</v>
      </c>
      <c r="U991">
        <f t="shared" si="124"/>
        <v>10.9</v>
      </c>
      <c r="V991">
        <f t="shared" si="125"/>
        <v>6</v>
      </c>
      <c r="W991" t="e">
        <f t="shared" si="126"/>
        <v>#N/A</v>
      </c>
      <c r="X991" t="e">
        <f t="shared" si="127"/>
        <v>#N/A</v>
      </c>
    </row>
    <row r="992" spans="1:24" x14ac:dyDescent="0.3">
      <c r="A992">
        <v>7.7</v>
      </c>
      <c r="B992">
        <v>0.39</v>
      </c>
      <c r="C992">
        <v>0.12</v>
      </c>
      <c r="D992">
        <v>1.7</v>
      </c>
      <c r="E992">
        <v>9.6999999999999989E-2</v>
      </c>
      <c r="F992">
        <v>19</v>
      </c>
      <c r="G992">
        <v>27</v>
      </c>
      <c r="H992">
        <v>0.99596000000000007</v>
      </c>
      <c r="I992">
        <v>3.16</v>
      </c>
      <c r="J992">
        <v>0.49</v>
      </c>
      <c r="K992">
        <v>9.4</v>
      </c>
      <c r="L992">
        <v>5</v>
      </c>
      <c r="M992" t="str">
        <f t="shared" si="120"/>
        <v>Medium</v>
      </c>
      <c r="N992">
        <f>(winequality_red[[#This Row],[Updated Quality &amp; Alcohol Analysis]]+winequality_red[[#This Row],[volatile acidity]]+winequality_red[[#This Row],[citric acid]])</f>
        <v>8.2099999999999991</v>
      </c>
      <c r="O992">
        <f t="shared" si="121"/>
        <v>2.0329787234042551E-2</v>
      </c>
      <c r="S992" t="e">
        <f t="shared" si="122"/>
        <v>#N/A</v>
      </c>
      <c r="T992" t="e">
        <f t="shared" si="123"/>
        <v>#N/A</v>
      </c>
      <c r="U992">
        <f t="shared" si="124"/>
        <v>9.4</v>
      </c>
      <c r="V992">
        <f t="shared" si="125"/>
        <v>5</v>
      </c>
      <c r="W992" t="e">
        <f t="shared" si="126"/>
        <v>#N/A</v>
      </c>
      <c r="X992" t="e">
        <f t="shared" si="127"/>
        <v>#N/A</v>
      </c>
    </row>
    <row r="993" spans="1:24" x14ac:dyDescent="0.3">
      <c r="A993">
        <v>7.1</v>
      </c>
      <c r="B993">
        <v>0.34</v>
      </c>
      <c r="C993">
        <v>0.28000000000000003</v>
      </c>
      <c r="D993">
        <v>2</v>
      </c>
      <c r="E993">
        <v>8.199999999999999E-2</v>
      </c>
      <c r="F993">
        <v>31</v>
      </c>
      <c r="G993">
        <v>68</v>
      </c>
      <c r="H993">
        <v>0.99693999999999994</v>
      </c>
      <c r="I993">
        <v>3.45</v>
      </c>
      <c r="J993">
        <v>0.48</v>
      </c>
      <c r="K993">
        <v>9.4</v>
      </c>
      <c r="L993">
        <v>5</v>
      </c>
      <c r="M993" t="str">
        <f t="shared" si="120"/>
        <v>Medium</v>
      </c>
      <c r="N993">
        <f>(winequality_red[[#This Row],[Updated Quality &amp; Alcohol Analysis]]+winequality_red[[#This Row],[volatile acidity]]+winequality_red[[#This Row],[citric acid]])</f>
        <v>7.72</v>
      </c>
      <c r="O993">
        <f t="shared" si="121"/>
        <v>1.7361702127659574E-2</v>
      </c>
      <c r="S993" t="e">
        <f t="shared" si="122"/>
        <v>#N/A</v>
      </c>
      <c r="T993" t="e">
        <f t="shared" si="123"/>
        <v>#N/A</v>
      </c>
      <c r="U993">
        <f t="shared" si="124"/>
        <v>9.4</v>
      </c>
      <c r="V993">
        <f t="shared" si="125"/>
        <v>5</v>
      </c>
      <c r="W993" t="e">
        <f t="shared" si="126"/>
        <v>#N/A</v>
      </c>
      <c r="X993" t="e">
        <f t="shared" si="127"/>
        <v>#N/A</v>
      </c>
    </row>
    <row r="994" spans="1:24" x14ac:dyDescent="0.3">
      <c r="A994">
        <v>6.5</v>
      </c>
      <c r="B994">
        <v>0.4</v>
      </c>
      <c r="C994">
        <v>0.1</v>
      </c>
      <c r="D994">
        <v>2</v>
      </c>
      <c r="E994">
        <v>7.5999999999999998E-2</v>
      </c>
      <c r="F994">
        <v>30</v>
      </c>
      <c r="G994">
        <v>47</v>
      </c>
      <c r="H994">
        <v>0.99553999999999998</v>
      </c>
      <c r="I994">
        <v>3.36</v>
      </c>
      <c r="J994">
        <v>0.48</v>
      </c>
      <c r="K994">
        <v>9.4</v>
      </c>
      <c r="L994">
        <v>6</v>
      </c>
      <c r="M994" t="str">
        <f t="shared" si="120"/>
        <v>Medium</v>
      </c>
      <c r="N994">
        <f>(winequality_red[[#This Row],[Updated Quality &amp; Alcohol Analysis]]+winequality_red[[#This Row],[volatile acidity]]+winequality_red[[#This Row],[citric acid]])</f>
        <v>7</v>
      </c>
      <c r="O994">
        <f t="shared" si="121"/>
        <v>2.0425531914893616E-2</v>
      </c>
      <c r="S994" t="e">
        <f t="shared" si="122"/>
        <v>#N/A</v>
      </c>
      <c r="T994" t="e">
        <f t="shared" si="123"/>
        <v>#N/A</v>
      </c>
      <c r="U994">
        <f t="shared" si="124"/>
        <v>9.4</v>
      </c>
      <c r="V994">
        <f t="shared" si="125"/>
        <v>6</v>
      </c>
      <c r="W994" t="e">
        <f t="shared" si="126"/>
        <v>#N/A</v>
      </c>
      <c r="X994" t="e">
        <f t="shared" si="127"/>
        <v>#N/A</v>
      </c>
    </row>
    <row r="995" spans="1:24" x14ac:dyDescent="0.3">
      <c r="A995">
        <v>7.1</v>
      </c>
      <c r="B995">
        <v>0.34</v>
      </c>
      <c r="C995">
        <v>0.28000000000000003</v>
      </c>
      <c r="D995">
        <v>2</v>
      </c>
      <c r="E995">
        <v>8.199999999999999E-2</v>
      </c>
      <c r="F995">
        <v>31</v>
      </c>
      <c r="G995">
        <v>68</v>
      </c>
      <c r="H995">
        <v>0.99693999999999994</v>
      </c>
      <c r="I995">
        <v>3.45</v>
      </c>
      <c r="J995">
        <v>0.48</v>
      </c>
      <c r="K995">
        <v>9.4</v>
      </c>
      <c r="L995">
        <v>5</v>
      </c>
      <c r="M995" t="str">
        <f t="shared" si="120"/>
        <v>Medium</v>
      </c>
      <c r="N995">
        <f>(winequality_red[[#This Row],[Updated Quality &amp; Alcohol Analysis]]+winequality_red[[#This Row],[volatile acidity]]+winequality_red[[#This Row],[citric acid]])</f>
        <v>7.72</v>
      </c>
      <c r="O995">
        <f t="shared" si="121"/>
        <v>1.7361702127659574E-2</v>
      </c>
      <c r="S995" t="e">
        <f t="shared" si="122"/>
        <v>#N/A</v>
      </c>
      <c r="T995" t="e">
        <f t="shared" si="123"/>
        <v>#N/A</v>
      </c>
      <c r="U995">
        <f t="shared" si="124"/>
        <v>9.4</v>
      </c>
      <c r="V995">
        <f t="shared" si="125"/>
        <v>5</v>
      </c>
      <c r="W995" t="e">
        <f t="shared" si="126"/>
        <v>#N/A</v>
      </c>
      <c r="X995" t="e">
        <f t="shared" si="127"/>
        <v>#N/A</v>
      </c>
    </row>
    <row r="996" spans="1:24" x14ac:dyDescent="0.3">
      <c r="A996">
        <v>10</v>
      </c>
      <c r="B996">
        <v>0.35</v>
      </c>
      <c r="C996">
        <v>0.45</v>
      </c>
      <c r="D996">
        <v>2.5</v>
      </c>
      <c r="E996">
        <v>9.1999999999999998E-2</v>
      </c>
      <c r="F996">
        <v>20</v>
      </c>
      <c r="G996">
        <v>88</v>
      </c>
      <c r="H996">
        <v>0.99917999999999996</v>
      </c>
      <c r="I996">
        <v>3.15</v>
      </c>
      <c r="J996">
        <v>0.43</v>
      </c>
      <c r="K996">
        <v>9.4</v>
      </c>
      <c r="L996">
        <v>5</v>
      </c>
      <c r="M996" t="str">
        <f t="shared" si="120"/>
        <v>Medium</v>
      </c>
      <c r="N996">
        <f>(winequality_red[[#This Row],[Updated Quality &amp; Alcohol Analysis]]+winequality_red[[#This Row],[volatile acidity]]+winequality_red[[#This Row],[citric acid]])</f>
        <v>10.799999999999999</v>
      </c>
      <c r="O996">
        <f t="shared" si="121"/>
        <v>1.6010638297872339E-2</v>
      </c>
      <c r="S996" t="e">
        <f t="shared" si="122"/>
        <v>#N/A</v>
      </c>
      <c r="T996" t="e">
        <f t="shared" si="123"/>
        <v>#N/A</v>
      </c>
      <c r="U996">
        <f t="shared" si="124"/>
        <v>9.4</v>
      </c>
      <c r="V996">
        <f t="shared" si="125"/>
        <v>5</v>
      </c>
      <c r="W996" t="e">
        <f t="shared" si="126"/>
        <v>#N/A</v>
      </c>
      <c r="X996" t="e">
        <f t="shared" si="127"/>
        <v>#N/A</v>
      </c>
    </row>
    <row r="997" spans="1:24" x14ac:dyDescent="0.3">
      <c r="A997">
        <v>7.7</v>
      </c>
      <c r="B997">
        <v>0.6</v>
      </c>
      <c r="C997">
        <v>0.06</v>
      </c>
      <c r="D997">
        <v>2</v>
      </c>
      <c r="E997">
        <v>7.9000000000000001E-2</v>
      </c>
      <c r="F997">
        <v>19</v>
      </c>
      <c r="G997">
        <v>41</v>
      </c>
      <c r="H997">
        <v>0.99697000000000002</v>
      </c>
      <c r="I997">
        <v>3.39</v>
      </c>
      <c r="J997">
        <v>0.62</v>
      </c>
      <c r="K997">
        <v>10.1</v>
      </c>
      <c r="L997">
        <v>6</v>
      </c>
      <c r="M997" t="str">
        <f t="shared" si="120"/>
        <v>Medium</v>
      </c>
      <c r="N997">
        <f>(winequality_red[[#This Row],[Updated Quality &amp; Alcohol Analysis]]+winequality_red[[#This Row],[volatile acidity]]+winequality_red[[#This Row],[citric acid]])</f>
        <v>8.3600000000000012</v>
      </c>
      <c r="O997">
        <f t="shared" si="121"/>
        <v>3.683168316831683E-2</v>
      </c>
      <c r="S997" t="e">
        <f t="shared" si="122"/>
        <v>#N/A</v>
      </c>
      <c r="T997" t="e">
        <f t="shared" si="123"/>
        <v>#N/A</v>
      </c>
      <c r="U997">
        <f t="shared" si="124"/>
        <v>10.1</v>
      </c>
      <c r="V997">
        <f t="shared" si="125"/>
        <v>6</v>
      </c>
      <c r="W997" t="e">
        <f t="shared" si="126"/>
        <v>#N/A</v>
      </c>
      <c r="X997" t="e">
        <f t="shared" si="127"/>
        <v>#N/A</v>
      </c>
    </row>
    <row r="998" spans="1:24" x14ac:dyDescent="0.3">
      <c r="A998">
        <v>5.6</v>
      </c>
      <c r="B998">
        <v>0.66</v>
      </c>
      <c r="C998">
        <v>0</v>
      </c>
      <c r="D998">
        <v>2.2000000000000002</v>
      </c>
      <c r="E998">
        <v>8.6999999999999994E-2</v>
      </c>
      <c r="F998">
        <v>3</v>
      </c>
      <c r="G998">
        <v>11</v>
      </c>
      <c r="H998">
        <v>0.99377999999999989</v>
      </c>
      <c r="I998">
        <v>3.71</v>
      </c>
      <c r="J998">
        <v>0.63</v>
      </c>
      <c r="K998">
        <v>12.8</v>
      </c>
      <c r="L998">
        <v>7</v>
      </c>
      <c r="M998" t="str">
        <f t="shared" si="120"/>
        <v>High</v>
      </c>
      <c r="N998">
        <f>(winequality_red[[#This Row],[Updated Quality &amp; Alcohol Analysis]]+winequality_red[[#This Row],[volatile acidity]]+winequality_red[[#This Row],[citric acid]])</f>
        <v>6.26</v>
      </c>
      <c r="O998">
        <f t="shared" si="121"/>
        <v>3.2484374999999996E-2</v>
      </c>
      <c r="S998" t="e">
        <f t="shared" si="122"/>
        <v>#N/A</v>
      </c>
      <c r="T998" t="e">
        <f t="shared" si="123"/>
        <v>#N/A</v>
      </c>
      <c r="U998" t="e">
        <f t="shared" si="124"/>
        <v>#N/A</v>
      </c>
      <c r="V998" t="e">
        <f t="shared" si="125"/>
        <v>#N/A</v>
      </c>
      <c r="W998">
        <f t="shared" si="126"/>
        <v>12.8</v>
      </c>
      <c r="X998">
        <f t="shared" si="127"/>
        <v>7</v>
      </c>
    </row>
    <row r="999" spans="1:24" x14ac:dyDescent="0.3">
      <c r="A999">
        <v>5.6</v>
      </c>
      <c r="B999">
        <v>0.66</v>
      </c>
      <c r="C999">
        <v>0</v>
      </c>
      <c r="D999">
        <v>2.2000000000000002</v>
      </c>
      <c r="E999">
        <v>8.6999999999999994E-2</v>
      </c>
      <c r="F999">
        <v>3</v>
      </c>
      <c r="G999">
        <v>11</v>
      </c>
      <c r="H999">
        <v>0.99377999999999989</v>
      </c>
      <c r="I999">
        <v>3.71</v>
      </c>
      <c r="J999">
        <v>0.63</v>
      </c>
      <c r="K999">
        <v>12.8</v>
      </c>
      <c r="L999">
        <v>7</v>
      </c>
      <c r="M999" t="str">
        <f t="shared" si="120"/>
        <v>High</v>
      </c>
      <c r="N999">
        <f>(winequality_red[[#This Row],[Updated Quality &amp; Alcohol Analysis]]+winequality_red[[#This Row],[volatile acidity]]+winequality_red[[#This Row],[citric acid]])</f>
        <v>6.26</v>
      </c>
      <c r="O999">
        <f t="shared" si="121"/>
        <v>3.2484374999999996E-2</v>
      </c>
      <c r="S999" t="e">
        <f t="shared" si="122"/>
        <v>#N/A</v>
      </c>
      <c r="T999" t="e">
        <f t="shared" si="123"/>
        <v>#N/A</v>
      </c>
      <c r="U999" t="e">
        <f t="shared" si="124"/>
        <v>#N/A</v>
      </c>
      <c r="V999" t="e">
        <f t="shared" si="125"/>
        <v>#N/A</v>
      </c>
      <c r="W999">
        <f t="shared" si="126"/>
        <v>12.8</v>
      </c>
      <c r="X999">
        <f t="shared" si="127"/>
        <v>7</v>
      </c>
    </row>
    <row r="1000" spans="1:24" x14ac:dyDescent="0.3">
      <c r="A1000">
        <v>8.9</v>
      </c>
      <c r="B1000">
        <v>0.84</v>
      </c>
      <c r="C1000">
        <v>0.34</v>
      </c>
      <c r="D1000">
        <v>1.4</v>
      </c>
      <c r="E1000">
        <v>0.05</v>
      </c>
      <c r="F1000">
        <v>4</v>
      </c>
      <c r="G1000">
        <v>10</v>
      </c>
      <c r="H1000">
        <v>0.99553999999999998</v>
      </c>
      <c r="I1000">
        <v>3.12</v>
      </c>
      <c r="J1000">
        <v>0.48</v>
      </c>
      <c r="K1000">
        <v>9.1</v>
      </c>
      <c r="L1000">
        <v>6</v>
      </c>
      <c r="M1000" t="str">
        <f t="shared" si="120"/>
        <v>Medium</v>
      </c>
      <c r="N1000">
        <f>(winequality_red[[#This Row],[Updated Quality &amp; Alcohol Analysis]]+winequality_red[[#This Row],[volatile acidity]]+winequality_red[[#This Row],[citric acid]])</f>
        <v>10.08</v>
      </c>
      <c r="O1000">
        <f t="shared" si="121"/>
        <v>4.4307692307692305E-2</v>
      </c>
      <c r="S1000" t="e">
        <f t="shared" si="122"/>
        <v>#N/A</v>
      </c>
      <c r="T1000" t="e">
        <f t="shared" si="123"/>
        <v>#N/A</v>
      </c>
      <c r="U1000">
        <f t="shared" si="124"/>
        <v>9.1</v>
      </c>
      <c r="V1000">
        <f t="shared" si="125"/>
        <v>6</v>
      </c>
      <c r="W1000" t="e">
        <f t="shared" si="126"/>
        <v>#N/A</v>
      </c>
      <c r="X1000" t="e">
        <f t="shared" si="127"/>
        <v>#N/A</v>
      </c>
    </row>
    <row r="1001" spans="1:24" x14ac:dyDescent="0.3">
      <c r="A1001">
        <v>6.4</v>
      </c>
      <c r="B1001">
        <v>0.69</v>
      </c>
      <c r="C1001">
        <v>0</v>
      </c>
      <c r="D1001">
        <v>1.65</v>
      </c>
      <c r="E1001">
        <v>5.5E-2</v>
      </c>
      <c r="F1001">
        <v>7</v>
      </c>
      <c r="G1001">
        <v>12</v>
      </c>
      <c r="H1001">
        <v>0.99162000000000006</v>
      </c>
      <c r="I1001">
        <v>3.47</v>
      </c>
      <c r="J1001">
        <v>0.53</v>
      </c>
      <c r="K1001">
        <v>12.9</v>
      </c>
      <c r="L1001">
        <v>6</v>
      </c>
      <c r="M1001" t="str">
        <f t="shared" si="120"/>
        <v>Medium</v>
      </c>
      <c r="N1001">
        <f>(winequality_red[[#This Row],[Updated Quality &amp; Alcohol Analysis]]+winequality_red[[#This Row],[volatile acidity]]+winequality_red[[#This Row],[citric acid]])</f>
        <v>7.09</v>
      </c>
      <c r="O1001">
        <f t="shared" si="121"/>
        <v>2.8348837209302324E-2</v>
      </c>
      <c r="S1001" t="e">
        <f t="shared" si="122"/>
        <v>#N/A</v>
      </c>
      <c r="T1001" t="e">
        <f t="shared" si="123"/>
        <v>#N/A</v>
      </c>
      <c r="U1001">
        <f t="shared" si="124"/>
        <v>12.9</v>
      </c>
      <c r="V1001">
        <f t="shared" si="125"/>
        <v>6</v>
      </c>
      <c r="W1001" t="e">
        <f t="shared" si="126"/>
        <v>#N/A</v>
      </c>
      <c r="X1001" t="e">
        <f t="shared" si="127"/>
        <v>#N/A</v>
      </c>
    </row>
    <row r="1002" spans="1:24" x14ac:dyDescent="0.3">
      <c r="A1002">
        <v>7.5</v>
      </c>
      <c r="B1002">
        <v>0.43</v>
      </c>
      <c r="C1002">
        <v>0.3</v>
      </c>
      <c r="D1002">
        <v>2.2000000000000002</v>
      </c>
      <c r="E1002">
        <v>6.2E-2</v>
      </c>
      <c r="F1002">
        <v>6</v>
      </c>
      <c r="G1002">
        <v>12</v>
      </c>
      <c r="H1002">
        <v>0.99495</v>
      </c>
      <c r="I1002">
        <v>3.44</v>
      </c>
      <c r="J1002">
        <v>0.72</v>
      </c>
      <c r="K1002">
        <v>11.5</v>
      </c>
      <c r="L1002">
        <v>7</v>
      </c>
      <c r="M1002" t="str">
        <f t="shared" si="120"/>
        <v>High</v>
      </c>
      <c r="N1002">
        <f>(winequality_red[[#This Row],[Updated Quality &amp; Alcohol Analysis]]+winequality_red[[#This Row],[volatile acidity]]+winequality_red[[#This Row],[citric acid]])</f>
        <v>8.23</v>
      </c>
      <c r="O1002">
        <f t="shared" si="121"/>
        <v>2.6921739130434781E-2</v>
      </c>
      <c r="S1002" t="e">
        <f t="shared" si="122"/>
        <v>#N/A</v>
      </c>
      <c r="T1002" t="e">
        <f t="shared" si="123"/>
        <v>#N/A</v>
      </c>
      <c r="U1002" t="e">
        <f t="shared" si="124"/>
        <v>#N/A</v>
      </c>
      <c r="V1002" t="e">
        <f t="shared" si="125"/>
        <v>#N/A</v>
      </c>
      <c r="W1002">
        <f t="shared" si="126"/>
        <v>11.5</v>
      </c>
      <c r="X1002">
        <f t="shared" si="127"/>
        <v>7</v>
      </c>
    </row>
    <row r="1003" spans="1:24" x14ac:dyDescent="0.3">
      <c r="A1003">
        <v>9.9</v>
      </c>
      <c r="B1003">
        <v>0.35</v>
      </c>
      <c r="C1003">
        <v>0.38</v>
      </c>
      <c r="D1003">
        <v>1.5</v>
      </c>
      <c r="E1003">
        <v>5.7999999999999996E-2</v>
      </c>
      <c r="F1003">
        <v>31</v>
      </c>
      <c r="G1003">
        <v>47</v>
      </c>
      <c r="H1003">
        <v>0.99676000000000009</v>
      </c>
      <c r="I1003">
        <v>3.26</v>
      </c>
      <c r="J1003">
        <v>0.82</v>
      </c>
      <c r="K1003">
        <v>10.6</v>
      </c>
      <c r="L1003">
        <v>7</v>
      </c>
      <c r="M1003" t="str">
        <f t="shared" si="120"/>
        <v>High</v>
      </c>
      <c r="N1003">
        <f>(winequality_red[[#This Row],[Updated Quality &amp; Alcohol Analysis]]+winequality_red[[#This Row],[volatile acidity]]+winequality_red[[#This Row],[citric acid]])</f>
        <v>10.63</v>
      </c>
      <c r="O1003">
        <f t="shared" si="121"/>
        <v>2.7075471698113206E-2</v>
      </c>
      <c r="S1003" t="e">
        <f t="shared" si="122"/>
        <v>#N/A</v>
      </c>
      <c r="T1003" t="e">
        <f t="shared" si="123"/>
        <v>#N/A</v>
      </c>
      <c r="U1003" t="e">
        <f t="shared" si="124"/>
        <v>#N/A</v>
      </c>
      <c r="V1003" t="e">
        <f t="shared" si="125"/>
        <v>#N/A</v>
      </c>
      <c r="W1003">
        <f t="shared" si="126"/>
        <v>10.6</v>
      </c>
      <c r="X1003">
        <f t="shared" si="127"/>
        <v>7</v>
      </c>
    </row>
    <row r="1004" spans="1:24" x14ac:dyDescent="0.3">
      <c r="A1004">
        <v>9.1</v>
      </c>
      <c r="B1004">
        <v>0.28999999999999998</v>
      </c>
      <c r="C1004">
        <v>0.33</v>
      </c>
      <c r="D1004">
        <v>2.0499999999999998</v>
      </c>
      <c r="E1004">
        <v>6.3E-2</v>
      </c>
      <c r="F1004">
        <v>13</v>
      </c>
      <c r="G1004">
        <v>27</v>
      </c>
      <c r="H1004">
        <v>0.99516000000000004</v>
      </c>
      <c r="I1004">
        <v>3.26</v>
      </c>
      <c r="J1004">
        <v>0.84</v>
      </c>
      <c r="K1004">
        <v>11.7</v>
      </c>
      <c r="L1004">
        <v>7</v>
      </c>
      <c r="M1004" t="str">
        <f t="shared" si="120"/>
        <v>High</v>
      </c>
      <c r="N1004">
        <f>(winequality_red[[#This Row],[Updated Quality &amp; Alcohol Analysis]]+winequality_red[[#This Row],[volatile acidity]]+winequality_red[[#This Row],[citric acid]])</f>
        <v>9.7199999999999989</v>
      </c>
      <c r="O1004">
        <f t="shared" si="121"/>
        <v>2.082051282051282E-2</v>
      </c>
      <c r="S1004" t="e">
        <f t="shared" si="122"/>
        <v>#N/A</v>
      </c>
      <c r="T1004" t="e">
        <f t="shared" si="123"/>
        <v>#N/A</v>
      </c>
      <c r="U1004" t="e">
        <f t="shared" si="124"/>
        <v>#N/A</v>
      </c>
      <c r="V1004" t="e">
        <f t="shared" si="125"/>
        <v>#N/A</v>
      </c>
      <c r="W1004">
        <f t="shared" si="126"/>
        <v>11.7</v>
      </c>
      <c r="X1004">
        <f t="shared" si="127"/>
        <v>7</v>
      </c>
    </row>
    <row r="1005" spans="1:24" x14ac:dyDescent="0.3">
      <c r="A1005">
        <v>6.8</v>
      </c>
      <c r="B1005">
        <v>0.36</v>
      </c>
      <c r="C1005">
        <v>0.32</v>
      </c>
      <c r="D1005">
        <v>1.8</v>
      </c>
      <c r="E1005">
        <v>6.7000000000000004E-2</v>
      </c>
      <c r="F1005">
        <v>4</v>
      </c>
      <c r="G1005">
        <v>8</v>
      </c>
      <c r="H1005">
        <v>0.99280000000000002</v>
      </c>
      <c r="I1005">
        <v>3.36</v>
      </c>
      <c r="J1005">
        <v>0.55000000000000004</v>
      </c>
      <c r="K1005">
        <v>12.8</v>
      </c>
      <c r="L1005">
        <v>7</v>
      </c>
      <c r="M1005" t="str">
        <f t="shared" si="120"/>
        <v>High</v>
      </c>
      <c r="N1005">
        <f>(winequality_red[[#This Row],[Updated Quality &amp; Alcohol Analysis]]+winequality_red[[#This Row],[volatile acidity]]+winequality_red[[#This Row],[citric acid]])</f>
        <v>7.48</v>
      </c>
      <c r="O1005">
        <f t="shared" si="121"/>
        <v>1.546875E-2</v>
      </c>
      <c r="S1005" t="e">
        <f t="shared" si="122"/>
        <v>#N/A</v>
      </c>
      <c r="T1005" t="e">
        <f t="shared" si="123"/>
        <v>#N/A</v>
      </c>
      <c r="U1005" t="e">
        <f t="shared" si="124"/>
        <v>#N/A</v>
      </c>
      <c r="V1005" t="e">
        <f t="shared" si="125"/>
        <v>#N/A</v>
      </c>
      <c r="W1005">
        <f t="shared" si="126"/>
        <v>12.8</v>
      </c>
      <c r="X1005">
        <f t="shared" si="127"/>
        <v>7</v>
      </c>
    </row>
    <row r="1006" spans="1:24" x14ac:dyDescent="0.3">
      <c r="A1006">
        <v>8.1999999999999993</v>
      </c>
      <c r="B1006">
        <v>0.43</v>
      </c>
      <c r="C1006">
        <v>0.28999999999999998</v>
      </c>
      <c r="D1006">
        <v>1.6</v>
      </c>
      <c r="E1006">
        <v>8.1000000000000003E-2</v>
      </c>
      <c r="F1006">
        <v>27</v>
      </c>
      <c r="G1006">
        <v>45</v>
      </c>
      <c r="H1006">
        <v>0.99602999999999997</v>
      </c>
      <c r="I1006">
        <v>3.25</v>
      </c>
      <c r="J1006">
        <v>0.54</v>
      </c>
      <c r="K1006">
        <v>10.3</v>
      </c>
      <c r="L1006">
        <v>5</v>
      </c>
      <c r="M1006" t="str">
        <f t="shared" si="120"/>
        <v>Medium</v>
      </c>
      <c r="N1006">
        <f>(winequality_red[[#This Row],[Updated Quality &amp; Alcohol Analysis]]+winequality_red[[#This Row],[volatile acidity]]+winequality_red[[#This Row],[citric acid]])</f>
        <v>8.9199999999999982</v>
      </c>
      <c r="O1006">
        <f t="shared" si="121"/>
        <v>2.254368932038835E-2</v>
      </c>
      <c r="S1006" t="e">
        <f t="shared" si="122"/>
        <v>#N/A</v>
      </c>
      <c r="T1006" t="e">
        <f t="shared" si="123"/>
        <v>#N/A</v>
      </c>
      <c r="U1006">
        <f t="shared" si="124"/>
        <v>10.3</v>
      </c>
      <c r="V1006">
        <f t="shared" si="125"/>
        <v>5</v>
      </c>
      <c r="W1006" t="e">
        <f t="shared" si="126"/>
        <v>#N/A</v>
      </c>
      <c r="X1006" t="e">
        <f t="shared" si="127"/>
        <v>#N/A</v>
      </c>
    </row>
    <row r="1007" spans="1:24" x14ac:dyDescent="0.3">
      <c r="A1007">
        <v>6.8</v>
      </c>
      <c r="B1007">
        <v>0.36</v>
      </c>
      <c r="C1007">
        <v>0.32</v>
      </c>
      <c r="D1007">
        <v>1.8</v>
      </c>
      <c r="E1007">
        <v>6.7000000000000004E-2</v>
      </c>
      <c r="F1007">
        <v>4</v>
      </c>
      <c r="G1007">
        <v>8</v>
      </c>
      <c r="H1007">
        <v>0.99280000000000002</v>
      </c>
      <c r="I1007">
        <v>3.36</v>
      </c>
      <c r="J1007">
        <v>0.55000000000000004</v>
      </c>
      <c r="K1007">
        <v>12.8</v>
      </c>
      <c r="L1007">
        <v>7</v>
      </c>
      <c r="M1007" t="str">
        <f t="shared" si="120"/>
        <v>High</v>
      </c>
      <c r="N1007">
        <f>(winequality_red[[#This Row],[Updated Quality &amp; Alcohol Analysis]]+winequality_red[[#This Row],[volatile acidity]]+winequality_red[[#This Row],[citric acid]])</f>
        <v>7.48</v>
      </c>
      <c r="O1007">
        <f t="shared" si="121"/>
        <v>1.546875E-2</v>
      </c>
      <c r="S1007" t="e">
        <f t="shared" si="122"/>
        <v>#N/A</v>
      </c>
      <c r="T1007" t="e">
        <f t="shared" si="123"/>
        <v>#N/A</v>
      </c>
      <c r="U1007" t="e">
        <f t="shared" si="124"/>
        <v>#N/A</v>
      </c>
      <c r="V1007" t="e">
        <f t="shared" si="125"/>
        <v>#N/A</v>
      </c>
      <c r="W1007">
        <f t="shared" si="126"/>
        <v>12.8</v>
      </c>
      <c r="X1007">
        <f t="shared" si="127"/>
        <v>7</v>
      </c>
    </row>
    <row r="1008" spans="1:24" x14ac:dyDescent="0.3">
      <c r="A1008">
        <v>9.1</v>
      </c>
      <c r="B1008">
        <v>0.28999999999999998</v>
      </c>
      <c r="C1008">
        <v>0.33</v>
      </c>
      <c r="D1008">
        <v>2.0499999999999998</v>
      </c>
      <c r="E1008">
        <v>6.3E-2</v>
      </c>
      <c r="F1008">
        <v>13</v>
      </c>
      <c r="G1008">
        <v>27</v>
      </c>
      <c r="H1008">
        <v>0.99516000000000004</v>
      </c>
      <c r="I1008">
        <v>3.26</v>
      </c>
      <c r="J1008">
        <v>0.84</v>
      </c>
      <c r="K1008">
        <v>11.7</v>
      </c>
      <c r="L1008">
        <v>7</v>
      </c>
      <c r="M1008" t="str">
        <f t="shared" si="120"/>
        <v>High</v>
      </c>
      <c r="N1008">
        <f>(winequality_red[[#This Row],[Updated Quality &amp; Alcohol Analysis]]+winequality_red[[#This Row],[volatile acidity]]+winequality_red[[#This Row],[citric acid]])</f>
        <v>9.7199999999999989</v>
      </c>
      <c r="O1008">
        <f t="shared" si="121"/>
        <v>2.082051282051282E-2</v>
      </c>
      <c r="S1008" t="e">
        <f t="shared" si="122"/>
        <v>#N/A</v>
      </c>
      <c r="T1008" t="e">
        <f t="shared" si="123"/>
        <v>#N/A</v>
      </c>
      <c r="U1008" t="e">
        <f t="shared" si="124"/>
        <v>#N/A</v>
      </c>
      <c r="V1008" t="e">
        <f t="shared" si="125"/>
        <v>#N/A</v>
      </c>
      <c r="W1008">
        <f t="shared" si="126"/>
        <v>11.7</v>
      </c>
      <c r="X1008">
        <f t="shared" si="127"/>
        <v>7</v>
      </c>
    </row>
    <row r="1009" spans="1:24" x14ac:dyDescent="0.3">
      <c r="A1009">
        <v>9.1</v>
      </c>
      <c r="B1009">
        <v>0.3</v>
      </c>
      <c r="C1009">
        <v>0.34</v>
      </c>
      <c r="D1009">
        <v>2</v>
      </c>
      <c r="E1009">
        <v>6.4000000000000001E-2</v>
      </c>
      <c r="F1009">
        <v>12</v>
      </c>
      <c r="G1009">
        <v>25</v>
      </c>
      <c r="H1009">
        <v>0.99516000000000004</v>
      </c>
      <c r="I1009">
        <v>3.26</v>
      </c>
      <c r="J1009">
        <v>0.84</v>
      </c>
      <c r="K1009">
        <v>11.7</v>
      </c>
      <c r="L1009">
        <v>7</v>
      </c>
      <c r="M1009" t="str">
        <f t="shared" si="120"/>
        <v>High</v>
      </c>
      <c r="N1009">
        <f>(winequality_red[[#This Row],[Updated Quality &amp; Alcohol Analysis]]+winequality_red[[#This Row],[volatile acidity]]+winequality_red[[#This Row],[citric acid]])</f>
        <v>9.74</v>
      </c>
      <c r="O1009">
        <f t="shared" si="121"/>
        <v>2.1538461538461541E-2</v>
      </c>
      <c r="S1009" t="e">
        <f t="shared" si="122"/>
        <v>#N/A</v>
      </c>
      <c r="T1009" t="e">
        <f t="shared" si="123"/>
        <v>#N/A</v>
      </c>
      <c r="U1009" t="e">
        <f t="shared" si="124"/>
        <v>#N/A</v>
      </c>
      <c r="V1009" t="e">
        <f t="shared" si="125"/>
        <v>#N/A</v>
      </c>
      <c r="W1009">
        <f t="shared" si="126"/>
        <v>11.7</v>
      </c>
      <c r="X1009">
        <f t="shared" si="127"/>
        <v>7</v>
      </c>
    </row>
    <row r="1010" spans="1:24" x14ac:dyDescent="0.3">
      <c r="A1010">
        <v>8.9</v>
      </c>
      <c r="B1010">
        <v>0.35</v>
      </c>
      <c r="C1010">
        <v>0.4</v>
      </c>
      <c r="D1010">
        <v>3.6</v>
      </c>
      <c r="E1010">
        <v>0.11</v>
      </c>
      <c r="F1010">
        <v>12</v>
      </c>
      <c r="G1010">
        <v>24</v>
      </c>
      <c r="H1010">
        <v>0.99548999999999999</v>
      </c>
      <c r="I1010">
        <v>3.23</v>
      </c>
      <c r="J1010">
        <v>0.7</v>
      </c>
      <c r="K1010">
        <v>12</v>
      </c>
      <c r="L1010">
        <v>7</v>
      </c>
      <c r="M1010" t="str">
        <f t="shared" si="120"/>
        <v>High</v>
      </c>
      <c r="N1010">
        <f>(winequality_red[[#This Row],[Updated Quality &amp; Alcohol Analysis]]+winequality_red[[#This Row],[volatile acidity]]+winequality_red[[#This Row],[citric acid]])</f>
        <v>9.65</v>
      </c>
      <c r="O1010">
        <f t="shared" si="121"/>
        <v>2.0416666666666663E-2</v>
      </c>
      <c r="S1010" t="e">
        <f t="shared" si="122"/>
        <v>#N/A</v>
      </c>
      <c r="T1010" t="e">
        <f t="shared" si="123"/>
        <v>#N/A</v>
      </c>
      <c r="U1010" t="e">
        <f t="shared" si="124"/>
        <v>#N/A</v>
      </c>
      <c r="V1010" t="e">
        <f t="shared" si="125"/>
        <v>#N/A</v>
      </c>
      <c r="W1010">
        <f t="shared" si="126"/>
        <v>12</v>
      </c>
      <c r="X1010">
        <f t="shared" si="127"/>
        <v>7</v>
      </c>
    </row>
    <row r="1011" spans="1:24" x14ac:dyDescent="0.3">
      <c r="A1011">
        <v>9.6</v>
      </c>
      <c r="B1011">
        <v>0.5</v>
      </c>
      <c r="C1011">
        <v>0.36</v>
      </c>
      <c r="D1011">
        <v>2.8</v>
      </c>
      <c r="E1011">
        <v>0.11599999999999999</v>
      </c>
      <c r="F1011">
        <v>26</v>
      </c>
      <c r="G1011">
        <v>55</v>
      </c>
      <c r="H1011">
        <v>0.99722000000000011</v>
      </c>
      <c r="I1011">
        <v>3.18</v>
      </c>
      <c r="J1011">
        <v>0.68</v>
      </c>
      <c r="K1011">
        <v>10.9</v>
      </c>
      <c r="L1011">
        <v>5</v>
      </c>
      <c r="M1011" t="str">
        <f t="shared" si="120"/>
        <v>Medium</v>
      </c>
      <c r="N1011">
        <f>(winequality_red[[#This Row],[Updated Quality &amp; Alcohol Analysis]]+winequality_red[[#This Row],[volatile acidity]]+winequality_red[[#This Row],[citric acid]])</f>
        <v>10.459999999999999</v>
      </c>
      <c r="O1011">
        <f t="shared" si="121"/>
        <v>3.1192660550458717E-2</v>
      </c>
      <c r="S1011" t="e">
        <f t="shared" si="122"/>
        <v>#N/A</v>
      </c>
      <c r="T1011" t="e">
        <f t="shared" si="123"/>
        <v>#N/A</v>
      </c>
      <c r="U1011">
        <f t="shared" si="124"/>
        <v>10.9</v>
      </c>
      <c r="V1011">
        <f t="shared" si="125"/>
        <v>5</v>
      </c>
      <c r="W1011" t="e">
        <f t="shared" si="126"/>
        <v>#N/A</v>
      </c>
      <c r="X1011" t="e">
        <f t="shared" si="127"/>
        <v>#N/A</v>
      </c>
    </row>
    <row r="1012" spans="1:24" x14ac:dyDescent="0.3">
      <c r="A1012">
        <v>8.9</v>
      </c>
      <c r="B1012">
        <v>0.28000000000000003</v>
      </c>
      <c r="C1012">
        <v>0.45</v>
      </c>
      <c r="D1012">
        <v>1.7</v>
      </c>
      <c r="E1012">
        <v>6.7000000000000004E-2</v>
      </c>
      <c r="F1012">
        <v>7</v>
      </c>
      <c r="G1012">
        <v>12</v>
      </c>
      <c r="H1012">
        <v>0.99353999999999998</v>
      </c>
      <c r="I1012">
        <v>3.25</v>
      </c>
      <c r="J1012">
        <v>0.55000000000000004</v>
      </c>
      <c r="K1012">
        <v>12.3</v>
      </c>
      <c r="L1012">
        <v>7</v>
      </c>
      <c r="M1012" t="str">
        <f t="shared" si="120"/>
        <v>High</v>
      </c>
      <c r="N1012">
        <f>(winequality_red[[#This Row],[Updated Quality &amp; Alcohol Analysis]]+winequality_red[[#This Row],[volatile acidity]]+winequality_red[[#This Row],[citric acid]])</f>
        <v>9.629999999999999</v>
      </c>
      <c r="O1012">
        <f t="shared" si="121"/>
        <v>1.2520325203252034E-2</v>
      </c>
      <c r="S1012" t="e">
        <f t="shared" si="122"/>
        <v>#N/A</v>
      </c>
      <c r="T1012" t="e">
        <f t="shared" si="123"/>
        <v>#N/A</v>
      </c>
      <c r="U1012" t="e">
        <f t="shared" si="124"/>
        <v>#N/A</v>
      </c>
      <c r="V1012" t="e">
        <f t="shared" si="125"/>
        <v>#N/A</v>
      </c>
      <c r="W1012">
        <f t="shared" si="126"/>
        <v>12.3</v>
      </c>
      <c r="X1012">
        <f t="shared" si="127"/>
        <v>7</v>
      </c>
    </row>
    <row r="1013" spans="1:24" x14ac:dyDescent="0.3">
      <c r="A1013">
        <v>8.9</v>
      </c>
      <c r="B1013">
        <v>0.32</v>
      </c>
      <c r="C1013">
        <v>0.31</v>
      </c>
      <c r="D1013">
        <v>2</v>
      </c>
      <c r="E1013">
        <v>8.8000000000000009E-2</v>
      </c>
      <c r="F1013">
        <v>12</v>
      </c>
      <c r="G1013">
        <v>19</v>
      </c>
      <c r="H1013">
        <v>0.99570000000000003</v>
      </c>
      <c r="I1013">
        <v>3.17</v>
      </c>
      <c r="J1013">
        <v>0.55000000000000004</v>
      </c>
      <c r="K1013">
        <v>10.4</v>
      </c>
      <c r="L1013">
        <v>6</v>
      </c>
      <c r="M1013" t="str">
        <f t="shared" si="120"/>
        <v>Medium</v>
      </c>
      <c r="N1013">
        <f>(winequality_red[[#This Row],[Updated Quality &amp; Alcohol Analysis]]+winequality_red[[#This Row],[volatile acidity]]+winequality_red[[#This Row],[citric acid]])</f>
        <v>9.5300000000000011</v>
      </c>
      <c r="O1013">
        <f t="shared" si="121"/>
        <v>1.6923076923076923E-2</v>
      </c>
      <c r="S1013" t="e">
        <f t="shared" si="122"/>
        <v>#N/A</v>
      </c>
      <c r="T1013" t="e">
        <f t="shared" si="123"/>
        <v>#N/A</v>
      </c>
      <c r="U1013">
        <f t="shared" si="124"/>
        <v>10.4</v>
      </c>
      <c r="V1013">
        <f t="shared" si="125"/>
        <v>6</v>
      </c>
      <c r="W1013" t="e">
        <f t="shared" si="126"/>
        <v>#N/A</v>
      </c>
      <c r="X1013" t="e">
        <f t="shared" si="127"/>
        <v>#N/A</v>
      </c>
    </row>
    <row r="1014" spans="1:24" x14ac:dyDescent="0.3">
      <c r="A1014">
        <v>7.7</v>
      </c>
      <c r="B1014">
        <v>1.0049999999999999</v>
      </c>
      <c r="C1014">
        <v>0.15</v>
      </c>
      <c r="D1014">
        <v>2.1</v>
      </c>
      <c r="E1014">
        <v>0.10199999999999999</v>
      </c>
      <c r="F1014">
        <v>11</v>
      </c>
      <c r="G1014">
        <v>32</v>
      </c>
      <c r="H1014">
        <v>0.99603999999999993</v>
      </c>
      <c r="I1014">
        <v>3.23</v>
      </c>
      <c r="J1014">
        <v>0.48</v>
      </c>
      <c r="K1014">
        <v>10</v>
      </c>
      <c r="L1014">
        <v>5</v>
      </c>
      <c r="M1014" t="str">
        <f t="shared" si="120"/>
        <v>Medium</v>
      </c>
      <c r="N1014">
        <f>(winequality_red[[#This Row],[Updated Quality &amp; Alcohol Analysis]]+winequality_red[[#This Row],[volatile acidity]]+winequality_red[[#This Row],[citric acid]])</f>
        <v>8.8550000000000004</v>
      </c>
      <c r="O1014">
        <f t="shared" si="121"/>
        <v>4.8239999999999991E-2</v>
      </c>
      <c r="S1014" t="e">
        <f t="shared" si="122"/>
        <v>#N/A</v>
      </c>
      <c r="T1014" t="e">
        <f t="shared" si="123"/>
        <v>#N/A</v>
      </c>
      <c r="U1014">
        <f t="shared" si="124"/>
        <v>10</v>
      </c>
      <c r="V1014">
        <f t="shared" si="125"/>
        <v>5</v>
      </c>
      <c r="W1014" t="e">
        <f t="shared" si="126"/>
        <v>#N/A</v>
      </c>
      <c r="X1014" t="e">
        <f t="shared" si="127"/>
        <v>#N/A</v>
      </c>
    </row>
    <row r="1015" spans="1:24" x14ac:dyDescent="0.3">
      <c r="A1015">
        <v>7.5</v>
      </c>
      <c r="B1015">
        <v>0.71</v>
      </c>
      <c r="C1015">
        <v>0</v>
      </c>
      <c r="D1015">
        <v>1.6</v>
      </c>
      <c r="E1015">
        <v>9.1999999999999998E-2</v>
      </c>
      <c r="F1015">
        <v>22</v>
      </c>
      <c r="G1015">
        <v>31</v>
      </c>
      <c r="H1015">
        <v>0.99634999999999996</v>
      </c>
      <c r="I1015">
        <v>3.38</v>
      </c>
      <c r="J1015">
        <v>0.57999999999999996</v>
      </c>
      <c r="K1015">
        <v>10</v>
      </c>
      <c r="L1015">
        <v>6</v>
      </c>
      <c r="M1015" t="str">
        <f t="shared" si="120"/>
        <v>Medium</v>
      </c>
      <c r="N1015">
        <f>(winequality_red[[#This Row],[Updated Quality &amp; Alcohol Analysis]]+winequality_red[[#This Row],[volatile acidity]]+winequality_red[[#This Row],[citric acid]])</f>
        <v>8.2100000000000009</v>
      </c>
      <c r="O1015">
        <f t="shared" si="121"/>
        <v>4.1179999999999994E-2</v>
      </c>
      <c r="S1015" t="e">
        <f t="shared" si="122"/>
        <v>#N/A</v>
      </c>
      <c r="T1015" t="e">
        <f t="shared" si="123"/>
        <v>#N/A</v>
      </c>
      <c r="U1015">
        <f t="shared" si="124"/>
        <v>10</v>
      </c>
      <c r="V1015">
        <f t="shared" si="125"/>
        <v>6</v>
      </c>
      <c r="W1015" t="e">
        <f t="shared" si="126"/>
        <v>#N/A</v>
      </c>
      <c r="X1015" t="e">
        <f t="shared" si="127"/>
        <v>#N/A</v>
      </c>
    </row>
    <row r="1016" spans="1:24" x14ac:dyDescent="0.3">
      <c r="A1016">
        <v>8</v>
      </c>
      <c r="B1016">
        <v>0.57999999999999996</v>
      </c>
      <c r="C1016">
        <v>0.16</v>
      </c>
      <c r="D1016">
        <v>2</v>
      </c>
      <c r="E1016">
        <v>0.12</v>
      </c>
      <c r="F1016">
        <v>3</v>
      </c>
      <c r="G1016">
        <v>7</v>
      </c>
      <c r="H1016">
        <v>0.99453999999999998</v>
      </c>
      <c r="I1016">
        <v>3.22</v>
      </c>
      <c r="J1016">
        <v>0.57999999999999996</v>
      </c>
      <c r="K1016">
        <v>11.2</v>
      </c>
      <c r="L1016">
        <v>6</v>
      </c>
      <c r="M1016" t="str">
        <f t="shared" si="120"/>
        <v>Medium</v>
      </c>
      <c r="N1016">
        <f>(winequality_red[[#This Row],[Updated Quality &amp; Alcohol Analysis]]+winequality_red[[#This Row],[volatile acidity]]+winequality_red[[#This Row],[citric acid]])</f>
        <v>8.74</v>
      </c>
      <c r="O1016">
        <f t="shared" si="121"/>
        <v>3.0035714285714287E-2</v>
      </c>
      <c r="S1016" t="e">
        <f t="shared" si="122"/>
        <v>#N/A</v>
      </c>
      <c r="T1016" t="e">
        <f t="shared" si="123"/>
        <v>#N/A</v>
      </c>
      <c r="U1016">
        <f t="shared" si="124"/>
        <v>11.2</v>
      </c>
      <c r="V1016">
        <f t="shared" si="125"/>
        <v>6</v>
      </c>
      <c r="W1016" t="e">
        <f t="shared" si="126"/>
        <v>#N/A</v>
      </c>
      <c r="X1016" t="e">
        <f t="shared" si="127"/>
        <v>#N/A</v>
      </c>
    </row>
    <row r="1017" spans="1:24" x14ac:dyDescent="0.3">
      <c r="A1017">
        <v>10.5</v>
      </c>
      <c r="B1017">
        <v>0.39</v>
      </c>
      <c r="C1017">
        <v>0.46</v>
      </c>
      <c r="D1017">
        <v>2.2000000000000002</v>
      </c>
      <c r="E1017">
        <v>7.4999999999999997E-2</v>
      </c>
      <c r="F1017">
        <v>14</v>
      </c>
      <c r="G1017">
        <v>27</v>
      </c>
      <c r="H1017">
        <v>0.99597999999999998</v>
      </c>
      <c r="I1017">
        <v>3.06</v>
      </c>
      <c r="J1017">
        <v>0.84</v>
      </c>
      <c r="K1017">
        <v>11.4</v>
      </c>
      <c r="L1017">
        <v>6</v>
      </c>
      <c r="M1017" t="str">
        <f t="shared" si="120"/>
        <v>Medium</v>
      </c>
      <c r="N1017">
        <f>(winequality_red[[#This Row],[Updated Quality &amp; Alcohol Analysis]]+winequality_red[[#This Row],[volatile acidity]]+winequality_red[[#This Row],[citric acid]])</f>
        <v>11.350000000000001</v>
      </c>
      <c r="O1017">
        <f t="shared" si="121"/>
        <v>2.8736842105263158E-2</v>
      </c>
      <c r="S1017" t="e">
        <f t="shared" si="122"/>
        <v>#N/A</v>
      </c>
      <c r="T1017" t="e">
        <f t="shared" si="123"/>
        <v>#N/A</v>
      </c>
      <c r="U1017">
        <f t="shared" si="124"/>
        <v>11.4</v>
      </c>
      <c r="V1017">
        <f t="shared" si="125"/>
        <v>6</v>
      </c>
      <c r="W1017" t="e">
        <f t="shared" si="126"/>
        <v>#N/A</v>
      </c>
      <c r="X1017" t="e">
        <f t="shared" si="127"/>
        <v>#N/A</v>
      </c>
    </row>
    <row r="1018" spans="1:24" x14ac:dyDescent="0.3">
      <c r="A1018">
        <v>8.9</v>
      </c>
      <c r="B1018">
        <v>0.38</v>
      </c>
      <c r="C1018">
        <v>0.4</v>
      </c>
      <c r="D1018">
        <v>2.2000000000000002</v>
      </c>
      <c r="E1018">
        <v>6.8000000000000005E-2</v>
      </c>
      <c r="F1018">
        <v>12</v>
      </c>
      <c r="G1018">
        <v>28</v>
      </c>
      <c r="H1018">
        <v>0.99486000000000008</v>
      </c>
      <c r="I1018">
        <v>3.27</v>
      </c>
      <c r="J1018">
        <v>0.75</v>
      </c>
      <c r="K1018">
        <v>12.6</v>
      </c>
      <c r="L1018">
        <v>7</v>
      </c>
      <c r="M1018" t="str">
        <f t="shared" si="120"/>
        <v>High</v>
      </c>
      <c r="N1018">
        <f>(winequality_red[[#This Row],[Updated Quality &amp; Alcohol Analysis]]+winequality_red[[#This Row],[volatile acidity]]+winequality_red[[#This Row],[citric acid]])</f>
        <v>9.6800000000000015</v>
      </c>
      <c r="O1018">
        <f t="shared" si="121"/>
        <v>2.2619047619047622E-2</v>
      </c>
      <c r="S1018" t="e">
        <f t="shared" si="122"/>
        <v>#N/A</v>
      </c>
      <c r="T1018" t="e">
        <f t="shared" si="123"/>
        <v>#N/A</v>
      </c>
      <c r="U1018" t="e">
        <f t="shared" si="124"/>
        <v>#N/A</v>
      </c>
      <c r="V1018" t="e">
        <f t="shared" si="125"/>
        <v>#N/A</v>
      </c>
      <c r="W1018">
        <f t="shared" si="126"/>
        <v>12.6</v>
      </c>
      <c r="X1018">
        <f t="shared" si="127"/>
        <v>7</v>
      </c>
    </row>
    <row r="1019" spans="1:24" x14ac:dyDescent="0.3">
      <c r="A1019">
        <v>8</v>
      </c>
      <c r="B1019">
        <v>0.18</v>
      </c>
      <c r="C1019">
        <v>0.37</v>
      </c>
      <c r="D1019">
        <v>0.9</v>
      </c>
      <c r="E1019">
        <v>4.9000000000000002E-2</v>
      </c>
      <c r="F1019">
        <v>36</v>
      </c>
      <c r="G1019">
        <v>109</v>
      </c>
      <c r="H1019">
        <v>0.99007000000000012</v>
      </c>
      <c r="I1019">
        <v>2.89</v>
      </c>
      <c r="J1019">
        <v>0.44</v>
      </c>
      <c r="K1019">
        <v>12.7</v>
      </c>
      <c r="L1019">
        <v>6</v>
      </c>
      <c r="M1019" t="str">
        <f t="shared" si="120"/>
        <v>Medium</v>
      </c>
      <c r="N1019">
        <f>(winequality_red[[#This Row],[Updated Quality &amp; Alcohol Analysis]]+winequality_red[[#This Row],[volatile acidity]]+winequality_red[[#This Row],[citric acid]])</f>
        <v>8.5499999999999989</v>
      </c>
      <c r="O1019">
        <f t="shared" si="121"/>
        <v>6.2362204724409447E-3</v>
      </c>
      <c r="S1019" t="e">
        <f t="shared" si="122"/>
        <v>#N/A</v>
      </c>
      <c r="T1019" t="e">
        <f t="shared" si="123"/>
        <v>#N/A</v>
      </c>
      <c r="U1019">
        <f t="shared" si="124"/>
        <v>12.7</v>
      </c>
      <c r="V1019">
        <f t="shared" si="125"/>
        <v>6</v>
      </c>
      <c r="W1019" t="e">
        <f t="shared" si="126"/>
        <v>#N/A</v>
      </c>
      <c r="X1019" t="e">
        <f t="shared" si="127"/>
        <v>#N/A</v>
      </c>
    </row>
    <row r="1020" spans="1:24" x14ac:dyDescent="0.3">
      <c r="A1020">
        <v>8</v>
      </c>
      <c r="B1020">
        <v>0.18</v>
      </c>
      <c r="C1020">
        <v>0.37</v>
      </c>
      <c r="D1020">
        <v>0.9</v>
      </c>
      <c r="E1020">
        <v>4.9000000000000002E-2</v>
      </c>
      <c r="F1020">
        <v>36</v>
      </c>
      <c r="G1020">
        <v>109</v>
      </c>
      <c r="H1020">
        <v>0.99007000000000012</v>
      </c>
      <c r="I1020">
        <v>2.89</v>
      </c>
      <c r="J1020">
        <v>0.44</v>
      </c>
      <c r="K1020">
        <v>12.7</v>
      </c>
      <c r="L1020">
        <v>6</v>
      </c>
      <c r="M1020" t="str">
        <f t="shared" si="120"/>
        <v>Medium</v>
      </c>
      <c r="N1020">
        <f>(winequality_red[[#This Row],[Updated Quality &amp; Alcohol Analysis]]+winequality_red[[#This Row],[volatile acidity]]+winequality_red[[#This Row],[citric acid]])</f>
        <v>8.5499999999999989</v>
      </c>
      <c r="O1020">
        <f t="shared" si="121"/>
        <v>6.2362204724409447E-3</v>
      </c>
      <c r="S1020" t="e">
        <f t="shared" si="122"/>
        <v>#N/A</v>
      </c>
      <c r="T1020" t="e">
        <f t="shared" si="123"/>
        <v>#N/A</v>
      </c>
      <c r="U1020">
        <f t="shared" si="124"/>
        <v>12.7</v>
      </c>
      <c r="V1020">
        <f t="shared" si="125"/>
        <v>6</v>
      </c>
      <c r="W1020" t="e">
        <f t="shared" si="126"/>
        <v>#N/A</v>
      </c>
      <c r="X1020" t="e">
        <f t="shared" si="127"/>
        <v>#N/A</v>
      </c>
    </row>
    <row r="1021" spans="1:24" x14ac:dyDescent="0.3">
      <c r="A1021">
        <v>7</v>
      </c>
      <c r="B1021">
        <v>0.5</v>
      </c>
      <c r="C1021">
        <v>0.14000000000000001</v>
      </c>
      <c r="D1021">
        <v>1.8</v>
      </c>
      <c r="E1021">
        <v>7.8E-2</v>
      </c>
      <c r="F1021">
        <v>10</v>
      </c>
      <c r="G1021">
        <v>23</v>
      </c>
      <c r="H1021">
        <v>0.99636000000000002</v>
      </c>
      <c r="I1021">
        <v>3.53</v>
      </c>
      <c r="J1021">
        <v>0.61</v>
      </c>
      <c r="K1021">
        <v>10.4</v>
      </c>
      <c r="L1021">
        <v>5</v>
      </c>
      <c r="M1021" t="str">
        <f t="shared" si="120"/>
        <v>Medium</v>
      </c>
      <c r="N1021">
        <f>(winequality_red[[#This Row],[Updated Quality &amp; Alcohol Analysis]]+winequality_red[[#This Row],[volatile acidity]]+winequality_red[[#This Row],[citric acid]])</f>
        <v>7.64</v>
      </c>
      <c r="O1021">
        <f t="shared" si="121"/>
        <v>2.9326923076923077E-2</v>
      </c>
      <c r="S1021" t="e">
        <f t="shared" si="122"/>
        <v>#N/A</v>
      </c>
      <c r="T1021" t="e">
        <f t="shared" si="123"/>
        <v>#N/A</v>
      </c>
      <c r="U1021">
        <f t="shared" si="124"/>
        <v>10.4</v>
      </c>
      <c r="V1021">
        <f t="shared" si="125"/>
        <v>5</v>
      </c>
      <c r="W1021" t="e">
        <f t="shared" si="126"/>
        <v>#N/A</v>
      </c>
      <c r="X1021" t="e">
        <f t="shared" si="127"/>
        <v>#N/A</v>
      </c>
    </row>
    <row r="1022" spans="1:24" x14ac:dyDescent="0.3">
      <c r="A1022">
        <v>11.3</v>
      </c>
      <c r="B1022">
        <v>0.36</v>
      </c>
      <c r="C1022">
        <v>0.66</v>
      </c>
      <c r="D1022">
        <v>2.4</v>
      </c>
      <c r="E1022">
        <v>0.12300000000000001</v>
      </c>
      <c r="F1022">
        <v>3</v>
      </c>
      <c r="G1022">
        <v>8</v>
      </c>
      <c r="H1022">
        <v>0.99642000000000008</v>
      </c>
      <c r="I1022">
        <v>3.2</v>
      </c>
      <c r="J1022">
        <v>0.53</v>
      </c>
      <c r="K1022">
        <v>11.9</v>
      </c>
      <c r="L1022">
        <v>6</v>
      </c>
      <c r="M1022" t="str">
        <f t="shared" si="120"/>
        <v>Medium</v>
      </c>
      <c r="N1022">
        <f>(winequality_red[[#This Row],[Updated Quality &amp; Alcohol Analysis]]+winequality_red[[#This Row],[volatile acidity]]+winequality_red[[#This Row],[citric acid]])</f>
        <v>12.32</v>
      </c>
      <c r="O1022">
        <f t="shared" si="121"/>
        <v>1.603361344537815E-2</v>
      </c>
      <c r="S1022" t="e">
        <f t="shared" si="122"/>
        <v>#N/A</v>
      </c>
      <c r="T1022" t="e">
        <f t="shared" si="123"/>
        <v>#N/A</v>
      </c>
      <c r="U1022">
        <f t="shared" si="124"/>
        <v>11.9</v>
      </c>
      <c r="V1022">
        <f t="shared" si="125"/>
        <v>6</v>
      </c>
      <c r="W1022" t="e">
        <f t="shared" si="126"/>
        <v>#N/A</v>
      </c>
      <c r="X1022" t="e">
        <f t="shared" si="127"/>
        <v>#N/A</v>
      </c>
    </row>
    <row r="1023" spans="1:24" x14ac:dyDescent="0.3">
      <c r="A1023">
        <v>11.3</v>
      </c>
      <c r="B1023">
        <v>0.36</v>
      </c>
      <c r="C1023">
        <v>0.66</v>
      </c>
      <c r="D1023">
        <v>2.4</v>
      </c>
      <c r="E1023">
        <v>0.12300000000000001</v>
      </c>
      <c r="F1023">
        <v>3</v>
      </c>
      <c r="G1023">
        <v>8</v>
      </c>
      <c r="H1023">
        <v>0.99642000000000008</v>
      </c>
      <c r="I1023">
        <v>3.2</v>
      </c>
      <c r="J1023">
        <v>0.53</v>
      </c>
      <c r="K1023">
        <v>11.9</v>
      </c>
      <c r="L1023">
        <v>6</v>
      </c>
      <c r="M1023" t="str">
        <f t="shared" si="120"/>
        <v>Medium</v>
      </c>
      <c r="N1023">
        <f>(winequality_red[[#This Row],[Updated Quality &amp; Alcohol Analysis]]+winequality_red[[#This Row],[volatile acidity]]+winequality_red[[#This Row],[citric acid]])</f>
        <v>12.32</v>
      </c>
      <c r="O1023">
        <f t="shared" si="121"/>
        <v>1.603361344537815E-2</v>
      </c>
      <c r="S1023" t="e">
        <f t="shared" si="122"/>
        <v>#N/A</v>
      </c>
      <c r="T1023" t="e">
        <f t="shared" si="123"/>
        <v>#N/A</v>
      </c>
      <c r="U1023">
        <f t="shared" si="124"/>
        <v>11.9</v>
      </c>
      <c r="V1023">
        <f t="shared" si="125"/>
        <v>6</v>
      </c>
      <c r="W1023" t="e">
        <f t="shared" si="126"/>
        <v>#N/A</v>
      </c>
      <c r="X1023" t="e">
        <f t="shared" si="127"/>
        <v>#N/A</v>
      </c>
    </row>
    <row r="1024" spans="1:24" x14ac:dyDescent="0.3">
      <c r="A1024">
        <v>7</v>
      </c>
      <c r="B1024">
        <v>0.51</v>
      </c>
      <c r="C1024">
        <v>0.09</v>
      </c>
      <c r="D1024">
        <v>2.1</v>
      </c>
      <c r="E1024">
        <v>6.2E-2</v>
      </c>
      <c r="F1024">
        <v>4</v>
      </c>
      <c r="G1024">
        <v>9</v>
      </c>
      <c r="H1024">
        <v>0.99583999999999995</v>
      </c>
      <c r="I1024">
        <v>3.35</v>
      </c>
      <c r="J1024">
        <v>0.54</v>
      </c>
      <c r="K1024">
        <v>10.5</v>
      </c>
      <c r="L1024">
        <v>5</v>
      </c>
      <c r="M1024" t="str">
        <f t="shared" si="120"/>
        <v>Medium</v>
      </c>
      <c r="N1024">
        <f>(winequality_red[[#This Row],[Updated Quality &amp; Alcohol Analysis]]+winequality_red[[#This Row],[volatile acidity]]+winequality_red[[#This Row],[citric acid]])</f>
        <v>7.6</v>
      </c>
      <c r="O1024">
        <f t="shared" si="121"/>
        <v>2.6228571428571431E-2</v>
      </c>
      <c r="S1024" t="e">
        <f t="shared" si="122"/>
        <v>#N/A</v>
      </c>
      <c r="T1024" t="e">
        <f t="shared" si="123"/>
        <v>#N/A</v>
      </c>
      <c r="U1024">
        <f t="shared" si="124"/>
        <v>10.5</v>
      </c>
      <c r="V1024">
        <f t="shared" si="125"/>
        <v>5</v>
      </c>
      <c r="W1024" t="e">
        <f t="shared" si="126"/>
        <v>#N/A</v>
      </c>
      <c r="X1024" t="e">
        <f t="shared" si="127"/>
        <v>#N/A</v>
      </c>
    </row>
    <row r="1025" spans="1:24" x14ac:dyDescent="0.3">
      <c r="A1025">
        <v>8.1999999999999993</v>
      </c>
      <c r="B1025">
        <v>0.32</v>
      </c>
      <c r="C1025">
        <v>0.42</v>
      </c>
      <c r="D1025">
        <v>2.2999999999999998</v>
      </c>
      <c r="E1025">
        <v>9.8000000000000004E-2</v>
      </c>
      <c r="F1025">
        <v>3</v>
      </c>
      <c r="G1025">
        <v>9</v>
      </c>
      <c r="H1025">
        <v>0.99506000000000006</v>
      </c>
      <c r="I1025">
        <v>3.27</v>
      </c>
      <c r="J1025">
        <v>0.55000000000000004</v>
      </c>
      <c r="K1025">
        <v>12.3</v>
      </c>
      <c r="L1025">
        <v>6</v>
      </c>
      <c r="M1025" t="str">
        <f t="shared" si="120"/>
        <v>Medium</v>
      </c>
      <c r="N1025">
        <f>(winequality_red[[#This Row],[Updated Quality &amp; Alcohol Analysis]]+winequality_red[[#This Row],[volatile acidity]]+winequality_red[[#This Row],[citric acid]])</f>
        <v>8.94</v>
      </c>
      <c r="O1025">
        <f t="shared" si="121"/>
        <v>1.4308943089430894E-2</v>
      </c>
      <c r="S1025" t="e">
        <f t="shared" si="122"/>
        <v>#N/A</v>
      </c>
      <c r="T1025" t="e">
        <f t="shared" si="123"/>
        <v>#N/A</v>
      </c>
      <c r="U1025">
        <f t="shared" si="124"/>
        <v>12.3</v>
      </c>
      <c r="V1025">
        <f t="shared" si="125"/>
        <v>6</v>
      </c>
      <c r="W1025" t="e">
        <f t="shared" si="126"/>
        <v>#N/A</v>
      </c>
      <c r="X1025" t="e">
        <f t="shared" si="127"/>
        <v>#N/A</v>
      </c>
    </row>
    <row r="1026" spans="1:24" x14ac:dyDescent="0.3">
      <c r="A1026">
        <v>7.7</v>
      </c>
      <c r="B1026">
        <v>0.57999999999999996</v>
      </c>
      <c r="C1026">
        <v>0.01</v>
      </c>
      <c r="D1026">
        <v>1.8</v>
      </c>
      <c r="E1026">
        <v>8.8000000000000009E-2</v>
      </c>
      <c r="F1026">
        <v>12</v>
      </c>
      <c r="G1026">
        <v>18</v>
      </c>
      <c r="H1026">
        <v>0.9956799999999999</v>
      </c>
      <c r="I1026">
        <v>3.32</v>
      </c>
      <c r="J1026">
        <v>0.56000000000000005</v>
      </c>
      <c r="K1026">
        <v>10.5</v>
      </c>
      <c r="L1026">
        <v>7</v>
      </c>
      <c r="M1026" t="str">
        <f t="shared" ref="M1026:M1089" si="128">IF($L1026&gt;=7,"High",IF($L1026&gt;=5,"Medium","Low"))</f>
        <v>High</v>
      </c>
      <c r="N1026">
        <f>(winequality_red[[#This Row],[Updated Quality &amp; Alcohol Analysis]]+winequality_red[[#This Row],[volatile acidity]]+winequality_red[[#This Row],[citric acid]])</f>
        <v>8.2899999999999991</v>
      </c>
      <c r="O1026">
        <f t="shared" ref="O1026:O1089" si="129">($B1026*$J1026)/$K1026</f>
        <v>3.0933333333333337E-2</v>
      </c>
      <c r="S1026" t="e">
        <f t="shared" si="122"/>
        <v>#N/A</v>
      </c>
      <c r="T1026" t="e">
        <f t="shared" si="123"/>
        <v>#N/A</v>
      </c>
      <c r="U1026" t="e">
        <f t="shared" si="124"/>
        <v>#N/A</v>
      </c>
      <c r="V1026" t="e">
        <f t="shared" si="125"/>
        <v>#N/A</v>
      </c>
      <c r="W1026">
        <f t="shared" si="126"/>
        <v>10.5</v>
      </c>
      <c r="X1026">
        <f t="shared" si="127"/>
        <v>7</v>
      </c>
    </row>
    <row r="1027" spans="1:24" x14ac:dyDescent="0.3">
      <c r="A1027">
        <v>8.6</v>
      </c>
      <c r="B1027">
        <v>0.83</v>
      </c>
      <c r="C1027">
        <v>0</v>
      </c>
      <c r="D1027">
        <v>2.8</v>
      </c>
      <c r="E1027">
        <v>9.5000000000000001E-2</v>
      </c>
      <c r="F1027">
        <v>17</v>
      </c>
      <c r="G1027">
        <v>43</v>
      </c>
      <c r="H1027">
        <v>0.99822000000000011</v>
      </c>
      <c r="I1027">
        <v>3.33</v>
      </c>
      <c r="J1027">
        <v>0.6</v>
      </c>
      <c r="K1027">
        <v>10.4</v>
      </c>
      <c r="L1027">
        <v>6</v>
      </c>
      <c r="M1027" t="str">
        <f t="shared" si="128"/>
        <v>Medium</v>
      </c>
      <c r="N1027">
        <f>(winequality_red[[#This Row],[Updated Quality &amp; Alcohol Analysis]]+winequality_red[[#This Row],[volatile acidity]]+winequality_red[[#This Row],[citric acid]])</f>
        <v>9.43</v>
      </c>
      <c r="O1027">
        <f t="shared" si="129"/>
        <v>4.788461538461538E-2</v>
      </c>
      <c r="S1027" t="e">
        <f t="shared" ref="S1027:S1090" si="130">IF($M1027="Low",$K1027,NA())</f>
        <v>#N/A</v>
      </c>
      <c r="T1027" t="e">
        <f t="shared" ref="T1027:T1090" si="131">IF($M1027="Low",$L1027,NA())</f>
        <v>#N/A</v>
      </c>
      <c r="U1027">
        <f t="shared" ref="U1027:U1090" si="132">IF($M1027="Medium",$K1027,NA())</f>
        <v>10.4</v>
      </c>
      <c r="V1027">
        <f t="shared" ref="V1027:V1090" si="133">IF($M1027="Medium",$L1027,NA())</f>
        <v>6</v>
      </c>
      <c r="W1027" t="e">
        <f t="shared" ref="W1027:W1090" si="134">IF($M1027="High",$K1027,NA())</f>
        <v>#N/A</v>
      </c>
      <c r="X1027" t="e">
        <f t="shared" ref="X1027:X1090" si="135">IF($M1027="High",$L1027,NA())</f>
        <v>#N/A</v>
      </c>
    </row>
    <row r="1028" spans="1:24" x14ac:dyDescent="0.3">
      <c r="A1028">
        <v>7.9</v>
      </c>
      <c r="B1028">
        <v>0.31</v>
      </c>
      <c r="C1028">
        <v>0.32</v>
      </c>
      <c r="D1028">
        <v>1.9</v>
      </c>
      <c r="E1028">
        <v>6.6000000000000003E-2</v>
      </c>
      <c r="F1028">
        <v>14</v>
      </c>
      <c r="G1028">
        <v>36</v>
      </c>
      <c r="H1028">
        <v>0.99363999999999997</v>
      </c>
      <c r="I1028">
        <v>3.41</v>
      </c>
      <c r="J1028">
        <v>0.56000000000000005</v>
      </c>
      <c r="K1028">
        <v>12.6</v>
      </c>
      <c r="L1028">
        <v>6</v>
      </c>
      <c r="M1028" t="str">
        <f t="shared" si="128"/>
        <v>Medium</v>
      </c>
      <c r="N1028">
        <f>(winequality_red[[#This Row],[Updated Quality &amp; Alcohol Analysis]]+winequality_red[[#This Row],[volatile acidity]]+winequality_red[[#This Row],[citric acid]])</f>
        <v>8.5300000000000011</v>
      </c>
      <c r="O1028">
        <f t="shared" si="129"/>
        <v>1.3777777777777778E-2</v>
      </c>
      <c r="S1028" t="e">
        <f t="shared" si="130"/>
        <v>#N/A</v>
      </c>
      <c r="T1028" t="e">
        <f t="shared" si="131"/>
        <v>#N/A</v>
      </c>
      <c r="U1028">
        <f t="shared" si="132"/>
        <v>12.6</v>
      </c>
      <c r="V1028">
        <f t="shared" si="133"/>
        <v>6</v>
      </c>
      <c r="W1028" t="e">
        <f t="shared" si="134"/>
        <v>#N/A</v>
      </c>
      <c r="X1028" t="e">
        <f t="shared" si="135"/>
        <v>#N/A</v>
      </c>
    </row>
    <row r="1029" spans="1:24" x14ac:dyDescent="0.3">
      <c r="A1029">
        <v>6.4</v>
      </c>
      <c r="B1029">
        <v>0.79500000000000004</v>
      </c>
      <c r="C1029">
        <v>0</v>
      </c>
      <c r="D1029">
        <v>2.2000000000000002</v>
      </c>
      <c r="E1029">
        <v>6.5000000000000002E-2</v>
      </c>
      <c r="F1029">
        <v>28</v>
      </c>
      <c r="G1029">
        <v>52</v>
      </c>
      <c r="H1029">
        <v>0.99377999999999989</v>
      </c>
      <c r="I1029">
        <v>3.49</v>
      </c>
      <c r="J1029">
        <v>0.52</v>
      </c>
      <c r="K1029">
        <v>11.6</v>
      </c>
      <c r="L1029">
        <v>5</v>
      </c>
      <c r="M1029" t="str">
        <f t="shared" si="128"/>
        <v>Medium</v>
      </c>
      <c r="N1029">
        <f>(winequality_red[[#This Row],[Updated Quality &amp; Alcohol Analysis]]+winequality_red[[#This Row],[volatile acidity]]+winequality_red[[#This Row],[citric acid]])</f>
        <v>7.1950000000000003</v>
      </c>
      <c r="O1029">
        <f t="shared" si="129"/>
        <v>3.5637931034482762E-2</v>
      </c>
      <c r="S1029" t="e">
        <f t="shared" si="130"/>
        <v>#N/A</v>
      </c>
      <c r="T1029" t="e">
        <f t="shared" si="131"/>
        <v>#N/A</v>
      </c>
      <c r="U1029">
        <f t="shared" si="132"/>
        <v>11.6</v>
      </c>
      <c r="V1029">
        <f t="shared" si="133"/>
        <v>5</v>
      </c>
      <c r="W1029" t="e">
        <f t="shared" si="134"/>
        <v>#N/A</v>
      </c>
      <c r="X1029" t="e">
        <f t="shared" si="135"/>
        <v>#N/A</v>
      </c>
    </row>
    <row r="1030" spans="1:24" x14ac:dyDescent="0.3">
      <c r="A1030">
        <v>7.2</v>
      </c>
      <c r="B1030">
        <v>0.34</v>
      </c>
      <c r="C1030">
        <v>0.21</v>
      </c>
      <c r="D1030">
        <v>2.5</v>
      </c>
      <c r="E1030">
        <v>7.4999999999999997E-2</v>
      </c>
      <c r="F1030">
        <v>41</v>
      </c>
      <c r="G1030">
        <v>68</v>
      </c>
      <c r="H1030">
        <v>0.99586000000000008</v>
      </c>
      <c r="I1030">
        <v>3.37</v>
      </c>
      <c r="J1030">
        <v>0.54</v>
      </c>
      <c r="K1030">
        <v>10.1</v>
      </c>
      <c r="L1030">
        <v>6</v>
      </c>
      <c r="M1030" t="str">
        <f t="shared" si="128"/>
        <v>Medium</v>
      </c>
      <c r="N1030">
        <f>(winequality_red[[#This Row],[Updated Quality &amp; Alcohol Analysis]]+winequality_red[[#This Row],[volatile acidity]]+winequality_red[[#This Row],[citric acid]])</f>
        <v>7.75</v>
      </c>
      <c r="O1030">
        <f t="shared" si="129"/>
        <v>1.817821782178218E-2</v>
      </c>
      <c r="S1030" t="e">
        <f t="shared" si="130"/>
        <v>#N/A</v>
      </c>
      <c r="T1030" t="e">
        <f t="shared" si="131"/>
        <v>#N/A</v>
      </c>
      <c r="U1030">
        <f t="shared" si="132"/>
        <v>10.1</v>
      </c>
      <c r="V1030">
        <f t="shared" si="133"/>
        <v>6</v>
      </c>
      <c r="W1030" t="e">
        <f t="shared" si="134"/>
        <v>#N/A</v>
      </c>
      <c r="X1030" t="e">
        <f t="shared" si="135"/>
        <v>#N/A</v>
      </c>
    </row>
    <row r="1031" spans="1:24" x14ac:dyDescent="0.3">
      <c r="A1031">
        <v>7.7</v>
      </c>
      <c r="B1031">
        <v>0.57999999999999996</v>
      </c>
      <c r="C1031">
        <v>0.01</v>
      </c>
      <c r="D1031">
        <v>1.8</v>
      </c>
      <c r="E1031">
        <v>8.8000000000000009E-2</v>
      </c>
      <c r="F1031">
        <v>12</v>
      </c>
      <c r="G1031">
        <v>18</v>
      </c>
      <c r="H1031">
        <v>0.9956799999999999</v>
      </c>
      <c r="I1031">
        <v>3.32</v>
      </c>
      <c r="J1031">
        <v>0.56000000000000005</v>
      </c>
      <c r="K1031">
        <v>10.5</v>
      </c>
      <c r="L1031">
        <v>7</v>
      </c>
      <c r="M1031" t="str">
        <f t="shared" si="128"/>
        <v>High</v>
      </c>
      <c r="N1031">
        <f>(winequality_red[[#This Row],[Updated Quality &amp; Alcohol Analysis]]+winequality_red[[#This Row],[volatile acidity]]+winequality_red[[#This Row],[citric acid]])</f>
        <v>8.2899999999999991</v>
      </c>
      <c r="O1031">
        <f t="shared" si="129"/>
        <v>3.0933333333333337E-2</v>
      </c>
      <c r="S1031" t="e">
        <f t="shared" si="130"/>
        <v>#N/A</v>
      </c>
      <c r="T1031" t="e">
        <f t="shared" si="131"/>
        <v>#N/A</v>
      </c>
      <c r="U1031" t="e">
        <f t="shared" si="132"/>
        <v>#N/A</v>
      </c>
      <c r="V1031" t="e">
        <f t="shared" si="133"/>
        <v>#N/A</v>
      </c>
      <c r="W1031">
        <f t="shared" si="134"/>
        <v>10.5</v>
      </c>
      <c r="X1031">
        <f t="shared" si="135"/>
        <v>7</v>
      </c>
    </row>
    <row r="1032" spans="1:24" x14ac:dyDescent="0.3">
      <c r="A1032">
        <v>7.1</v>
      </c>
      <c r="B1032">
        <v>0.59</v>
      </c>
      <c r="C1032">
        <v>0</v>
      </c>
      <c r="D1032">
        <v>2.1</v>
      </c>
      <c r="E1032">
        <v>9.0999999999999998E-2</v>
      </c>
      <c r="F1032">
        <v>9</v>
      </c>
      <c r="G1032">
        <v>14</v>
      </c>
      <c r="H1032">
        <v>0.99487999999999988</v>
      </c>
      <c r="I1032">
        <v>3.42</v>
      </c>
      <c r="J1032">
        <v>0.55000000000000004</v>
      </c>
      <c r="K1032">
        <v>11.5</v>
      </c>
      <c r="L1032">
        <v>7</v>
      </c>
      <c r="M1032" t="str">
        <f t="shared" si="128"/>
        <v>High</v>
      </c>
      <c r="N1032">
        <f>(winequality_red[[#This Row],[Updated Quality &amp; Alcohol Analysis]]+winequality_red[[#This Row],[volatile acidity]]+winequality_red[[#This Row],[citric acid]])</f>
        <v>7.6899999999999995</v>
      </c>
      <c r="O1032">
        <f t="shared" si="129"/>
        <v>2.8217391304347826E-2</v>
      </c>
      <c r="S1032" t="e">
        <f t="shared" si="130"/>
        <v>#N/A</v>
      </c>
      <c r="T1032" t="e">
        <f t="shared" si="131"/>
        <v>#N/A</v>
      </c>
      <c r="U1032" t="e">
        <f t="shared" si="132"/>
        <v>#N/A</v>
      </c>
      <c r="V1032" t="e">
        <f t="shared" si="133"/>
        <v>#N/A</v>
      </c>
      <c r="W1032">
        <f t="shared" si="134"/>
        <v>11.5</v>
      </c>
      <c r="X1032">
        <f t="shared" si="135"/>
        <v>7</v>
      </c>
    </row>
    <row r="1033" spans="1:24" x14ac:dyDescent="0.3">
      <c r="A1033">
        <v>7.3</v>
      </c>
      <c r="B1033">
        <v>0.55000000000000004</v>
      </c>
      <c r="C1033">
        <v>0.01</v>
      </c>
      <c r="D1033">
        <v>1.8</v>
      </c>
      <c r="E1033">
        <v>9.3000000000000013E-2</v>
      </c>
      <c r="F1033">
        <v>9</v>
      </c>
      <c r="G1033">
        <v>15</v>
      </c>
      <c r="H1033">
        <v>0.99513999999999991</v>
      </c>
      <c r="I1033">
        <v>3.35</v>
      </c>
      <c r="J1033">
        <v>0.57999999999999996</v>
      </c>
      <c r="K1033">
        <v>11</v>
      </c>
      <c r="L1033">
        <v>7</v>
      </c>
      <c r="M1033" t="str">
        <f t="shared" si="128"/>
        <v>High</v>
      </c>
      <c r="N1033">
        <f>(winequality_red[[#This Row],[Updated Quality &amp; Alcohol Analysis]]+winequality_red[[#This Row],[volatile acidity]]+winequality_red[[#This Row],[citric acid]])</f>
        <v>7.8599999999999994</v>
      </c>
      <c r="O1033">
        <f t="shared" si="129"/>
        <v>2.9000000000000001E-2</v>
      </c>
      <c r="S1033" t="e">
        <f t="shared" si="130"/>
        <v>#N/A</v>
      </c>
      <c r="T1033" t="e">
        <f t="shared" si="131"/>
        <v>#N/A</v>
      </c>
      <c r="U1033" t="e">
        <f t="shared" si="132"/>
        <v>#N/A</v>
      </c>
      <c r="V1033" t="e">
        <f t="shared" si="133"/>
        <v>#N/A</v>
      </c>
      <c r="W1033">
        <f t="shared" si="134"/>
        <v>11</v>
      </c>
      <c r="X1033">
        <f t="shared" si="135"/>
        <v>7</v>
      </c>
    </row>
    <row r="1034" spans="1:24" x14ac:dyDescent="0.3">
      <c r="A1034">
        <v>8.1</v>
      </c>
      <c r="B1034">
        <v>0.82</v>
      </c>
      <c r="C1034">
        <v>0</v>
      </c>
      <c r="D1034">
        <v>4.0999999999999996</v>
      </c>
      <c r="E1034">
        <v>9.5000000000000001E-2</v>
      </c>
      <c r="F1034">
        <v>5</v>
      </c>
      <c r="G1034">
        <v>14</v>
      </c>
      <c r="H1034">
        <v>0.99853999999999998</v>
      </c>
      <c r="I1034">
        <v>3.36</v>
      </c>
      <c r="J1034">
        <v>0.53</v>
      </c>
      <c r="K1034">
        <v>9.6</v>
      </c>
      <c r="L1034">
        <v>5</v>
      </c>
      <c r="M1034" t="str">
        <f t="shared" si="128"/>
        <v>Medium</v>
      </c>
      <c r="N1034">
        <f>(winequality_red[[#This Row],[Updated Quality &amp; Alcohol Analysis]]+winequality_red[[#This Row],[volatile acidity]]+winequality_red[[#This Row],[citric acid]])</f>
        <v>8.92</v>
      </c>
      <c r="O1034">
        <f t="shared" si="129"/>
        <v>4.5270833333333337E-2</v>
      </c>
      <c r="S1034" t="e">
        <f t="shared" si="130"/>
        <v>#N/A</v>
      </c>
      <c r="T1034" t="e">
        <f t="shared" si="131"/>
        <v>#N/A</v>
      </c>
      <c r="U1034">
        <f t="shared" si="132"/>
        <v>9.6</v>
      </c>
      <c r="V1034">
        <f t="shared" si="133"/>
        <v>5</v>
      </c>
      <c r="W1034" t="e">
        <f t="shared" si="134"/>
        <v>#N/A</v>
      </c>
      <c r="X1034" t="e">
        <f t="shared" si="135"/>
        <v>#N/A</v>
      </c>
    </row>
    <row r="1035" spans="1:24" x14ac:dyDescent="0.3">
      <c r="A1035">
        <v>7.5</v>
      </c>
      <c r="B1035">
        <v>0.56999999999999995</v>
      </c>
      <c r="C1035">
        <v>0.08</v>
      </c>
      <c r="D1035">
        <v>2.6</v>
      </c>
      <c r="E1035">
        <v>8.900000000000001E-2</v>
      </c>
      <c r="F1035">
        <v>14</v>
      </c>
      <c r="G1035">
        <v>27</v>
      </c>
      <c r="H1035">
        <v>0.99592000000000003</v>
      </c>
      <c r="I1035">
        <v>3.3</v>
      </c>
      <c r="J1035">
        <v>0.59</v>
      </c>
      <c r="K1035">
        <v>10.4</v>
      </c>
      <c r="L1035">
        <v>6</v>
      </c>
      <c r="M1035" t="str">
        <f t="shared" si="128"/>
        <v>Medium</v>
      </c>
      <c r="N1035">
        <f>(winequality_red[[#This Row],[Updated Quality &amp; Alcohol Analysis]]+winequality_red[[#This Row],[volatile acidity]]+winequality_red[[#This Row],[citric acid]])</f>
        <v>8.15</v>
      </c>
      <c r="O1035">
        <f t="shared" si="129"/>
        <v>3.2336538461538451E-2</v>
      </c>
      <c r="S1035" t="e">
        <f t="shared" si="130"/>
        <v>#N/A</v>
      </c>
      <c r="T1035" t="e">
        <f t="shared" si="131"/>
        <v>#N/A</v>
      </c>
      <c r="U1035">
        <f t="shared" si="132"/>
        <v>10.4</v>
      </c>
      <c r="V1035">
        <f t="shared" si="133"/>
        <v>6</v>
      </c>
      <c r="W1035" t="e">
        <f t="shared" si="134"/>
        <v>#N/A</v>
      </c>
      <c r="X1035" t="e">
        <f t="shared" si="135"/>
        <v>#N/A</v>
      </c>
    </row>
    <row r="1036" spans="1:24" x14ac:dyDescent="0.3">
      <c r="A1036">
        <v>8.9</v>
      </c>
      <c r="B1036">
        <v>0.745</v>
      </c>
      <c r="C1036">
        <v>0.18</v>
      </c>
      <c r="D1036">
        <v>2.5</v>
      </c>
      <c r="E1036">
        <v>7.6999999999999999E-2</v>
      </c>
      <c r="F1036">
        <v>15</v>
      </c>
      <c r="G1036">
        <v>48</v>
      </c>
      <c r="H1036">
        <v>0.99739</v>
      </c>
      <c r="I1036">
        <v>3.2</v>
      </c>
      <c r="J1036">
        <v>0.47</v>
      </c>
      <c r="K1036">
        <v>9.6999999999999993</v>
      </c>
      <c r="L1036">
        <v>6</v>
      </c>
      <c r="M1036" t="str">
        <f t="shared" si="128"/>
        <v>Medium</v>
      </c>
      <c r="N1036">
        <f>(winequality_red[[#This Row],[Updated Quality &amp; Alcohol Analysis]]+winequality_red[[#This Row],[volatile acidity]]+winequality_red[[#This Row],[citric acid]])</f>
        <v>9.8249999999999993</v>
      </c>
      <c r="O1036">
        <f t="shared" si="129"/>
        <v>3.6097938144329898E-2</v>
      </c>
      <c r="S1036" t="e">
        <f t="shared" si="130"/>
        <v>#N/A</v>
      </c>
      <c r="T1036" t="e">
        <f t="shared" si="131"/>
        <v>#N/A</v>
      </c>
      <c r="U1036">
        <f t="shared" si="132"/>
        <v>9.6999999999999993</v>
      </c>
      <c r="V1036">
        <f t="shared" si="133"/>
        <v>6</v>
      </c>
      <c r="W1036" t="e">
        <f t="shared" si="134"/>
        <v>#N/A</v>
      </c>
      <c r="X1036" t="e">
        <f t="shared" si="135"/>
        <v>#N/A</v>
      </c>
    </row>
    <row r="1037" spans="1:24" x14ac:dyDescent="0.3">
      <c r="A1037">
        <v>10.1</v>
      </c>
      <c r="B1037">
        <v>0.37</v>
      </c>
      <c r="C1037">
        <v>0.34</v>
      </c>
      <c r="D1037">
        <v>2.4</v>
      </c>
      <c r="E1037">
        <v>8.5000000000000006E-2</v>
      </c>
      <c r="F1037">
        <v>5</v>
      </c>
      <c r="G1037">
        <v>17</v>
      </c>
      <c r="H1037">
        <v>0.99682999999999988</v>
      </c>
      <c r="I1037">
        <v>3.17</v>
      </c>
      <c r="J1037">
        <v>0.65</v>
      </c>
      <c r="K1037">
        <v>10.6</v>
      </c>
      <c r="L1037">
        <v>7</v>
      </c>
      <c r="M1037" t="str">
        <f t="shared" si="128"/>
        <v>High</v>
      </c>
      <c r="N1037">
        <f>(winequality_red[[#This Row],[Updated Quality &amp; Alcohol Analysis]]+winequality_red[[#This Row],[volatile acidity]]+winequality_red[[#This Row],[citric acid]])</f>
        <v>10.809999999999999</v>
      </c>
      <c r="O1037">
        <f t="shared" si="129"/>
        <v>2.2688679245283019E-2</v>
      </c>
      <c r="S1037" t="e">
        <f t="shared" si="130"/>
        <v>#N/A</v>
      </c>
      <c r="T1037" t="e">
        <f t="shared" si="131"/>
        <v>#N/A</v>
      </c>
      <c r="U1037" t="e">
        <f t="shared" si="132"/>
        <v>#N/A</v>
      </c>
      <c r="V1037" t="e">
        <f t="shared" si="133"/>
        <v>#N/A</v>
      </c>
      <c r="W1037">
        <f t="shared" si="134"/>
        <v>10.6</v>
      </c>
      <c r="X1037">
        <f t="shared" si="135"/>
        <v>7</v>
      </c>
    </row>
    <row r="1038" spans="1:24" x14ac:dyDescent="0.3">
      <c r="A1038">
        <v>7.6</v>
      </c>
      <c r="B1038">
        <v>0.31</v>
      </c>
      <c r="C1038">
        <v>0.34</v>
      </c>
      <c r="D1038">
        <v>2.5</v>
      </c>
      <c r="E1038">
        <v>8.199999999999999E-2</v>
      </c>
      <c r="F1038">
        <v>26</v>
      </c>
      <c r="G1038">
        <v>35</v>
      </c>
      <c r="H1038">
        <v>0.99356</v>
      </c>
      <c r="I1038">
        <v>3.22</v>
      </c>
      <c r="J1038">
        <v>0.59</v>
      </c>
      <c r="K1038">
        <v>12.5</v>
      </c>
      <c r="L1038">
        <v>7</v>
      </c>
      <c r="M1038" t="str">
        <f t="shared" si="128"/>
        <v>High</v>
      </c>
      <c r="N1038">
        <f>(winequality_red[[#This Row],[Updated Quality &amp; Alcohol Analysis]]+winequality_red[[#This Row],[volatile acidity]]+winequality_red[[#This Row],[citric acid]])</f>
        <v>8.25</v>
      </c>
      <c r="O1038">
        <f t="shared" si="129"/>
        <v>1.4631999999999999E-2</v>
      </c>
      <c r="S1038" t="e">
        <f t="shared" si="130"/>
        <v>#N/A</v>
      </c>
      <c r="T1038" t="e">
        <f t="shared" si="131"/>
        <v>#N/A</v>
      </c>
      <c r="U1038" t="e">
        <f t="shared" si="132"/>
        <v>#N/A</v>
      </c>
      <c r="V1038" t="e">
        <f t="shared" si="133"/>
        <v>#N/A</v>
      </c>
      <c r="W1038">
        <f t="shared" si="134"/>
        <v>12.5</v>
      </c>
      <c r="X1038">
        <f t="shared" si="135"/>
        <v>7</v>
      </c>
    </row>
    <row r="1039" spans="1:24" x14ac:dyDescent="0.3">
      <c r="A1039">
        <v>7.3</v>
      </c>
      <c r="B1039">
        <v>0.91</v>
      </c>
      <c r="C1039">
        <v>0.1</v>
      </c>
      <c r="D1039">
        <v>1.8</v>
      </c>
      <c r="E1039">
        <v>7.400000000000001E-2</v>
      </c>
      <c r="F1039">
        <v>20</v>
      </c>
      <c r="G1039">
        <v>56</v>
      </c>
      <c r="H1039">
        <v>0.99672000000000005</v>
      </c>
      <c r="I1039">
        <v>3.35</v>
      </c>
      <c r="J1039">
        <v>0.56000000000000005</v>
      </c>
      <c r="K1039">
        <v>9.1999999999999993</v>
      </c>
      <c r="L1039">
        <v>5</v>
      </c>
      <c r="M1039" t="str">
        <f t="shared" si="128"/>
        <v>Medium</v>
      </c>
      <c r="N1039">
        <f>(winequality_red[[#This Row],[Updated Quality &amp; Alcohol Analysis]]+winequality_red[[#This Row],[volatile acidity]]+winequality_red[[#This Row],[citric acid]])</f>
        <v>8.3099999999999987</v>
      </c>
      <c r="O1039">
        <f t="shared" si="129"/>
        <v>5.5391304347826097E-2</v>
      </c>
      <c r="S1039" t="e">
        <f t="shared" si="130"/>
        <v>#N/A</v>
      </c>
      <c r="T1039" t="e">
        <f t="shared" si="131"/>
        <v>#N/A</v>
      </c>
      <c r="U1039">
        <f t="shared" si="132"/>
        <v>9.1999999999999993</v>
      </c>
      <c r="V1039">
        <f t="shared" si="133"/>
        <v>5</v>
      </c>
      <c r="W1039" t="e">
        <f t="shared" si="134"/>
        <v>#N/A</v>
      </c>
      <c r="X1039" t="e">
        <f t="shared" si="135"/>
        <v>#N/A</v>
      </c>
    </row>
    <row r="1040" spans="1:24" x14ac:dyDescent="0.3">
      <c r="A1040">
        <v>8.6999999999999993</v>
      </c>
      <c r="B1040">
        <v>0.41</v>
      </c>
      <c r="C1040">
        <v>0.41</v>
      </c>
      <c r="D1040">
        <v>6.2</v>
      </c>
      <c r="E1040">
        <v>7.8E-2</v>
      </c>
      <c r="F1040">
        <v>25</v>
      </c>
      <c r="G1040">
        <v>42</v>
      </c>
      <c r="H1040">
        <v>0.99529999999999996</v>
      </c>
      <c r="I1040">
        <v>3.24</v>
      </c>
      <c r="J1040">
        <v>0.77</v>
      </c>
      <c r="K1040">
        <v>12.6</v>
      </c>
      <c r="L1040">
        <v>7</v>
      </c>
      <c r="M1040" t="str">
        <f t="shared" si="128"/>
        <v>High</v>
      </c>
      <c r="N1040">
        <f>(winequality_red[[#This Row],[Updated Quality &amp; Alcohol Analysis]]+winequality_red[[#This Row],[volatile acidity]]+winequality_red[[#This Row],[citric acid]])</f>
        <v>9.52</v>
      </c>
      <c r="O1040">
        <f t="shared" si="129"/>
        <v>2.5055555555555553E-2</v>
      </c>
      <c r="S1040" t="e">
        <f t="shared" si="130"/>
        <v>#N/A</v>
      </c>
      <c r="T1040" t="e">
        <f t="shared" si="131"/>
        <v>#N/A</v>
      </c>
      <c r="U1040" t="e">
        <f t="shared" si="132"/>
        <v>#N/A</v>
      </c>
      <c r="V1040" t="e">
        <f t="shared" si="133"/>
        <v>#N/A</v>
      </c>
      <c r="W1040">
        <f t="shared" si="134"/>
        <v>12.6</v>
      </c>
      <c r="X1040">
        <f t="shared" si="135"/>
        <v>7</v>
      </c>
    </row>
    <row r="1041" spans="1:24" x14ac:dyDescent="0.3">
      <c r="A1041">
        <v>8.9</v>
      </c>
      <c r="B1041">
        <v>0.5</v>
      </c>
      <c r="C1041">
        <v>0.21</v>
      </c>
      <c r="D1041">
        <v>2.2000000000000002</v>
      </c>
      <c r="E1041">
        <v>8.8000000000000009E-2</v>
      </c>
      <c r="F1041">
        <v>21</v>
      </c>
      <c r="G1041">
        <v>39</v>
      </c>
      <c r="H1041">
        <v>0.99692000000000003</v>
      </c>
      <c r="I1041">
        <v>3.33</v>
      </c>
      <c r="J1041">
        <v>0.83</v>
      </c>
      <c r="K1041">
        <v>11.1</v>
      </c>
      <c r="L1041">
        <v>6</v>
      </c>
      <c r="M1041" t="str">
        <f t="shared" si="128"/>
        <v>Medium</v>
      </c>
      <c r="N1041">
        <f>(winequality_red[[#This Row],[Updated Quality &amp; Alcohol Analysis]]+winequality_red[[#This Row],[volatile acidity]]+winequality_red[[#This Row],[citric acid]])</f>
        <v>9.6100000000000012</v>
      </c>
      <c r="O1041">
        <f t="shared" si="129"/>
        <v>3.7387387387387387E-2</v>
      </c>
      <c r="S1041" t="e">
        <f t="shared" si="130"/>
        <v>#N/A</v>
      </c>
      <c r="T1041" t="e">
        <f t="shared" si="131"/>
        <v>#N/A</v>
      </c>
      <c r="U1041">
        <f t="shared" si="132"/>
        <v>11.1</v>
      </c>
      <c r="V1041">
        <f t="shared" si="133"/>
        <v>6</v>
      </c>
      <c r="W1041" t="e">
        <f t="shared" si="134"/>
        <v>#N/A</v>
      </c>
      <c r="X1041" t="e">
        <f t="shared" si="135"/>
        <v>#N/A</v>
      </c>
    </row>
    <row r="1042" spans="1:24" x14ac:dyDescent="0.3">
      <c r="A1042">
        <v>7.4</v>
      </c>
      <c r="B1042">
        <v>0.96499999999999997</v>
      </c>
      <c r="C1042">
        <v>0</v>
      </c>
      <c r="D1042">
        <v>2.2000000000000002</v>
      </c>
      <c r="E1042">
        <v>8.8000000000000009E-2</v>
      </c>
      <c r="F1042">
        <v>16</v>
      </c>
      <c r="G1042">
        <v>32</v>
      </c>
      <c r="H1042">
        <v>0.99756</v>
      </c>
      <c r="I1042">
        <v>3.58</v>
      </c>
      <c r="J1042">
        <v>0.67</v>
      </c>
      <c r="K1042">
        <v>10.199999999999999</v>
      </c>
      <c r="L1042">
        <v>5</v>
      </c>
      <c r="M1042" t="str">
        <f t="shared" si="128"/>
        <v>Medium</v>
      </c>
      <c r="N1042">
        <f>(winequality_red[[#This Row],[Updated Quality &amp; Alcohol Analysis]]+winequality_red[[#This Row],[volatile acidity]]+winequality_red[[#This Row],[citric acid]])</f>
        <v>8.3650000000000002</v>
      </c>
      <c r="O1042">
        <f t="shared" si="129"/>
        <v>6.3387254901960802E-2</v>
      </c>
      <c r="S1042" t="e">
        <f t="shared" si="130"/>
        <v>#N/A</v>
      </c>
      <c r="T1042" t="e">
        <f t="shared" si="131"/>
        <v>#N/A</v>
      </c>
      <c r="U1042">
        <f t="shared" si="132"/>
        <v>10.199999999999999</v>
      </c>
      <c r="V1042">
        <f t="shared" si="133"/>
        <v>5</v>
      </c>
      <c r="W1042" t="e">
        <f t="shared" si="134"/>
        <v>#N/A</v>
      </c>
      <c r="X1042" t="e">
        <f t="shared" si="135"/>
        <v>#N/A</v>
      </c>
    </row>
    <row r="1043" spans="1:24" x14ac:dyDescent="0.3">
      <c r="A1043">
        <v>6.9</v>
      </c>
      <c r="B1043">
        <v>0.49</v>
      </c>
      <c r="C1043">
        <v>0.19</v>
      </c>
      <c r="D1043">
        <v>1.7</v>
      </c>
      <c r="E1043">
        <v>7.9000000000000001E-2</v>
      </c>
      <c r="F1043">
        <v>13</v>
      </c>
      <c r="G1043">
        <v>26</v>
      </c>
      <c r="H1043">
        <v>0.99547000000000008</v>
      </c>
      <c r="I1043">
        <v>3.38</v>
      </c>
      <c r="J1043">
        <v>0.64</v>
      </c>
      <c r="K1043">
        <v>9.8000000000000007</v>
      </c>
      <c r="L1043">
        <v>6</v>
      </c>
      <c r="M1043" t="str">
        <f t="shared" si="128"/>
        <v>Medium</v>
      </c>
      <c r="N1043">
        <f>(winequality_red[[#This Row],[Updated Quality &amp; Alcohol Analysis]]+winequality_red[[#This Row],[volatile acidity]]+winequality_red[[#This Row],[citric acid]])</f>
        <v>7.580000000000001</v>
      </c>
      <c r="O1043">
        <f t="shared" si="129"/>
        <v>3.1999999999999994E-2</v>
      </c>
      <c r="S1043" t="e">
        <f t="shared" si="130"/>
        <v>#N/A</v>
      </c>
      <c r="T1043" t="e">
        <f t="shared" si="131"/>
        <v>#N/A</v>
      </c>
      <c r="U1043">
        <f t="shared" si="132"/>
        <v>9.8000000000000007</v>
      </c>
      <c r="V1043">
        <f t="shared" si="133"/>
        <v>6</v>
      </c>
      <c r="W1043" t="e">
        <f t="shared" si="134"/>
        <v>#N/A</v>
      </c>
      <c r="X1043" t="e">
        <f t="shared" si="135"/>
        <v>#N/A</v>
      </c>
    </row>
    <row r="1044" spans="1:24" x14ac:dyDescent="0.3">
      <c r="A1044">
        <v>8.9</v>
      </c>
      <c r="B1044">
        <v>0.5</v>
      </c>
      <c r="C1044">
        <v>0.21</v>
      </c>
      <c r="D1044">
        <v>2.2000000000000002</v>
      </c>
      <c r="E1044">
        <v>8.8000000000000009E-2</v>
      </c>
      <c r="F1044">
        <v>21</v>
      </c>
      <c r="G1044">
        <v>39</v>
      </c>
      <c r="H1044">
        <v>0.99692000000000003</v>
      </c>
      <c r="I1044">
        <v>3.33</v>
      </c>
      <c r="J1044">
        <v>0.83</v>
      </c>
      <c r="K1044">
        <v>11.1</v>
      </c>
      <c r="L1044">
        <v>6</v>
      </c>
      <c r="M1044" t="str">
        <f t="shared" si="128"/>
        <v>Medium</v>
      </c>
      <c r="N1044">
        <f>(winequality_red[[#This Row],[Updated Quality &amp; Alcohol Analysis]]+winequality_red[[#This Row],[volatile acidity]]+winequality_red[[#This Row],[citric acid]])</f>
        <v>9.6100000000000012</v>
      </c>
      <c r="O1044">
        <f t="shared" si="129"/>
        <v>3.7387387387387387E-2</v>
      </c>
      <c r="S1044" t="e">
        <f t="shared" si="130"/>
        <v>#N/A</v>
      </c>
      <c r="T1044" t="e">
        <f t="shared" si="131"/>
        <v>#N/A</v>
      </c>
      <c r="U1044">
        <f t="shared" si="132"/>
        <v>11.1</v>
      </c>
      <c r="V1044">
        <f t="shared" si="133"/>
        <v>6</v>
      </c>
      <c r="W1044" t="e">
        <f t="shared" si="134"/>
        <v>#N/A</v>
      </c>
      <c r="X1044" t="e">
        <f t="shared" si="135"/>
        <v>#N/A</v>
      </c>
    </row>
    <row r="1045" spans="1:24" x14ac:dyDescent="0.3">
      <c r="A1045">
        <v>9.5</v>
      </c>
      <c r="B1045">
        <v>0.39</v>
      </c>
      <c r="C1045">
        <v>0.41</v>
      </c>
      <c r="D1045">
        <v>8.9</v>
      </c>
      <c r="E1045">
        <v>6.9000000000000006E-2</v>
      </c>
      <c r="F1045">
        <v>18</v>
      </c>
      <c r="G1045">
        <v>39</v>
      </c>
      <c r="H1045">
        <v>0.99858999999999998</v>
      </c>
      <c r="I1045">
        <v>3.29</v>
      </c>
      <c r="J1045">
        <v>0.81</v>
      </c>
      <c r="K1045">
        <v>10.9</v>
      </c>
      <c r="L1045">
        <v>7</v>
      </c>
      <c r="M1045" t="str">
        <f t="shared" si="128"/>
        <v>High</v>
      </c>
      <c r="N1045">
        <f>(winequality_red[[#This Row],[Updated Quality &amp; Alcohol Analysis]]+winequality_red[[#This Row],[volatile acidity]]+winequality_red[[#This Row],[citric acid]])</f>
        <v>10.3</v>
      </c>
      <c r="O1045">
        <f t="shared" si="129"/>
        <v>2.8981651376146788E-2</v>
      </c>
      <c r="S1045" t="e">
        <f t="shared" si="130"/>
        <v>#N/A</v>
      </c>
      <c r="T1045" t="e">
        <f t="shared" si="131"/>
        <v>#N/A</v>
      </c>
      <c r="U1045" t="e">
        <f t="shared" si="132"/>
        <v>#N/A</v>
      </c>
      <c r="V1045" t="e">
        <f t="shared" si="133"/>
        <v>#N/A</v>
      </c>
      <c r="W1045">
        <f t="shared" si="134"/>
        <v>10.9</v>
      </c>
      <c r="X1045">
        <f t="shared" si="135"/>
        <v>7</v>
      </c>
    </row>
    <row r="1046" spans="1:24" x14ac:dyDescent="0.3">
      <c r="A1046">
        <v>6.4</v>
      </c>
      <c r="B1046">
        <v>0.39</v>
      </c>
      <c r="C1046">
        <v>0.33</v>
      </c>
      <c r="D1046">
        <v>3.3</v>
      </c>
      <c r="E1046">
        <v>4.5999999999999999E-2</v>
      </c>
      <c r="F1046">
        <v>12</v>
      </c>
      <c r="G1046">
        <v>53</v>
      </c>
      <c r="H1046">
        <v>0.99293999999999993</v>
      </c>
      <c r="I1046">
        <v>3.36</v>
      </c>
      <c r="J1046">
        <v>0.62</v>
      </c>
      <c r="K1046">
        <v>12.2</v>
      </c>
      <c r="L1046">
        <v>6</v>
      </c>
      <c r="M1046" t="str">
        <f t="shared" si="128"/>
        <v>Medium</v>
      </c>
      <c r="N1046">
        <f>(winequality_red[[#This Row],[Updated Quality &amp; Alcohol Analysis]]+winequality_red[[#This Row],[volatile acidity]]+winequality_red[[#This Row],[citric acid]])</f>
        <v>7.12</v>
      </c>
      <c r="O1046">
        <f t="shared" si="129"/>
        <v>1.9819672131147544E-2</v>
      </c>
      <c r="S1046" t="e">
        <f t="shared" si="130"/>
        <v>#N/A</v>
      </c>
      <c r="T1046" t="e">
        <f t="shared" si="131"/>
        <v>#N/A</v>
      </c>
      <c r="U1046">
        <f t="shared" si="132"/>
        <v>12.2</v>
      </c>
      <c r="V1046">
        <f t="shared" si="133"/>
        <v>6</v>
      </c>
      <c r="W1046" t="e">
        <f t="shared" si="134"/>
        <v>#N/A</v>
      </c>
      <c r="X1046" t="e">
        <f t="shared" si="135"/>
        <v>#N/A</v>
      </c>
    </row>
    <row r="1047" spans="1:24" x14ac:dyDescent="0.3">
      <c r="A1047">
        <v>6.9</v>
      </c>
      <c r="B1047">
        <v>0.44</v>
      </c>
      <c r="C1047">
        <v>0</v>
      </c>
      <c r="D1047">
        <v>1.4</v>
      </c>
      <c r="E1047">
        <v>7.0000000000000007E-2</v>
      </c>
      <c r="F1047">
        <v>32</v>
      </c>
      <c r="G1047">
        <v>38</v>
      </c>
      <c r="H1047">
        <v>0.99437999999999993</v>
      </c>
      <c r="I1047">
        <v>3.32</v>
      </c>
      <c r="J1047">
        <v>0.57999999999999996</v>
      </c>
      <c r="K1047">
        <v>11.4</v>
      </c>
      <c r="L1047">
        <v>6</v>
      </c>
      <c r="M1047" t="str">
        <f t="shared" si="128"/>
        <v>Medium</v>
      </c>
      <c r="N1047">
        <f>(winequality_red[[#This Row],[Updated Quality &amp; Alcohol Analysis]]+winequality_red[[#This Row],[volatile acidity]]+winequality_red[[#This Row],[citric acid]])</f>
        <v>7.3400000000000007</v>
      </c>
      <c r="O1047">
        <f t="shared" si="129"/>
        <v>2.23859649122807E-2</v>
      </c>
      <c r="S1047" t="e">
        <f t="shared" si="130"/>
        <v>#N/A</v>
      </c>
      <c r="T1047" t="e">
        <f t="shared" si="131"/>
        <v>#N/A</v>
      </c>
      <c r="U1047">
        <f t="shared" si="132"/>
        <v>11.4</v>
      </c>
      <c r="V1047">
        <f t="shared" si="133"/>
        <v>6</v>
      </c>
      <c r="W1047" t="e">
        <f t="shared" si="134"/>
        <v>#N/A</v>
      </c>
      <c r="X1047" t="e">
        <f t="shared" si="135"/>
        <v>#N/A</v>
      </c>
    </row>
    <row r="1048" spans="1:24" x14ac:dyDescent="0.3">
      <c r="A1048">
        <v>7.6</v>
      </c>
      <c r="B1048">
        <v>0.78</v>
      </c>
      <c r="C1048">
        <v>0</v>
      </c>
      <c r="D1048">
        <v>1.7</v>
      </c>
      <c r="E1048">
        <v>7.5999999999999998E-2</v>
      </c>
      <c r="F1048">
        <v>33</v>
      </c>
      <c r="G1048">
        <v>45</v>
      </c>
      <c r="H1048">
        <v>0.99612000000000012</v>
      </c>
      <c r="I1048">
        <v>3.31</v>
      </c>
      <c r="J1048">
        <v>0.62</v>
      </c>
      <c r="K1048">
        <v>10.7</v>
      </c>
      <c r="L1048">
        <v>6</v>
      </c>
      <c r="M1048" t="str">
        <f t="shared" si="128"/>
        <v>Medium</v>
      </c>
      <c r="N1048">
        <f>(winequality_red[[#This Row],[Updated Quality &amp; Alcohol Analysis]]+winequality_red[[#This Row],[volatile acidity]]+winequality_red[[#This Row],[citric acid]])</f>
        <v>8.379999999999999</v>
      </c>
      <c r="O1048">
        <f t="shared" si="129"/>
        <v>4.5196261682243E-2</v>
      </c>
      <c r="S1048" t="e">
        <f t="shared" si="130"/>
        <v>#N/A</v>
      </c>
      <c r="T1048" t="e">
        <f t="shared" si="131"/>
        <v>#N/A</v>
      </c>
      <c r="U1048">
        <f t="shared" si="132"/>
        <v>10.7</v>
      </c>
      <c r="V1048">
        <f t="shared" si="133"/>
        <v>6</v>
      </c>
      <c r="W1048" t="e">
        <f t="shared" si="134"/>
        <v>#N/A</v>
      </c>
      <c r="X1048" t="e">
        <f t="shared" si="135"/>
        <v>#N/A</v>
      </c>
    </row>
    <row r="1049" spans="1:24" x14ac:dyDescent="0.3">
      <c r="A1049">
        <v>7.1</v>
      </c>
      <c r="B1049">
        <v>0.43</v>
      </c>
      <c r="C1049">
        <v>0.17</v>
      </c>
      <c r="D1049">
        <v>1.8</v>
      </c>
      <c r="E1049">
        <v>8.199999999999999E-2</v>
      </c>
      <c r="F1049">
        <v>27</v>
      </c>
      <c r="G1049">
        <v>51</v>
      </c>
      <c r="H1049">
        <v>0.99634</v>
      </c>
      <c r="I1049">
        <v>3.49</v>
      </c>
      <c r="J1049">
        <v>0.64</v>
      </c>
      <c r="K1049">
        <v>10.4</v>
      </c>
      <c r="L1049">
        <v>5</v>
      </c>
      <c r="M1049" t="str">
        <f t="shared" si="128"/>
        <v>Medium</v>
      </c>
      <c r="N1049">
        <f>(winequality_red[[#This Row],[Updated Quality &amp; Alcohol Analysis]]+winequality_red[[#This Row],[volatile acidity]]+winequality_red[[#This Row],[citric acid]])</f>
        <v>7.6999999999999993</v>
      </c>
      <c r="O1049">
        <f t="shared" si="129"/>
        <v>2.646153846153846E-2</v>
      </c>
      <c r="S1049" t="e">
        <f t="shared" si="130"/>
        <v>#N/A</v>
      </c>
      <c r="T1049" t="e">
        <f t="shared" si="131"/>
        <v>#N/A</v>
      </c>
      <c r="U1049">
        <f t="shared" si="132"/>
        <v>10.4</v>
      </c>
      <c r="V1049">
        <f t="shared" si="133"/>
        <v>5</v>
      </c>
      <c r="W1049" t="e">
        <f t="shared" si="134"/>
        <v>#N/A</v>
      </c>
      <c r="X1049" t="e">
        <f t="shared" si="135"/>
        <v>#N/A</v>
      </c>
    </row>
    <row r="1050" spans="1:24" x14ac:dyDescent="0.3">
      <c r="A1050">
        <v>9.3000000000000007</v>
      </c>
      <c r="B1050">
        <v>0.49</v>
      </c>
      <c r="C1050">
        <v>0.36</v>
      </c>
      <c r="D1050">
        <v>1.7</v>
      </c>
      <c r="E1050">
        <v>8.1000000000000003E-2</v>
      </c>
      <c r="F1050">
        <v>3</v>
      </c>
      <c r="G1050">
        <v>14</v>
      </c>
      <c r="H1050">
        <v>0.99702000000000002</v>
      </c>
      <c r="I1050">
        <v>3.27</v>
      </c>
      <c r="J1050">
        <v>0.78</v>
      </c>
      <c r="K1050">
        <v>10.9</v>
      </c>
      <c r="L1050">
        <v>6</v>
      </c>
      <c r="M1050" t="str">
        <f t="shared" si="128"/>
        <v>Medium</v>
      </c>
      <c r="N1050">
        <f>(winequality_red[[#This Row],[Updated Quality &amp; Alcohol Analysis]]+winequality_red[[#This Row],[volatile acidity]]+winequality_red[[#This Row],[citric acid]])</f>
        <v>10.15</v>
      </c>
      <c r="O1050">
        <f t="shared" si="129"/>
        <v>3.5064220183486233E-2</v>
      </c>
      <c r="S1050" t="e">
        <f t="shared" si="130"/>
        <v>#N/A</v>
      </c>
      <c r="T1050" t="e">
        <f t="shared" si="131"/>
        <v>#N/A</v>
      </c>
      <c r="U1050">
        <f t="shared" si="132"/>
        <v>10.9</v>
      </c>
      <c r="V1050">
        <f t="shared" si="133"/>
        <v>6</v>
      </c>
      <c r="W1050" t="e">
        <f t="shared" si="134"/>
        <v>#N/A</v>
      </c>
      <c r="X1050" t="e">
        <f t="shared" si="135"/>
        <v>#N/A</v>
      </c>
    </row>
    <row r="1051" spans="1:24" x14ac:dyDescent="0.3">
      <c r="A1051">
        <v>9.3000000000000007</v>
      </c>
      <c r="B1051">
        <v>0.5</v>
      </c>
      <c r="C1051">
        <v>0.36</v>
      </c>
      <c r="D1051">
        <v>1.8</v>
      </c>
      <c r="E1051">
        <v>8.4000000000000005E-2</v>
      </c>
      <c r="F1051">
        <v>6</v>
      </c>
      <c r="G1051">
        <v>17</v>
      </c>
      <c r="H1051">
        <v>0.99703999999999993</v>
      </c>
      <c r="I1051">
        <v>3.27</v>
      </c>
      <c r="J1051">
        <v>0.77</v>
      </c>
      <c r="K1051">
        <v>10.8</v>
      </c>
      <c r="L1051">
        <v>6</v>
      </c>
      <c r="M1051" t="str">
        <f t="shared" si="128"/>
        <v>Medium</v>
      </c>
      <c r="N1051">
        <f>(winequality_red[[#This Row],[Updated Quality &amp; Alcohol Analysis]]+winequality_red[[#This Row],[volatile acidity]]+winequality_red[[#This Row],[citric acid]])</f>
        <v>10.16</v>
      </c>
      <c r="O1051">
        <f t="shared" si="129"/>
        <v>3.5648148148148144E-2</v>
      </c>
      <c r="S1051" t="e">
        <f t="shared" si="130"/>
        <v>#N/A</v>
      </c>
      <c r="T1051" t="e">
        <f t="shared" si="131"/>
        <v>#N/A</v>
      </c>
      <c r="U1051">
        <f t="shared" si="132"/>
        <v>10.8</v>
      </c>
      <c r="V1051">
        <f t="shared" si="133"/>
        <v>6</v>
      </c>
      <c r="W1051" t="e">
        <f t="shared" si="134"/>
        <v>#N/A</v>
      </c>
      <c r="X1051" t="e">
        <f t="shared" si="135"/>
        <v>#N/A</v>
      </c>
    </row>
    <row r="1052" spans="1:24" x14ac:dyDescent="0.3">
      <c r="A1052">
        <v>7.1</v>
      </c>
      <c r="B1052">
        <v>0.43</v>
      </c>
      <c r="C1052">
        <v>0.17</v>
      </c>
      <c r="D1052">
        <v>1.8</v>
      </c>
      <c r="E1052">
        <v>8.199999999999999E-2</v>
      </c>
      <c r="F1052">
        <v>27</v>
      </c>
      <c r="G1052">
        <v>51</v>
      </c>
      <c r="H1052">
        <v>0.99634</v>
      </c>
      <c r="I1052">
        <v>3.49</v>
      </c>
      <c r="J1052">
        <v>0.64</v>
      </c>
      <c r="K1052">
        <v>10.4</v>
      </c>
      <c r="L1052">
        <v>5</v>
      </c>
      <c r="M1052" t="str">
        <f t="shared" si="128"/>
        <v>Medium</v>
      </c>
      <c r="N1052">
        <f>(winequality_red[[#This Row],[Updated Quality &amp; Alcohol Analysis]]+winequality_red[[#This Row],[volatile acidity]]+winequality_red[[#This Row],[citric acid]])</f>
        <v>7.6999999999999993</v>
      </c>
      <c r="O1052">
        <f t="shared" si="129"/>
        <v>2.646153846153846E-2</v>
      </c>
      <c r="S1052" t="e">
        <f t="shared" si="130"/>
        <v>#N/A</v>
      </c>
      <c r="T1052" t="e">
        <f t="shared" si="131"/>
        <v>#N/A</v>
      </c>
      <c r="U1052">
        <f t="shared" si="132"/>
        <v>10.4</v>
      </c>
      <c r="V1052">
        <f t="shared" si="133"/>
        <v>5</v>
      </c>
      <c r="W1052" t="e">
        <f t="shared" si="134"/>
        <v>#N/A</v>
      </c>
      <c r="X1052" t="e">
        <f t="shared" si="135"/>
        <v>#N/A</v>
      </c>
    </row>
    <row r="1053" spans="1:24" x14ac:dyDescent="0.3">
      <c r="A1053">
        <v>8.5</v>
      </c>
      <c r="B1053">
        <v>0.46</v>
      </c>
      <c r="C1053">
        <v>0.59</v>
      </c>
      <c r="D1053">
        <v>1.4</v>
      </c>
      <c r="E1053">
        <v>0.41399999999999998</v>
      </c>
      <c r="F1053">
        <v>16</v>
      </c>
      <c r="G1053">
        <v>45</v>
      </c>
      <c r="H1053">
        <v>0.99702000000000002</v>
      </c>
      <c r="I1053">
        <v>3.03</v>
      </c>
      <c r="J1053">
        <v>1.34</v>
      </c>
      <c r="K1053">
        <v>9.1999999999999993</v>
      </c>
      <c r="L1053">
        <v>5</v>
      </c>
      <c r="M1053" t="str">
        <f t="shared" si="128"/>
        <v>Medium</v>
      </c>
      <c r="N1053">
        <f>(winequality_red[[#This Row],[Updated Quality &amp; Alcohol Analysis]]+winequality_red[[#This Row],[volatile acidity]]+winequality_red[[#This Row],[citric acid]])</f>
        <v>9.5500000000000007</v>
      </c>
      <c r="O1053">
        <f t="shared" si="129"/>
        <v>6.7000000000000018E-2</v>
      </c>
      <c r="S1053" t="e">
        <f t="shared" si="130"/>
        <v>#N/A</v>
      </c>
      <c r="T1053" t="e">
        <f t="shared" si="131"/>
        <v>#N/A</v>
      </c>
      <c r="U1053">
        <f t="shared" si="132"/>
        <v>9.1999999999999993</v>
      </c>
      <c r="V1053">
        <f t="shared" si="133"/>
        <v>5</v>
      </c>
      <c r="W1053" t="e">
        <f t="shared" si="134"/>
        <v>#N/A</v>
      </c>
      <c r="X1053" t="e">
        <f t="shared" si="135"/>
        <v>#N/A</v>
      </c>
    </row>
    <row r="1054" spans="1:24" x14ac:dyDescent="0.3">
      <c r="A1054">
        <v>5.6</v>
      </c>
      <c r="B1054">
        <v>0.60499999999999998</v>
      </c>
      <c r="C1054">
        <v>0.05</v>
      </c>
      <c r="D1054">
        <v>2.4</v>
      </c>
      <c r="E1054">
        <v>7.2999999999999995E-2</v>
      </c>
      <c r="F1054">
        <v>19</v>
      </c>
      <c r="G1054">
        <v>25</v>
      </c>
      <c r="H1054">
        <v>0.99257999999999991</v>
      </c>
      <c r="I1054">
        <v>3.56</v>
      </c>
      <c r="J1054">
        <v>0.55000000000000004</v>
      </c>
      <c r="K1054">
        <v>12.9</v>
      </c>
      <c r="L1054">
        <v>5</v>
      </c>
      <c r="M1054" t="str">
        <f t="shared" si="128"/>
        <v>Medium</v>
      </c>
      <c r="N1054">
        <f>(winequality_red[[#This Row],[Updated Quality &amp; Alcohol Analysis]]+winequality_red[[#This Row],[volatile acidity]]+winequality_red[[#This Row],[citric acid]])</f>
        <v>6.2549999999999999</v>
      </c>
      <c r="O1054">
        <f t="shared" si="129"/>
        <v>2.579457364341085E-2</v>
      </c>
      <c r="S1054" t="e">
        <f t="shared" si="130"/>
        <v>#N/A</v>
      </c>
      <c r="T1054" t="e">
        <f t="shared" si="131"/>
        <v>#N/A</v>
      </c>
      <c r="U1054">
        <f t="shared" si="132"/>
        <v>12.9</v>
      </c>
      <c r="V1054">
        <f t="shared" si="133"/>
        <v>5</v>
      </c>
      <c r="W1054" t="e">
        <f t="shared" si="134"/>
        <v>#N/A</v>
      </c>
      <c r="X1054" t="e">
        <f t="shared" si="135"/>
        <v>#N/A</v>
      </c>
    </row>
    <row r="1055" spans="1:24" x14ac:dyDescent="0.3">
      <c r="A1055">
        <v>8.3000000000000007</v>
      </c>
      <c r="B1055">
        <v>0.33</v>
      </c>
      <c r="C1055">
        <v>0.42</v>
      </c>
      <c r="D1055">
        <v>2.2999999999999998</v>
      </c>
      <c r="E1055">
        <v>7.0000000000000007E-2</v>
      </c>
      <c r="F1055">
        <v>9</v>
      </c>
      <c r="G1055">
        <v>20</v>
      </c>
      <c r="H1055">
        <v>0.99426000000000003</v>
      </c>
      <c r="I1055">
        <v>3.38</v>
      </c>
      <c r="J1055">
        <v>0.77</v>
      </c>
      <c r="K1055">
        <v>12.7</v>
      </c>
      <c r="L1055">
        <v>7</v>
      </c>
      <c r="M1055" t="str">
        <f t="shared" si="128"/>
        <v>High</v>
      </c>
      <c r="N1055">
        <f>(winequality_red[[#This Row],[Updated Quality &amp; Alcohol Analysis]]+winequality_red[[#This Row],[volatile acidity]]+winequality_red[[#This Row],[citric acid]])</f>
        <v>9.0500000000000007</v>
      </c>
      <c r="O1055">
        <f t="shared" si="129"/>
        <v>2.0007874015748033E-2</v>
      </c>
      <c r="S1055" t="e">
        <f t="shared" si="130"/>
        <v>#N/A</v>
      </c>
      <c r="T1055" t="e">
        <f t="shared" si="131"/>
        <v>#N/A</v>
      </c>
      <c r="U1055" t="e">
        <f t="shared" si="132"/>
        <v>#N/A</v>
      </c>
      <c r="V1055" t="e">
        <f t="shared" si="133"/>
        <v>#N/A</v>
      </c>
      <c r="W1055">
        <f t="shared" si="134"/>
        <v>12.7</v>
      </c>
      <c r="X1055">
        <f t="shared" si="135"/>
        <v>7</v>
      </c>
    </row>
    <row r="1056" spans="1:24" x14ac:dyDescent="0.3">
      <c r="A1056">
        <v>8.1999999999999993</v>
      </c>
      <c r="B1056">
        <v>0.64</v>
      </c>
      <c r="C1056">
        <v>0.27</v>
      </c>
      <c r="D1056">
        <v>2</v>
      </c>
      <c r="E1056">
        <v>9.5000000000000001E-2</v>
      </c>
      <c r="F1056">
        <v>5</v>
      </c>
      <c r="G1056">
        <v>77</v>
      </c>
      <c r="H1056">
        <v>0.99747000000000008</v>
      </c>
      <c r="I1056">
        <v>3.13</v>
      </c>
      <c r="J1056">
        <v>0.62</v>
      </c>
      <c r="K1056">
        <v>9.1</v>
      </c>
      <c r="L1056">
        <v>6</v>
      </c>
      <c r="M1056" t="str">
        <f t="shared" si="128"/>
        <v>Medium</v>
      </c>
      <c r="N1056">
        <f>(winequality_red[[#This Row],[Updated Quality &amp; Alcohol Analysis]]+winequality_red[[#This Row],[volatile acidity]]+winequality_red[[#This Row],[citric acid]])</f>
        <v>9.11</v>
      </c>
      <c r="O1056">
        <f t="shared" si="129"/>
        <v>4.3604395604395607E-2</v>
      </c>
      <c r="S1056" t="e">
        <f t="shared" si="130"/>
        <v>#N/A</v>
      </c>
      <c r="T1056" t="e">
        <f t="shared" si="131"/>
        <v>#N/A</v>
      </c>
      <c r="U1056">
        <f t="shared" si="132"/>
        <v>9.1</v>
      </c>
      <c r="V1056">
        <f t="shared" si="133"/>
        <v>6</v>
      </c>
      <c r="W1056" t="e">
        <f t="shared" si="134"/>
        <v>#N/A</v>
      </c>
      <c r="X1056" t="e">
        <f t="shared" si="135"/>
        <v>#N/A</v>
      </c>
    </row>
    <row r="1057" spans="1:24" x14ac:dyDescent="0.3">
      <c r="A1057">
        <v>8.1999999999999993</v>
      </c>
      <c r="B1057">
        <v>0.64</v>
      </c>
      <c r="C1057">
        <v>0.27</v>
      </c>
      <c r="D1057">
        <v>2</v>
      </c>
      <c r="E1057">
        <v>9.5000000000000001E-2</v>
      </c>
      <c r="F1057">
        <v>5</v>
      </c>
      <c r="G1057">
        <v>77</v>
      </c>
      <c r="H1057">
        <v>0.99747000000000008</v>
      </c>
      <c r="I1057">
        <v>3.13</v>
      </c>
      <c r="J1057">
        <v>0.62</v>
      </c>
      <c r="K1057">
        <v>9.1</v>
      </c>
      <c r="L1057">
        <v>6</v>
      </c>
      <c r="M1057" t="str">
        <f t="shared" si="128"/>
        <v>Medium</v>
      </c>
      <c r="N1057">
        <f>(winequality_red[[#This Row],[Updated Quality &amp; Alcohol Analysis]]+winequality_red[[#This Row],[volatile acidity]]+winequality_red[[#This Row],[citric acid]])</f>
        <v>9.11</v>
      </c>
      <c r="O1057">
        <f t="shared" si="129"/>
        <v>4.3604395604395607E-2</v>
      </c>
      <c r="S1057" t="e">
        <f t="shared" si="130"/>
        <v>#N/A</v>
      </c>
      <c r="T1057" t="e">
        <f t="shared" si="131"/>
        <v>#N/A</v>
      </c>
      <c r="U1057">
        <f t="shared" si="132"/>
        <v>9.1</v>
      </c>
      <c r="V1057">
        <f t="shared" si="133"/>
        <v>6</v>
      </c>
      <c r="W1057" t="e">
        <f t="shared" si="134"/>
        <v>#N/A</v>
      </c>
      <c r="X1057" t="e">
        <f t="shared" si="135"/>
        <v>#N/A</v>
      </c>
    </row>
    <row r="1058" spans="1:24" x14ac:dyDescent="0.3">
      <c r="A1058">
        <v>8.9</v>
      </c>
      <c r="B1058">
        <v>0.48</v>
      </c>
      <c r="C1058">
        <v>0.53</v>
      </c>
      <c r="D1058">
        <v>4</v>
      </c>
      <c r="E1058">
        <v>0.10099999999999999</v>
      </c>
      <c r="F1058">
        <v>3</v>
      </c>
      <c r="G1058">
        <v>10</v>
      </c>
      <c r="H1058">
        <v>0.99586000000000008</v>
      </c>
      <c r="I1058">
        <v>3.21</v>
      </c>
      <c r="J1058">
        <v>0.59</v>
      </c>
      <c r="K1058">
        <v>12.1</v>
      </c>
      <c r="L1058">
        <v>7</v>
      </c>
      <c r="M1058" t="str">
        <f t="shared" si="128"/>
        <v>High</v>
      </c>
      <c r="N1058">
        <f>(winequality_red[[#This Row],[Updated Quality &amp; Alcohol Analysis]]+winequality_red[[#This Row],[volatile acidity]]+winequality_red[[#This Row],[citric acid]])</f>
        <v>9.91</v>
      </c>
      <c r="O1058">
        <f t="shared" si="129"/>
        <v>2.3404958677685946E-2</v>
      </c>
      <c r="S1058" t="e">
        <f t="shared" si="130"/>
        <v>#N/A</v>
      </c>
      <c r="T1058" t="e">
        <f t="shared" si="131"/>
        <v>#N/A</v>
      </c>
      <c r="U1058" t="e">
        <f t="shared" si="132"/>
        <v>#N/A</v>
      </c>
      <c r="V1058" t="e">
        <f t="shared" si="133"/>
        <v>#N/A</v>
      </c>
      <c r="W1058">
        <f t="shared" si="134"/>
        <v>12.1</v>
      </c>
      <c r="X1058">
        <f t="shared" si="135"/>
        <v>7</v>
      </c>
    </row>
    <row r="1059" spans="1:24" x14ac:dyDescent="0.3">
      <c r="A1059">
        <v>7.6</v>
      </c>
      <c r="B1059">
        <v>0.42</v>
      </c>
      <c r="C1059">
        <v>0.25</v>
      </c>
      <c r="D1059">
        <v>3.9</v>
      </c>
      <c r="E1059">
        <v>0.10400000000000001</v>
      </c>
      <c r="F1059">
        <v>28</v>
      </c>
      <c r="G1059">
        <v>90</v>
      </c>
      <c r="H1059">
        <v>0.99783999999999995</v>
      </c>
      <c r="I1059">
        <v>3.15</v>
      </c>
      <c r="J1059">
        <v>0.56999999999999995</v>
      </c>
      <c r="K1059">
        <v>9.1</v>
      </c>
      <c r="L1059">
        <v>5</v>
      </c>
      <c r="M1059" t="str">
        <f t="shared" si="128"/>
        <v>Medium</v>
      </c>
      <c r="N1059">
        <f>(winequality_red[[#This Row],[Updated Quality &amp; Alcohol Analysis]]+winequality_red[[#This Row],[volatile acidity]]+winequality_red[[#This Row],[citric acid]])</f>
        <v>8.27</v>
      </c>
      <c r="O1059">
        <f t="shared" si="129"/>
        <v>2.6307692307692306E-2</v>
      </c>
      <c r="S1059" t="e">
        <f t="shared" si="130"/>
        <v>#N/A</v>
      </c>
      <c r="T1059" t="e">
        <f t="shared" si="131"/>
        <v>#N/A</v>
      </c>
      <c r="U1059">
        <f t="shared" si="132"/>
        <v>9.1</v>
      </c>
      <c r="V1059">
        <f t="shared" si="133"/>
        <v>5</v>
      </c>
      <c r="W1059" t="e">
        <f t="shared" si="134"/>
        <v>#N/A</v>
      </c>
      <c r="X1059" t="e">
        <f t="shared" si="135"/>
        <v>#N/A</v>
      </c>
    </row>
    <row r="1060" spans="1:24" x14ac:dyDescent="0.3">
      <c r="A1060">
        <v>9.9</v>
      </c>
      <c r="B1060">
        <v>0.53</v>
      </c>
      <c r="C1060">
        <v>0.56999999999999995</v>
      </c>
      <c r="D1060">
        <v>2.4</v>
      </c>
      <c r="E1060">
        <v>9.3000000000000013E-2</v>
      </c>
      <c r="F1060">
        <v>30</v>
      </c>
      <c r="G1060">
        <v>52</v>
      </c>
      <c r="H1060">
        <v>0.99709999999999999</v>
      </c>
      <c r="I1060">
        <v>3.19</v>
      </c>
      <c r="J1060">
        <v>0.76</v>
      </c>
      <c r="K1060">
        <v>11.6</v>
      </c>
      <c r="L1060">
        <v>7</v>
      </c>
      <c r="M1060" t="str">
        <f t="shared" si="128"/>
        <v>High</v>
      </c>
      <c r="N1060">
        <f>(winequality_red[[#This Row],[Updated Quality &amp; Alcohol Analysis]]+winequality_red[[#This Row],[volatile acidity]]+winequality_red[[#This Row],[citric acid]])</f>
        <v>11</v>
      </c>
      <c r="O1060">
        <f t="shared" si="129"/>
        <v>3.4724137931034488E-2</v>
      </c>
      <c r="S1060" t="e">
        <f t="shared" si="130"/>
        <v>#N/A</v>
      </c>
      <c r="T1060" t="e">
        <f t="shared" si="131"/>
        <v>#N/A</v>
      </c>
      <c r="U1060" t="e">
        <f t="shared" si="132"/>
        <v>#N/A</v>
      </c>
      <c r="V1060" t="e">
        <f t="shared" si="133"/>
        <v>#N/A</v>
      </c>
      <c r="W1060">
        <f t="shared" si="134"/>
        <v>11.6</v>
      </c>
      <c r="X1060">
        <f t="shared" si="135"/>
        <v>7</v>
      </c>
    </row>
    <row r="1061" spans="1:24" x14ac:dyDescent="0.3">
      <c r="A1061">
        <v>8.9</v>
      </c>
      <c r="B1061">
        <v>0.48</v>
      </c>
      <c r="C1061">
        <v>0.53</v>
      </c>
      <c r="D1061">
        <v>4</v>
      </c>
      <c r="E1061">
        <v>0.10099999999999999</v>
      </c>
      <c r="F1061">
        <v>3</v>
      </c>
      <c r="G1061">
        <v>10</v>
      </c>
      <c r="H1061">
        <v>0.99586000000000008</v>
      </c>
      <c r="I1061">
        <v>3.21</v>
      </c>
      <c r="J1061">
        <v>0.59</v>
      </c>
      <c r="K1061">
        <v>12.1</v>
      </c>
      <c r="L1061">
        <v>7</v>
      </c>
      <c r="M1061" t="str">
        <f t="shared" si="128"/>
        <v>High</v>
      </c>
      <c r="N1061">
        <f>(winequality_red[[#This Row],[Updated Quality &amp; Alcohol Analysis]]+winequality_red[[#This Row],[volatile acidity]]+winequality_red[[#This Row],[citric acid]])</f>
        <v>9.91</v>
      </c>
      <c r="O1061">
        <f t="shared" si="129"/>
        <v>2.3404958677685946E-2</v>
      </c>
      <c r="S1061" t="e">
        <f t="shared" si="130"/>
        <v>#N/A</v>
      </c>
      <c r="T1061" t="e">
        <f t="shared" si="131"/>
        <v>#N/A</v>
      </c>
      <c r="U1061" t="e">
        <f t="shared" si="132"/>
        <v>#N/A</v>
      </c>
      <c r="V1061" t="e">
        <f t="shared" si="133"/>
        <v>#N/A</v>
      </c>
      <c r="W1061">
        <f t="shared" si="134"/>
        <v>12.1</v>
      </c>
      <c r="X1061">
        <f t="shared" si="135"/>
        <v>7</v>
      </c>
    </row>
    <row r="1062" spans="1:24" x14ac:dyDescent="0.3">
      <c r="A1062">
        <v>11.6</v>
      </c>
      <c r="B1062">
        <v>0.23</v>
      </c>
      <c r="C1062">
        <v>0.56999999999999995</v>
      </c>
      <c r="D1062">
        <v>1.8</v>
      </c>
      <c r="E1062">
        <v>7.400000000000001E-2</v>
      </c>
      <c r="F1062">
        <v>3</v>
      </c>
      <c r="G1062">
        <v>8</v>
      </c>
      <c r="H1062">
        <v>0.99809999999999999</v>
      </c>
      <c r="I1062">
        <v>3.14</v>
      </c>
      <c r="J1062">
        <v>0.7</v>
      </c>
      <c r="K1062">
        <v>9.9</v>
      </c>
      <c r="L1062">
        <v>6</v>
      </c>
      <c r="M1062" t="str">
        <f t="shared" si="128"/>
        <v>Medium</v>
      </c>
      <c r="N1062">
        <f>(winequality_red[[#This Row],[Updated Quality &amp; Alcohol Analysis]]+winequality_red[[#This Row],[volatile acidity]]+winequality_red[[#This Row],[citric acid]])</f>
        <v>12.4</v>
      </c>
      <c r="O1062">
        <f t="shared" si="129"/>
        <v>1.6262626262626263E-2</v>
      </c>
      <c r="S1062" t="e">
        <f t="shared" si="130"/>
        <v>#N/A</v>
      </c>
      <c r="T1062" t="e">
        <f t="shared" si="131"/>
        <v>#N/A</v>
      </c>
      <c r="U1062">
        <f t="shared" si="132"/>
        <v>9.9</v>
      </c>
      <c r="V1062">
        <f t="shared" si="133"/>
        <v>6</v>
      </c>
      <c r="W1062" t="e">
        <f t="shared" si="134"/>
        <v>#N/A</v>
      </c>
      <c r="X1062" t="e">
        <f t="shared" si="135"/>
        <v>#N/A</v>
      </c>
    </row>
    <row r="1063" spans="1:24" x14ac:dyDescent="0.3">
      <c r="A1063">
        <v>9.1</v>
      </c>
      <c r="B1063">
        <v>0.4</v>
      </c>
      <c r="C1063">
        <v>0.5</v>
      </c>
      <c r="D1063">
        <v>1.8</v>
      </c>
      <c r="E1063">
        <v>7.0999999999999994E-2</v>
      </c>
      <c r="F1063">
        <v>7</v>
      </c>
      <c r="G1063">
        <v>16</v>
      </c>
      <c r="H1063">
        <v>0.99462000000000006</v>
      </c>
      <c r="I1063">
        <v>3.21</v>
      </c>
      <c r="J1063">
        <v>0.69</v>
      </c>
      <c r="K1063">
        <v>12.5</v>
      </c>
      <c r="L1063">
        <v>8</v>
      </c>
      <c r="M1063" t="str">
        <f t="shared" si="128"/>
        <v>High</v>
      </c>
      <c r="N1063">
        <f>(winequality_red[[#This Row],[Updated Quality &amp; Alcohol Analysis]]+winequality_red[[#This Row],[volatile acidity]]+winequality_red[[#This Row],[citric acid]])</f>
        <v>10</v>
      </c>
      <c r="O1063">
        <f t="shared" si="129"/>
        <v>2.2079999999999999E-2</v>
      </c>
      <c r="S1063" t="e">
        <f t="shared" si="130"/>
        <v>#N/A</v>
      </c>
      <c r="T1063" t="e">
        <f t="shared" si="131"/>
        <v>#N/A</v>
      </c>
      <c r="U1063" t="e">
        <f t="shared" si="132"/>
        <v>#N/A</v>
      </c>
      <c r="V1063" t="e">
        <f t="shared" si="133"/>
        <v>#N/A</v>
      </c>
      <c r="W1063">
        <f t="shared" si="134"/>
        <v>12.5</v>
      </c>
      <c r="X1063">
        <f t="shared" si="135"/>
        <v>8</v>
      </c>
    </row>
    <row r="1064" spans="1:24" x14ac:dyDescent="0.3">
      <c r="A1064">
        <v>8</v>
      </c>
      <c r="B1064">
        <v>0.38</v>
      </c>
      <c r="C1064">
        <v>0.44</v>
      </c>
      <c r="D1064">
        <v>1.9</v>
      </c>
      <c r="E1064">
        <v>9.8000000000000004E-2</v>
      </c>
      <c r="F1064">
        <v>6</v>
      </c>
      <c r="G1064">
        <v>15</v>
      </c>
      <c r="H1064">
        <v>0.99560000000000004</v>
      </c>
      <c r="I1064">
        <v>3.3</v>
      </c>
      <c r="J1064">
        <v>0.64</v>
      </c>
      <c r="K1064">
        <v>11.4</v>
      </c>
      <c r="L1064">
        <v>6</v>
      </c>
      <c r="M1064" t="str">
        <f t="shared" si="128"/>
        <v>Medium</v>
      </c>
      <c r="N1064">
        <f>(winequality_red[[#This Row],[Updated Quality &amp; Alcohol Analysis]]+winequality_red[[#This Row],[volatile acidity]]+winequality_red[[#This Row],[citric acid]])</f>
        <v>8.82</v>
      </c>
      <c r="O1064">
        <f t="shared" si="129"/>
        <v>2.1333333333333333E-2</v>
      </c>
      <c r="S1064" t="e">
        <f t="shared" si="130"/>
        <v>#N/A</v>
      </c>
      <c r="T1064" t="e">
        <f t="shared" si="131"/>
        <v>#N/A</v>
      </c>
      <c r="U1064">
        <f t="shared" si="132"/>
        <v>11.4</v>
      </c>
      <c r="V1064">
        <f t="shared" si="133"/>
        <v>6</v>
      </c>
      <c r="W1064" t="e">
        <f t="shared" si="134"/>
        <v>#N/A</v>
      </c>
      <c r="X1064" t="e">
        <f t="shared" si="135"/>
        <v>#N/A</v>
      </c>
    </row>
    <row r="1065" spans="1:24" x14ac:dyDescent="0.3">
      <c r="A1065">
        <v>10.199999999999999</v>
      </c>
      <c r="B1065">
        <v>0.28999999999999998</v>
      </c>
      <c r="C1065">
        <v>0.65</v>
      </c>
      <c r="D1065">
        <v>2.4</v>
      </c>
      <c r="E1065">
        <v>7.4999999999999997E-2</v>
      </c>
      <c r="F1065">
        <v>6</v>
      </c>
      <c r="G1065">
        <v>17</v>
      </c>
      <c r="H1065">
        <v>0.99565000000000003</v>
      </c>
      <c r="I1065">
        <v>3.22</v>
      </c>
      <c r="J1065">
        <v>0.63</v>
      </c>
      <c r="K1065">
        <v>11.8</v>
      </c>
      <c r="L1065">
        <v>6</v>
      </c>
      <c r="M1065" t="str">
        <f t="shared" si="128"/>
        <v>Medium</v>
      </c>
      <c r="N1065">
        <f>(winequality_red[[#This Row],[Updated Quality &amp; Alcohol Analysis]]+winequality_red[[#This Row],[volatile acidity]]+winequality_red[[#This Row],[citric acid]])</f>
        <v>11.139999999999999</v>
      </c>
      <c r="O1065">
        <f t="shared" si="129"/>
        <v>1.5483050847457627E-2</v>
      </c>
      <c r="S1065" t="e">
        <f t="shared" si="130"/>
        <v>#N/A</v>
      </c>
      <c r="T1065" t="e">
        <f t="shared" si="131"/>
        <v>#N/A</v>
      </c>
      <c r="U1065">
        <f t="shared" si="132"/>
        <v>11.8</v>
      </c>
      <c r="V1065">
        <f t="shared" si="133"/>
        <v>6</v>
      </c>
      <c r="W1065" t="e">
        <f t="shared" si="134"/>
        <v>#N/A</v>
      </c>
      <c r="X1065" t="e">
        <f t="shared" si="135"/>
        <v>#N/A</v>
      </c>
    </row>
    <row r="1066" spans="1:24" x14ac:dyDescent="0.3">
      <c r="A1066">
        <v>8.1999999999999993</v>
      </c>
      <c r="B1066">
        <v>0.74</v>
      </c>
      <c r="C1066">
        <v>0.09</v>
      </c>
      <c r="D1066">
        <v>2</v>
      </c>
      <c r="E1066">
        <v>6.7000000000000004E-2</v>
      </c>
      <c r="F1066">
        <v>5</v>
      </c>
      <c r="G1066">
        <v>10</v>
      </c>
      <c r="H1066">
        <v>0.99417999999999995</v>
      </c>
      <c r="I1066">
        <v>3.28</v>
      </c>
      <c r="J1066">
        <v>0.56999999999999995</v>
      </c>
      <c r="K1066">
        <v>11.8</v>
      </c>
      <c r="L1066">
        <v>6</v>
      </c>
      <c r="M1066" t="str">
        <f t="shared" si="128"/>
        <v>Medium</v>
      </c>
      <c r="N1066">
        <f>(winequality_red[[#This Row],[Updated Quality &amp; Alcohol Analysis]]+winequality_red[[#This Row],[volatile acidity]]+winequality_red[[#This Row],[citric acid]])</f>
        <v>9.0299999999999994</v>
      </c>
      <c r="O1066">
        <f t="shared" si="129"/>
        <v>3.5745762711864401E-2</v>
      </c>
      <c r="S1066" t="e">
        <f t="shared" si="130"/>
        <v>#N/A</v>
      </c>
      <c r="T1066" t="e">
        <f t="shared" si="131"/>
        <v>#N/A</v>
      </c>
      <c r="U1066">
        <f t="shared" si="132"/>
        <v>11.8</v>
      </c>
      <c r="V1066">
        <f t="shared" si="133"/>
        <v>6</v>
      </c>
      <c r="W1066" t="e">
        <f t="shared" si="134"/>
        <v>#N/A</v>
      </c>
      <c r="X1066" t="e">
        <f t="shared" si="135"/>
        <v>#N/A</v>
      </c>
    </row>
    <row r="1067" spans="1:24" x14ac:dyDescent="0.3">
      <c r="A1067">
        <v>7.7</v>
      </c>
      <c r="B1067">
        <v>0.61</v>
      </c>
      <c r="C1067">
        <v>0.18</v>
      </c>
      <c r="D1067">
        <v>2.4</v>
      </c>
      <c r="E1067">
        <v>8.3000000000000004E-2</v>
      </c>
      <c r="F1067">
        <v>6</v>
      </c>
      <c r="G1067">
        <v>20</v>
      </c>
      <c r="H1067">
        <v>0.99629999999999996</v>
      </c>
      <c r="I1067">
        <v>3.29</v>
      </c>
      <c r="J1067">
        <v>0.6</v>
      </c>
      <c r="K1067">
        <v>10.199999999999999</v>
      </c>
      <c r="L1067">
        <v>6</v>
      </c>
      <c r="M1067" t="str">
        <f t="shared" si="128"/>
        <v>Medium</v>
      </c>
      <c r="N1067">
        <f>(winequality_red[[#This Row],[Updated Quality &amp; Alcohol Analysis]]+winequality_red[[#This Row],[volatile acidity]]+winequality_red[[#This Row],[citric acid]])</f>
        <v>8.49</v>
      </c>
      <c r="O1067">
        <f t="shared" si="129"/>
        <v>3.5882352941176469E-2</v>
      </c>
      <c r="S1067" t="e">
        <f t="shared" si="130"/>
        <v>#N/A</v>
      </c>
      <c r="T1067" t="e">
        <f t="shared" si="131"/>
        <v>#N/A</v>
      </c>
      <c r="U1067">
        <f t="shared" si="132"/>
        <v>10.199999999999999</v>
      </c>
      <c r="V1067">
        <f t="shared" si="133"/>
        <v>6</v>
      </c>
      <c r="W1067" t="e">
        <f t="shared" si="134"/>
        <v>#N/A</v>
      </c>
      <c r="X1067" t="e">
        <f t="shared" si="135"/>
        <v>#N/A</v>
      </c>
    </row>
    <row r="1068" spans="1:24" x14ac:dyDescent="0.3">
      <c r="A1068">
        <v>6.6</v>
      </c>
      <c r="B1068">
        <v>0.52</v>
      </c>
      <c r="C1068">
        <v>0.08</v>
      </c>
      <c r="D1068">
        <v>2.4</v>
      </c>
      <c r="E1068">
        <v>7.0000000000000007E-2</v>
      </c>
      <c r="F1068">
        <v>13</v>
      </c>
      <c r="G1068">
        <v>26</v>
      </c>
      <c r="H1068">
        <v>0.99357999999999991</v>
      </c>
      <c r="I1068">
        <v>3.4</v>
      </c>
      <c r="J1068">
        <v>0.72</v>
      </c>
      <c r="K1068">
        <v>12.5</v>
      </c>
      <c r="L1068">
        <v>7</v>
      </c>
      <c r="M1068" t="str">
        <f t="shared" si="128"/>
        <v>High</v>
      </c>
      <c r="N1068">
        <f>(winequality_red[[#This Row],[Updated Quality &amp; Alcohol Analysis]]+winequality_red[[#This Row],[volatile acidity]]+winequality_red[[#This Row],[citric acid]])</f>
        <v>7.1999999999999993</v>
      </c>
      <c r="O1068">
        <f t="shared" si="129"/>
        <v>2.9951999999999999E-2</v>
      </c>
      <c r="S1068" t="e">
        <f t="shared" si="130"/>
        <v>#N/A</v>
      </c>
      <c r="T1068" t="e">
        <f t="shared" si="131"/>
        <v>#N/A</v>
      </c>
      <c r="U1068" t="e">
        <f t="shared" si="132"/>
        <v>#N/A</v>
      </c>
      <c r="V1068" t="e">
        <f t="shared" si="133"/>
        <v>#N/A</v>
      </c>
      <c r="W1068">
        <f t="shared" si="134"/>
        <v>12.5</v>
      </c>
      <c r="X1068">
        <f t="shared" si="135"/>
        <v>7</v>
      </c>
    </row>
    <row r="1069" spans="1:24" x14ac:dyDescent="0.3">
      <c r="A1069">
        <v>11.1</v>
      </c>
      <c r="B1069">
        <v>0.31</v>
      </c>
      <c r="C1069">
        <v>0.53</v>
      </c>
      <c r="D1069">
        <v>2.2000000000000002</v>
      </c>
      <c r="E1069">
        <v>0.06</v>
      </c>
      <c r="F1069">
        <v>3</v>
      </c>
      <c r="G1069">
        <v>10</v>
      </c>
      <c r="H1069">
        <v>0.99572000000000005</v>
      </c>
      <c r="I1069">
        <v>3.02</v>
      </c>
      <c r="J1069">
        <v>0.83</v>
      </c>
      <c r="K1069">
        <v>10.9</v>
      </c>
      <c r="L1069">
        <v>7</v>
      </c>
      <c r="M1069" t="str">
        <f t="shared" si="128"/>
        <v>High</v>
      </c>
      <c r="N1069">
        <f>(winequality_red[[#This Row],[Updated Quality &amp; Alcohol Analysis]]+winequality_red[[#This Row],[volatile acidity]]+winequality_red[[#This Row],[citric acid]])</f>
        <v>11.94</v>
      </c>
      <c r="O1069">
        <f t="shared" si="129"/>
        <v>2.3605504587155959E-2</v>
      </c>
      <c r="S1069" t="e">
        <f t="shared" si="130"/>
        <v>#N/A</v>
      </c>
      <c r="T1069" t="e">
        <f t="shared" si="131"/>
        <v>#N/A</v>
      </c>
      <c r="U1069" t="e">
        <f t="shared" si="132"/>
        <v>#N/A</v>
      </c>
      <c r="V1069" t="e">
        <f t="shared" si="133"/>
        <v>#N/A</v>
      </c>
      <c r="W1069">
        <f t="shared" si="134"/>
        <v>10.9</v>
      </c>
      <c r="X1069">
        <f t="shared" si="135"/>
        <v>7</v>
      </c>
    </row>
    <row r="1070" spans="1:24" x14ac:dyDescent="0.3">
      <c r="A1070">
        <v>11.1</v>
      </c>
      <c r="B1070">
        <v>0.31</v>
      </c>
      <c r="C1070">
        <v>0.53</v>
      </c>
      <c r="D1070">
        <v>2.2000000000000002</v>
      </c>
      <c r="E1070">
        <v>0.06</v>
      </c>
      <c r="F1070">
        <v>3</v>
      </c>
      <c r="G1070">
        <v>10</v>
      </c>
      <c r="H1070">
        <v>0.99572000000000005</v>
      </c>
      <c r="I1070">
        <v>3.02</v>
      </c>
      <c r="J1070">
        <v>0.83</v>
      </c>
      <c r="K1070">
        <v>10.9</v>
      </c>
      <c r="L1070">
        <v>7</v>
      </c>
      <c r="M1070" t="str">
        <f t="shared" si="128"/>
        <v>High</v>
      </c>
      <c r="N1070">
        <f>(winequality_red[[#This Row],[Updated Quality &amp; Alcohol Analysis]]+winequality_red[[#This Row],[volatile acidity]]+winequality_red[[#This Row],[citric acid]])</f>
        <v>11.94</v>
      </c>
      <c r="O1070">
        <f t="shared" si="129"/>
        <v>2.3605504587155959E-2</v>
      </c>
      <c r="S1070" t="e">
        <f t="shared" si="130"/>
        <v>#N/A</v>
      </c>
      <c r="T1070" t="e">
        <f t="shared" si="131"/>
        <v>#N/A</v>
      </c>
      <c r="U1070" t="e">
        <f t="shared" si="132"/>
        <v>#N/A</v>
      </c>
      <c r="V1070" t="e">
        <f t="shared" si="133"/>
        <v>#N/A</v>
      </c>
      <c r="W1070">
        <f t="shared" si="134"/>
        <v>10.9</v>
      </c>
      <c r="X1070">
        <f t="shared" si="135"/>
        <v>7</v>
      </c>
    </row>
    <row r="1071" spans="1:24" x14ac:dyDescent="0.3">
      <c r="A1071">
        <v>8</v>
      </c>
      <c r="B1071">
        <v>0.62</v>
      </c>
      <c r="C1071">
        <v>0.35</v>
      </c>
      <c r="D1071">
        <v>2.8</v>
      </c>
      <c r="E1071">
        <v>8.5999999999999993E-2</v>
      </c>
      <c r="F1071">
        <v>28</v>
      </c>
      <c r="G1071">
        <v>52</v>
      </c>
      <c r="H1071">
        <v>0.997</v>
      </c>
      <c r="I1071">
        <v>3.31</v>
      </c>
      <c r="J1071">
        <v>0.62</v>
      </c>
      <c r="K1071">
        <v>10.8</v>
      </c>
      <c r="L1071">
        <v>5</v>
      </c>
      <c r="M1071" t="str">
        <f t="shared" si="128"/>
        <v>Medium</v>
      </c>
      <c r="N1071">
        <f>(winequality_red[[#This Row],[Updated Quality &amp; Alcohol Analysis]]+winequality_red[[#This Row],[volatile acidity]]+winequality_red[[#This Row],[citric acid]])</f>
        <v>8.9699999999999989</v>
      </c>
      <c r="O1071">
        <f t="shared" si="129"/>
        <v>3.5592592592592592E-2</v>
      </c>
      <c r="S1071" t="e">
        <f t="shared" si="130"/>
        <v>#N/A</v>
      </c>
      <c r="T1071" t="e">
        <f t="shared" si="131"/>
        <v>#N/A</v>
      </c>
      <c r="U1071">
        <f t="shared" si="132"/>
        <v>10.8</v>
      </c>
      <c r="V1071">
        <f t="shared" si="133"/>
        <v>5</v>
      </c>
      <c r="W1071" t="e">
        <f t="shared" si="134"/>
        <v>#N/A</v>
      </c>
      <c r="X1071" t="e">
        <f t="shared" si="135"/>
        <v>#N/A</v>
      </c>
    </row>
    <row r="1072" spans="1:24" x14ac:dyDescent="0.3">
      <c r="A1072">
        <v>9.3000000000000007</v>
      </c>
      <c r="B1072">
        <v>0.33</v>
      </c>
      <c r="C1072">
        <v>0.45</v>
      </c>
      <c r="D1072">
        <v>1.5</v>
      </c>
      <c r="E1072">
        <v>5.7000000000000002E-2</v>
      </c>
      <c r="F1072">
        <v>19</v>
      </c>
      <c r="G1072">
        <v>37</v>
      </c>
      <c r="H1072">
        <v>0.99497999999999998</v>
      </c>
      <c r="I1072">
        <v>3.18</v>
      </c>
      <c r="J1072">
        <v>0.89</v>
      </c>
      <c r="K1072">
        <v>11.1</v>
      </c>
      <c r="L1072">
        <v>7</v>
      </c>
      <c r="M1072" t="str">
        <f t="shared" si="128"/>
        <v>High</v>
      </c>
      <c r="N1072">
        <f>(winequality_red[[#This Row],[Updated Quality &amp; Alcohol Analysis]]+winequality_red[[#This Row],[volatile acidity]]+winequality_red[[#This Row],[citric acid]])</f>
        <v>10.08</v>
      </c>
      <c r="O1072">
        <f t="shared" si="129"/>
        <v>2.6459459459459461E-2</v>
      </c>
      <c r="S1072" t="e">
        <f t="shared" si="130"/>
        <v>#N/A</v>
      </c>
      <c r="T1072" t="e">
        <f t="shared" si="131"/>
        <v>#N/A</v>
      </c>
      <c r="U1072" t="e">
        <f t="shared" si="132"/>
        <v>#N/A</v>
      </c>
      <c r="V1072" t="e">
        <f t="shared" si="133"/>
        <v>#N/A</v>
      </c>
      <c r="W1072">
        <f t="shared" si="134"/>
        <v>11.1</v>
      </c>
      <c r="X1072">
        <f t="shared" si="135"/>
        <v>7</v>
      </c>
    </row>
    <row r="1073" spans="1:24" x14ac:dyDescent="0.3">
      <c r="A1073">
        <v>7.5</v>
      </c>
      <c r="B1073">
        <v>0.77</v>
      </c>
      <c r="C1073">
        <v>0.2</v>
      </c>
      <c r="D1073">
        <v>8.1</v>
      </c>
      <c r="E1073">
        <v>9.8000000000000004E-2</v>
      </c>
      <c r="F1073">
        <v>30</v>
      </c>
      <c r="G1073">
        <v>92</v>
      </c>
      <c r="H1073">
        <v>0.99892000000000003</v>
      </c>
      <c r="I1073">
        <v>3.2</v>
      </c>
      <c r="J1073">
        <v>0.57999999999999996</v>
      </c>
      <c r="K1073">
        <v>9.1999999999999993</v>
      </c>
      <c r="L1073">
        <v>5</v>
      </c>
      <c r="M1073" t="str">
        <f t="shared" si="128"/>
        <v>Medium</v>
      </c>
      <c r="N1073">
        <f>(winequality_red[[#This Row],[Updated Quality &amp; Alcohol Analysis]]+winequality_red[[#This Row],[volatile acidity]]+winequality_red[[#This Row],[citric acid]])</f>
        <v>8.4699999999999989</v>
      </c>
      <c r="O1073">
        <f t="shared" si="129"/>
        <v>4.854347826086957E-2</v>
      </c>
      <c r="S1073" t="e">
        <f t="shared" si="130"/>
        <v>#N/A</v>
      </c>
      <c r="T1073" t="e">
        <f t="shared" si="131"/>
        <v>#N/A</v>
      </c>
      <c r="U1073">
        <f t="shared" si="132"/>
        <v>9.1999999999999993</v>
      </c>
      <c r="V1073">
        <f t="shared" si="133"/>
        <v>5</v>
      </c>
      <c r="W1073" t="e">
        <f t="shared" si="134"/>
        <v>#N/A</v>
      </c>
      <c r="X1073" t="e">
        <f t="shared" si="135"/>
        <v>#N/A</v>
      </c>
    </row>
    <row r="1074" spans="1:24" x14ac:dyDescent="0.3">
      <c r="A1074">
        <v>7.2</v>
      </c>
      <c r="B1074">
        <v>0.35</v>
      </c>
      <c r="C1074">
        <v>0.26</v>
      </c>
      <c r="D1074">
        <v>1.8</v>
      </c>
      <c r="E1074">
        <v>8.3000000000000004E-2</v>
      </c>
      <c r="F1074">
        <v>33</v>
      </c>
      <c r="G1074">
        <v>75</v>
      </c>
      <c r="H1074">
        <v>0.99680000000000002</v>
      </c>
      <c r="I1074">
        <v>3.4</v>
      </c>
      <c r="J1074">
        <v>0.57999999999999996</v>
      </c>
      <c r="K1074">
        <v>9.5</v>
      </c>
      <c r="L1074">
        <v>6</v>
      </c>
      <c r="M1074" t="str">
        <f t="shared" si="128"/>
        <v>Medium</v>
      </c>
      <c r="N1074">
        <f>(winequality_red[[#This Row],[Updated Quality &amp; Alcohol Analysis]]+winequality_red[[#This Row],[volatile acidity]]+winequality_red[[#This Row],[citric acid]])</f>
        <v>7.81</v>
      </c>
      <c r="O1074">
        <f t="shared" si="129"/>
        <v>2.1368421052631578E-2</v>
      </c>
      <c r="S1074" t="e">
        <f t="shared" si="130"/>
        <v>#N/A</v>
      </c>
      <c r="T1074" t="e">
        <f t="shared" si="131"/>
        <v>#N/A</v>
      </c>
      <c r="U1074">
        <f t="shared" si="132"/>
        <v>9.5</v>
      </c>
      <c r="V1074">
        <f t="shared" si="133"/>
        <v>6</v>
      </c>
      <c r="W1074" t="e">
        <f t="shared" si="134"/>
        <v>#N/A</v>
      </c>
      <c r="X1074" t="e">
        <f t="shared" si="135"/>
        <v>#N/A</v>
      </c>
    </row>
    <row r="1075" spans="1:24" x14ac:dyDescent="0.3">
      <c r="A1075">
        <v>8</v>
      </c>
      <c r="B1075">
        <v>0.62</v>
      </c>
      <c r="C1075">
        <v>0.33</v>
      </c>
      <c r="D1075">
        <v>2.7</v>
      </c>
      <c r="E1075">
        <v>8.8000000000000009E-2</v>
      </c>
      <c r="F1075">
        <v>16</v>
      </c>
      <c r="G1075">
        <v>37</v>
      </c>
      <c r="H1075">
        <v>0.99719999999999998</v>
      </c>
      <c r="I1075">
        <v>3.31</v>
      </c>
      <c r="J1075">
        <v>0.57999999999999996</v>
      </c>
      <c r="K1075">
        <v>10.7</v>
      </c>
      <c r="L1075">
        <v>6</v>
      </c>
      <c r="M1075" t="str">
        <f t="shared" si="128"/>
        <v>Medium</v>
      </c>
      <c r="N1075">
        <f>(winequality_red[[#This Row],[Updated Quality &amp; Alcohol Analysis]]+winequality_red[[#This Row],[volatile acidity]]+winequality_red[[#This Row],[citric acid]])</f>
        <v>8.9499999999999993</v>
      </c>
      <c r="O1075">
        <f t="shared" si="129"/>
        <v>3.3607476635514021E-2</v>
      </c>
      <c r="S1075" t="e">
        <f t="shared" si="130"/>
        <v>#N/A</v>
      </c>
      <c r="T1075" t="e">
        <f t="shared" si="131"/>
        <v>#N/A</v>
      </c>
      <c r="U1075">
        <f t="shared" si="132"/>
        <v>10.7</v>
      </c>
      <c r="V1075">
        <f t="shared" si="133"/>
        <v>6</v>
      </c>
      <c r="W1075" t="e">
        <f t="shared" si="134"/>
        <v>#N/A</v>
      </c>
      <c r="X1075" t="e">
        <f t="shared" si="135"/>
        <v>#N/A</v>
      </c>
    </row>
    <row r="1076" spans="1:24" x14ac:dyDescent="0.3">
      <c r="A1076">
        <v>7.5</v>
      </c>
      <c r="B1076">
        <v>0.77</v>
      </c>
      <c r="C1076">
        <v>0.2</v>
      </c>
      <c r="D1076">
        <v>8.1</v>
      </c>
      <c r="E1076">
        <v>9.8000000000000004E-2</v>
      </c>
      <c r="F1076">
        <v>30</v>
      </c>
      <c r="G1076">
        <v>92</v>
      </c>
      <c r="H1076">
        <v>0.99892000000000003</v>
      </c>
      <c r="I1076">
        <v>3.2</v>
      </c>
      <c r="J1076">
        <v>0.57999999999999996</v>
      </c>
      <c r="K1076">
        <v>9.1999999999999993</v>
      </c>
      <c r="L1076">
        <v>5</v>
      </c>
      <c r="M1076" t="str">
        <f t="shared" si="128"/>
        <v>Medium</v>
      </c>
      <c r="N1076">
        <f>(winequality_red[[#This Row],[Updated Quality &amp; Alcohol Analysis]]+winequality_red[[#This Row],[volatile acidity]]+winequality_red[[#This Row],[citric acid]])</f>
        <v>8.4699999999999989</v>
      </c>
      <c r="O1076">
        <f t="shared" si="129"/>
        <v>4.854347826086957E-2</v>
      </c>
      <c r="S1076" t="e">
        <f t="shared" si="130"/>
        <v>#N/A</v>
      </c>
      <c r="T1076" t="e">
        <f t="shared" si="131"/>
        <v>#N/A</v>
      </c>
      <c r="U1076">
        <f t="shared" si="132"/>
        <v>9.1999999999999993</v>
      </c>
      <c r="V1076">
        <f t="shared" si="133"/>
        <v>5</v>
      </c>
      <c r="W1076" t="e">
        <f t="shared" si="134"/>
        <v>#N/A</v>
      </c>
      <c r="X1076" t="e">
        <f t="shared" si="135"/>
        <v>#N/A</v>
      </c>
    </row>
    <row r="1077" spans="1:24" x14ac:dyDescent="0.3">
      <c r="A1077">
        <v>9.1</v>
      </c>
      <c r="B1077">
        <v>0.25</v>
      </c>
      <c r="C1077">
        <v>0.34</v>
      </c>
      <c r="D1077">
        <v>2</v>
      </c>
      <c r="E1077">
        <v>7.0999999999999994E-2</v>
      </c>
      <c r="F1077">
        <v>45</v>
      </c>
      <c r="G1077">
        <v>67</v>
      </c>
      <c r="H1077">
        <v>0.99768999999999997</v>
      </c>
      <c r="I1077">
        <v>3.44</v>
      </c>
      <c r="J1077">
        <v>0.86</v>
      </c>
      <c r="K1077">
        <v>10.199999999999999</v>
      </c>
      <c r="L1077">
        <v>7</v>
      </c>
      <c r="M1077" t="str">
        <f t="shared" si="128"/>
        <v>High</v>
      </c>
      <c r="N1077">
        <f>(winequality_red[[#This Row],[Updated Quality &amp; Alcohol Analysis]]+winequality_red[[#This Row],[volatile acidity]]+winequality_red[[#This Row],[citric acid]])</f>
        <v>9.69</v>
      </c>
      <c r="O1077">
        <f t="shared" si="129"/>
        <v>2.1078431372549021E-2</v>
      </c>
      <c r="S1077" t="e">
        <f t="shared" si="130"/>
        <v>#N/A</v>
      </c>
      <c r="T1077" t="e">
        <f t="shared" si="131"/>
        <v>#N/A</v>
      </c>
      <c r="U1077" t="e">
        <f t="shared" si="132"/>
        <v>#N/A</v>
      </c>
      <c r="V1077" t="e">
        <f t="shared" si="133"/>
        <v>#N/A</v>
      </c>
      <c r="W1077">
        <f t="shared" si="134"/>
        <v>10.199999999999999</v>
      </c>
      <c r="X1077">
        <f t="shared" si="135"/>
        <v>7</v>
      </c>
    </row>
    <row r="1078" spans="1:24" x14ac:dyDescent="0.3">
      <c r="A1078">
        <v>9.9</v>
      </c>
      <c r="B1078">
        <v>0.32</v>
      </c>
      <c r="C1078">
        <v>0.56000000000000005</v>
      </c>
      <c r="D1078">
        <v>2</v>
      </c>
      <c r="E1078">
        <v>7.2999999999999995E-2</v>
      </c>
      <c r="F1078">
        <v>3</v>
      </c>
      <c r="G1078">
        <v>8</v>
      </c>
      <c r="H1078">
        <v>0.99534</v>
      </c>
      <c r="I1078">
        <v>3.15</v>
      </c>
      <c r="J1078">
        <v>0.73</v>
      </c>
      <c r="K1078">
        <v>11.4</v>
      </c>
      <c r="L1078">
        <v>6</v>
      </c>
      <c r="M1078" t="str">
        <f t="shared" si="128"/>
        <v>Medium</v>
      </c>
      <c r="N1078">
        <f>(winequality_red[[#This Row],[Updated Quality &amp; Alcohol Analysis]]+winequality_red[[#This Row],[volatile acidity]]+winequality_red[[#This Row],[citric acid]])</f>
        <v>10.780000000000001</v>
      </c>
      <c r="O1078">
        <f t="shared" si="129"/>
        <v>2.0491228070175439E-2</v>
      </c>
      <c r="S1078" t="e">
        <f t="shared" si="130"/>
        <v>#N/A</v>
      </c>
      <c r="T1078" t="e">
        <f t="shared" si="131"/>
        <v>#N/A</v>
      </c>
      <c r="U1078">
        <f t="shared" si="132"/>
        <v>11.4</v>
      </c>
      <c r="V1078">
        <f t="shared" si="133"/>
        <v>6</v>
      </c>
      <c r="W1078" t="e">
        <f t="shared" si="134"/>
        <v>#N/A</v>
      </c>
      <c r="X1078" t="e">
        <f t="shared" si="135"/>
        <v>#N/A</v>
      </c>
    </row>
    <row r="1079" spans="1:24" x14ac:dyDescent="0.3">
      <c r="A1079">
        <v>8.6</v>
      </c>
      <c r="B1079">
        <v>0.37</v>
      </c>
      <c r="C1079">
        <v>0.65</v>
      </c>
      <c r="D1079">
        <v>6.4</v>
      </c>
      <c r="E1079">
        <v>0.08</v>
      </c>
      <c r="F1079">
        <v>3</v>
      </c>
      <c r="G1079">
        <v>8</v>
      </c>
      <c r="H1079">
        <v>0.99817000000000011</v>
      </c>
      <c r="I1079">
        <v>3.27</v>
      </c>
      <c r="J1079">
        <v>0.57999999999999996</v>
      </c>
      <c r="K1079">
        <v>11</v>
      </c>
      <c r="L1079">
        <v>5</v>
      </c>
      <c r="M1079" t="str">
        <f t="shared" si="128"/>
        <v>Medium</v>
      </c>
      <c r="N1079">
        <f>(winequality_red[[#This Row],[Updated Quality &amp; Alcohol Analysis]]+winequality_red[[#This Row],[volatile acidity]]+winequality_red[[#This Row],[citric acid]])</f>
        <v>9.6199999999999992</v>
      </c>
      <c r="O1079">
        <f t="shared" si="129"/>
        <v>1.9509090909090906E-2</v>
      </c>
      <c r="S1079" t="e">
        <f t="shared" si="130"/>
        <v>#N/A</v>
      </c>
      <c r="T1079" t="e">
        <f t="shared" si="131"/>
        <v>#N/A</v>
      </c>
      <c r="U1079">
        <f t="shared" si="132"/>
        <v>11</v>
      </c>
      <c r="V1079">
        <f t="shared" si="133"/>
        <v>5</v>
      </c>
      <c r="W1079" t="e">
        <f t="shared" si="134"/>
        <v>#N/A</v>
      </c>
      <c r="X1079" t="e">
        <f t="shared" si="135"/>
        <v>#N/A</v>
      </c>
    </row>
    <row r="1080" spans="1:24" x14ac:dyDescent="0.3">
      <c r="A1080">
        <v>8.6</v>
      </c>
      <c r="B1080">
        <v>0.37</v>
      </c>
      <c r="C1080">
        <v>0.65</v>
      </c>
      <c r="D1080">
        <v>6.4</v>
      </c>
      <c r="E1080">
        <v>0.08</v>
      </c>
      <c r="F1080">
        <v>3</v>
      </c>
      <c r="G1080">
        <v>8</v>
      </c>
      <c r="H1080">
        <v>0.99817000000000011</v>
      </c>
      <c r="I1080">
        <v>3.27</v>
      </c>
      <c r="J1080">
        <v>0.57999999999999996</v>
      </c>
      <c r="K1080">
        <v>11</v>
      </c>
      <c r="L1080">
        <v>5</v>
      </c>
      <c r="M1080" t="str">
        <f t="shared" si="128"/>
        <v>Medium</v>
      </c>
      <c r="N1080">
        <f>(winequality_red[[#This Row],[Updated Quality &amp; Alcohol Analysis]]+winequality_red[[#This Row],[volatile acidity]]+winequality_red[[#This Row],[citric acid]])</f>
        <v>9.6199999999999992</v>
      </c>
      <c r="O1080">
        <f t="shared" si="129"/>
        <v>1.9509090909090906E-2</v>
      </c>
      <c r="S1080" t="e">
        <f t="shared" si="130"/>
        <v>#N/A</v>
      </c>
      <c r="T1080" t="e">
        <f t="shared" si="131"/>
        <v>#N/A</v>
      </c>
      <c r="U1080">
        <f t="shared" si="132"/>
        <v>11</v>
      </c>
      <c r="V1080">
        <f t="shared" si="133"/>
        <v>5</v>
      </c>
      <c r="W1080" t="e">
        <f t="shared" si="134"/>
        <v>#N/A</v>
      </c>
      <c r="X1080" t="e">
        <f t="shared" si="135"/>
        <v>#N/A</v>
      </c>
    </row>
    <row r="1081" spans="1:24" x14ac:dyDescent="0.3">
      <c r="A1081">
        <v>7.9</v>
      </c>
      <c r="B1081">
        <v>0.3</v>
      </c>
      <c r="C1081">
        <v>0.68</v>
      </c>
      <c r="D1081">
        <v>8.3000000000000007</v>
      </c>
      <c r="E1081">
        <v>0.05</v>
      </c>
      <c r="F1081">
        <v>38</v>
      </c>
      <c r="G1081">
        <v>278</v>
      </c>
      <c r="H1081">
        <v>0.99316000000000004</v>
      </c>
      <c r="I1081">
        <v>3.01</v>
      </c>
      <c r="J1081">
        <v>0.51</v>
      </c>
      <c r="K1081">
        <v>12.3</v>
      </c>
      <c r="L1081">
        <v>7</v>
      </c>
      <c r="M1081" t="str">
        <f t="shared" si="128"/>
        <v>High</v>
      </c>
      <c r="N1081">
        <f>(winequality_red[[#This Row],[Updated Quality &amp; Alcohol Analysis]]+winequality_red[[#This Row],[volatile acidity]]+winequality_red[[#This Row],[citric acid]])</f>
        <v>8.8800000000000008</v>
      </c>
      <c r="O1081">
        <f t="shared" si="129"/>
        <v>1.2439024390243901E-2</v>
      </c>
      <c r="S1081" t="e">
        <f t="shared" si="130"/>
        <v>#N/A</v>
      </c>
      <c r="T1081" t="e">
        <f t="shared" si="131"/>
        <v>#N/A</v>
      </c>
      <c r="U1081" t="e">
        <f t="shared" si="132"/>
        <v>#N/A</v>
      </c>
      <c r="V1081" t="e">
        <f t="shared" si="133"/>
        <v>#N/A</v>
      </c>
      <c r="W1081">
        <f t="shared" si="134"/>
        <v>12.3</v>
      </c>
      <c r="X1081">
        <f t="shared" si="135"/>
        <v>7</v>
      </c>
    </row>
    <row r="1082" spans="1:24" x14ac:dyDescent="0.3">
      <c r="A1082">
        <v>10.3</v>
      </c>
      <c r="B1082">
        <v>0.27</v>
      </c>
      <c r="C1082">
        <v>0.56000000000000005</v>
      </c>
      <c r="D1082">
        <v>1.4</v>
      </c>
      <c r="E1082">
        <v>4.7E-2</v>
      </c>
      <c r="F1082">
        <v>3</v>
      </c>
      <c r="G1082">
        <v>8</v>
      </c>
      <c r="H1082">
        <v>0.99470999999999998</v>
      </c>
      <c r="I1082">
        <v>3.16</v>
      </c>
      <c r="J1082">
        <v>0.51</v>
      </c>
      <c r="K1082">
        <v>11.8</v>
      </c>
      <c r="L1082">
        <v>6</v>
      </c>
      <c r="M1082" t="str">
        <f t="shared" si="128"/>
        <v>Medium</v>
      </c>
      <c r="N1082">
        <f>(winequality_red[[#This Row],[Updated Quality &amp; Alcohol Analysis]]+winequality_red[[#This Row],[volatile acidity]]+winequality_red[[#This Row],[citric acid]])</f>
        <v>11.13</v>
      </c>
      <c r="O1082">
        <f t="shared" si="129"/>
        <v>1.1669491525423729E-2</v>
      </c>
      <c r="S1082" t="e">
        <f t="shared" si="130"/>
        <v>#N/A</v>
      </c>
      <c r="T1082" t="e">
        <f t="shared" si="131"/>
        <v>#N/A</v>
      </c>
      <c r="U1082">
        <f t="shared" si="132"/>
        <v>11.8</v>
      </c>
      <c r="V1082">
        <f t="shared" si="133"/>
        <v>6</v>
      </c>
      <c r="W1082" t="e">
        <f t="shared" si="134"/>
        <v>#N/A</v>
      </c>
      <c r="X1082" t="e">
        <f t="shared" si="135"/>
        <v>#N/A</v>
      </c>
    </row>
    <row r="1083" spans="1:24" x14ac:dyDescent="0.3">
      <c r="A1083">
        <v>7.9</v>
      </c>
      <c r="B1083">
        <v>0.3</v>
      </c>
      <c r="C1083">
        <v>0.68</v>
      </c>
      <c r="D1083">
        <v>8.3000000000000007</v>
      </c>
      <c r="E1083">
        <v>0.05</v>
      </c>
      <c r="F1083">
        <v>38</v>
      </c>
      <c r="G1083">
        <v>289</v>
      </c>
      <c r="H1083">
        <v>0.99316000000000004</v>
      </c>
      <c r="I1083">
        <v>3.01</v>
      </c>
      <c r="J1083">
        <v>0.51</v>
      </c>
      <c r="K1083">
        <v>12.3</v>
      </c>
      <c r="L1083">
        <v>7</v>
      </c>
      <c r="M1083" t="str">
        <f t="shared" si="128"/>
        <v>High</v>
      </c>
      <c r="N1083">
        <f>(winequality_red[[#This Row],[Updated Quality &amp; Alcohol Analysis]]+winequality_red[[#This Row],[volatile acidity]]+winequality_red[[#This Row],[citric acid]])</f>
        <v>8.8800000000000008</v>
      </c>
      <c r="O1083">
        <f t="shared" si="129"/>
        <v>1.2439024390243901E-2</v>
      </c>
      <c r="S1083" t="e">
        <f t="shared" si="130"/>
        <v>#N/A</v>
      </c>
      <c r="T1083" t="e">
        <f t="shared" si="131"/>
        <v>#N/A</v>
      </c>
      <c r="U1083" t="e">
        <f t="shared" si="132"/>
        <v>#N/A</v>
      </c>
      <c r="V1083" t="e">
        <f t="shared" si="133"/>
        <v>#N/A</v>
      </c>
      <c r="W1083">
        <f t="shared" si="134"/>
        <v>12.3</v>
      </c>
      <c r="X1083">
        <f t="shared" si="135"/>
        <v>7</v>
      </c>
    </row>
    <row r="1084" spans="1:24" x14ac:dyDescent="0.3">
      <c r="A1084">
        <v>7.2</v>
      </c>
      <c r="B1084">
        <v>0.38</v>
      </c>
      <c r="C1084">
        <v>0.3</v>
      </c>
      <c r="D1084">
        <v>1.8</v>
      </c>
      <c r="E1084">
        <v>7.2999999999999995E-2</v>
      </c>
      <c r="F1084">
        <v>31</v>
      </c>
      <c r="G1084">
        <v>70</v>
      </c>
      <c r="H1084">
        <v>0.99685000000000001</v>
      </c>
      <c r="I1084">
        <v>3.42</v>
      </c>
      <c r="J1084">
        <v>0.59</v>
      </c>
      <c r="K1084">
        <v>9.5</v>
      </c>
      <c r="L1084">
        <v>6</v>
      </c>
      <c r="M1084" t="str">
        <f t="shared" si="128"/>
        <v>Medium</v>
      </c>
      <c r="N1084">
        <f>(winequality_red[[#This Row],[Updated Quality &amp; Alcohol Analysis]]+winequality_red[[#This Row],[volatile acidity]]+winequality_red[[#This Row],[citric acid]])</f>
        <v>7.88</v>
      </c>
      <c r="O1084">
        <f t="shared" si="129"/>
        <v>2.3599999999999999E-2</v>
      </c>
      <c r="S1084" t="e">
        <f t="shared" si="130"/>
        <v>#N/A</v>
      </c>
      <c r="T1084" t="e">
        <f t="shared" si="131"/>
        <v>#N/A</v>
      </c>
      <c r="U1084">
        <f t="shared" si="132"/>
        <v>9.5</v>
      </c>
      <c r="V1084">
        <f t="shared" si="133"/>
        <v>6</v>
      </c>
      <c r="W1084" t="e">
        <f t="shared" si="134"/>
        <v>#N/A</v>
      </c>
      <c r="X1084" t="e">
        <f t="shared" si="135"/>
        <v>#N/A</v>
      </c>
    </row>
    <row r="1085" spans="1:24" x14ac:dyDescent="0.3">
      <c r="A1085">
        <v>8.6999999999999993</v>
      </c>
      <c r="B1085">
        <v>0.42</v>
      </c>
      <c r="C1085">
        <v>0.45</v>
      </c>
      <c r="D1085">
        <v>2.4</v>
      </c>
      <c r="E1085">
        <v>7.2000000000000008E-2</v>
      </c>
      <c r="F1085">
        <v>32</v>
      </c>
      <c r="G1085">
        <v>59</v>
      </c>
      <c r="H1085">
        <v>0.99617000000000011</v>
      </c>
      <c r="I1085">
        <v>3.33</v>
      </c>
      <c r="J1085">
        <v>0.77</v>
      </c>
      <c r="K1085">
        <v>12</v>
      </c>
      <c r="L1085">
        <v>6</v>
      </c>
      <c r="M1085" t="str">
        <f t="shared" si="128"/>
        <v>Medium</v>
      </c>
      <c r="N1085">
        <f>(winequality_red[[#This Row],[Updated Quality &amp; Alcohol Analysis]]+winequality_red[[#This Row],[volatile acidity]]+winequality_red[[#This Row],[citric acid]])</f>
        <v>9.5699999999999985</v>
      </c>
      <c r="O1085">
        <f t="shared" si="129"/>
        <v>2.6950000000000002E-2</v>
      </c>
      <c r="S1085" t="e">
        <f t="shared" si="130"/>
        <v>#N/A</v>
      </c>
      <c r="T1085" t="e">
        <f t="shared" si="131"/>
        <v>#N/A</v>
      </c>
      <c r="U1085">
        <f t="shared" si="132"/>
        <v>12</v>
      </c>
      <c r="V1085">
        <f t="shared" si="133"/>
        <v>6</v>
      </c>
      <c r="W1085" t="e">
        <f t="shared" si="134"/>
        <v>#N/A</v>
      </c>
      <c r="X1085" t="e">
        <f t="shared" si="135"/>
        <v>#N/A</v>
      </c>
    </row>
    <row r="1086" spans="1:24" x14ac:dyDescent="0.3">
      <c r="A1086">
        <v>7.2</v>
      </c>
      <c r="B1086">
        <v>0.38</v>
      </c>
      <c r="C1086">
        <v>0.3</v>
      </c>
      <c r="D1086">
        <v>1.8</v>
      </c>
      <c r="E1086">
        <v>7.2999999999999995E-2</v>
      </c>
      <c r="F1086">
        <v>31</v>
      </c>
      <c r="G1086">
        <v>70</v>
      </c>
      <c r="H1086">
        <v>0.99685000000000001</v>
      </c>
      <c r="I1086">
        <v>3.42</v>
      </c>
      <c r="J1086">
        <v>0.59</v>
      </c>
      <c r="K1086">
        <v>9.5</v>
      </c>
      <c r="L1086">
        <v>6</v>
      </c>
      <c r="M1086" t="str">
        <f t="shared" si="128"/>
        <v>Medium</v>
      </c>
      <c r="N1086">
        <f>(winequality_red[[#This Row],[Updated Quality &amp; Alcohol Analysis]]+winequality_red[[#This Row],[volatile acidity]]+winequality_red[[#This Row],[citric acid]])</f>
        <v>7.88</v>
      </c>
      <c r="O1086">
        <f t="shared" si="129"/>
        <v>2.3599999999999999E-2</v>
      </c>
      <c r="S1086" t="e">
        <f t="shared" si="130"/>
        <v>#N/A</v>
      </c>
      <c r="T1086" t="e">
        <f t="shared" si="131"/>
        <v>#N/A</v>
      </c>
      <c r="U1086">
        <f t="shared" si="132"/>
        <v>9.5</v>
      </c>
      <c r="V1086">
        <f t="shared" si="133"/>
        <v>6</v>
      </c>
      <c r="W1086" t="e">
        <f t="shared" si="134"/>
        <v>#N/A</v>
      </c>
      <c r="X1086" t="e">
        <f t="shared" si="135"/>
        <v>#N/A</v>
      </c>
    </row>
    <row r="1087" spans="1:24" x14ac:dyDescent="0.3">
      <c r="A1087">
        <v>6.8</v>
      </c>
      <c r="B1087">
        <v>0.48</v>
      </c>
      <c r="C1087">
        <v>0.08</v>
      </c>
      <c r="D1087">
        <v>1.8</v>
      </c>
      <c r="E1087">
        <v>7.400000000000001E-2</v>
      </c>
      <c r="F1087">
        <v>40</v>
      </c>
      <c r="G1087">
        <v>64</v>
      </c>
      <c r="H1087">
        <v>0.99529000000000001</v>
      </c>
      <c r="I1087">
        <v>3.12</v>
      </c>
      <c r="J1087">
        <v>0.49</v>
      </c>
      <c r="K1087">
        <v>9.6</v>
      </c>
      <c r="L1087">
        <v>5</v>
      </c>
      <c r="M1087" t="str">
        <f t="shared" si="128"/>
        <v>Medium</v>
      </c>
      <c r="N1087">
        <f>(winequality_red[[#This Row],[Updated Quality &amp; Alcohol Analysis]]+winequality_red[[#This Row],[volatile acidity]]+winequality_red[[#This Row],[citric acid]])</f>
        <v>7.3599999999999994</v>
      </c>
      <c r="O1087">
        <f t="shared" si="129"/>
        <v>2.4500000000000001E-2</v>
      </c>
      <c r="S1087" t="e">
        <f t="shared" si="130"/>
        <v>#N/A</v>
      </c>
      <c r="T1087" t="e">
        <f t="shared" si="131"/>
        <v>#N/A</v>
      </c>
      <c r="U1087">
        <f t="shared" si="132"/>
        <v>9.6</v>
      </c>
      <c r="V1087">
        <f t="shared" si="133"/>
        <v>5</v>
      </c>
      <c r="W1087" t="e">
        <f t="shared" si="134"/>
        <v>#N/A</v>
      </c>
      <c r="X1087" t="e">
        <f t="shared" si="135"/>
        <v>#N/A</v>
      </c>
    </row>
    <row r="1088" spans="1:24" x14ac:dyDescent="0.3">
      <c r="A1088">
        <v>8.5</v>
      </c>
      <c r="B1088">
        <v>0.34</v>
      </c>
      <c r="C1088">
        <v>0.4</v>
      </c>
      <c r="D1088">
        <v>4.7</v>
      </c>
      <c r="E1088">
        <v>5.5E-2</v>
      </c>
      <c r="F1088">
        <v>3</v>
      </c>
      <c r="G1088">
        <v>9</v>
      </c>
      <c r="H1088">
        <v>0.99737999999999993</v>
      </c>
      <c r="I1088">
        <v>3.38</v>
      </c>
      <c r="J1088">
        <v>0.66</v>
      </c>
      <c r="K1088">
        <v>11.6</v>
      </c>
      <c r="L1088">
        <v>7</v>
      </c>
      <c r="M1088" t="str">
        <f t="shared" si="128"/>
        <v>High</v>
      </c>
      <c r="N1088">
        <f>(winequality_red[[#This Row],[Updated Quality &amp; Alcohol Analysis]]+winequality_red[[#This Row],[volatile acidity]]+winequality_red[[#This Row],[citric acid]])</f>
        <v>9.24</v>
      </c>
      <c r="O1088">
        <f t="shared" si="129"/>
        <v>1.9344827586206897E-2</v>
      </c>
      <c r="S1088" t="e">
        <f t="shared" si="130"/>
        <v>#N/A</v>
      </c>
      <c r="T1088" t="e">
        <f t="shared" si="131"/>
        <v>#N/A</v>
      </c>
      <c r="U1088" t="e">
        <f t="shared" si="132"/>
        <v>#N/A</v>
      </c>
      <c r="V1088" t="e">
        <f t="shared" si="133"/>
        <v>#N/A</v>
      </c>
      <c r="W1088">
        <f t="shared" si="134"/>
        <v>11.6</v>
      </c>
      <c r="X1088">
        <f t="shared" si="135"/>
        <v>7</v>
      </c>
    </row>
    <row r="1089" spans="1:24" x14ac:dyDescent="0.3">
      <c r="A1089">
        <v>7.9</v>
      </c>
      <c r="B1089">
        <v>0.19</v>
      </c>
      <c r="C1089">
        <v>0.42</v>
      </c>
      <c r="D1089">
        <v>1.6</v>
      </c>
      <c r="E1089">
        <v>5.7000000000000002E-2</v>
      </c>
      <c r="F1089">
        <v>18</v>
      </c>
      <c r="G1089">
        <v>30</v>
      </c>
      <c r="H1089">
        <v>0.99400000000000011</v>
      </c>
      <c r="I1089">
        <v>3.29</v>
      </c>
      <c r="J1089">
        <v>0.69</v>
      </c>
      <c r="K1089">
        <v>11.2</v>
      </c>
      <c r="L1089">
        <v>6</v>
      </c>
      <c r="M1089" t="str">
        <f t="shared" si="128"/>
        <v>Medium</v>
      </c>
      <c r="N1089">
        <f>(winequality_red[[#This Row],[Updated Quality &amp; Alcohol Analysis]]+winequality_red[[#This Row],[volatile acidity]]+winequality_red[[#This Row],[citric acid]])</f>
        <v>8.51</v>
      </c>
      <c r="O1089">
        <f t="shared" si="129"/>
        <v>1.1705357142857142E-2</v>
      </c>
      <c r="S1089" t="e">
        <f t="shared" si="130"/>
        <v>#N/A</v>
      </c>
      <c r="T1089" t="e">
        <f t="shared" si="131"/>
        <v>#N/A</v>
      </c>
      <c r="U1089">
        <f t="shared" si="132"/>
        <v>11.2</v>
      </c>
      <c r="V1089">
        <f t="shared" si="133"/>
        <v>6</v>
      </c>
      <c r="W1089" t="e">
        <f t="shared" si="134"/>
        <v>#N/A</v>
      </c>
      <c r="X1089" t="e">
        <f t="shared" si="135"/>
        <v>#N/A</v>
      </c>
    </row>
    <row r="1090" spans="1:24" x14ac:dyDescent="0.3">
      <c r="A1090">
        <v>11.6</v>
      </c>
      <c r="B1090">
        <v>0.41</v>
      </c>
      <c r="C1090">
        <v>0.54</v>
      </c>
      <c r="D1090">
        <v>1.5</v>
      </c>
      <c r="E1090">
        <v>9.5000000000000001E-2</v>
      </c>
      <c r="F1090">
        <v>22</v>
      </c>
      <c r="G1090">
        <v>41</v>
      </c>
      <c r="H1090">
        <v>0.99734999999999996</v>
      </c>
      <c r="I1090">
        <v>3.02</v>
      </c>
      <c r="J1090">
        <v>0.76</v>
      </c>
      <c r="K1090">
        <v>9.9</v>
      </c>
      <c r="L1090">
        <v>7</v>
      </c>
      <c r="M1090" t="str">
        <f t="shared" ref="M1090:M1153" si="136">IF($L1090&gt;=7,"High",IF($L1090&gt;=5,"Medium","Low"))</f>
        <v>High</v>
      </c>
      <c r="N1090">
        <f>(winequality_red[[#This Row],[Updated Quality &amp; Alcohol Analysis]]+winequality_red[[#This Row],[volatile acidity]]+winequality_red[[#This Row],[citric acid]])</f>
        <v>12.55</v>
      </c>
      <c r="O1090">
        <f t="shared" ref="O1090:O1153" si="137">($B1090*$J1090)/$K1090</f>
        <v>3.1474747474747475E-2</v>
      </c>
      <c r="S1090" t="e">
        <f t="shared" si="130"/>
        <v>#N/A</v>
      </c>
      <c r="T1090" t="e">
        <f t="shared" si="131"/>
        <v>#N/A</v>
      </c>
      <c r="U1090" t="e">
        <f t="shared" si="132"/>
        <v>#N/A</v>
      </c>
      <c r="V1090" t="e">
        <f t="shared" si="133"/>
        <v>#N/A</v>
      </c>
      <c r="W1090">
        <f t="shared" si="134"/>
        <v>9.9</v>
      </c>
      <c r="X1090">
        <f t="shared" si="135"/>
        <v>7</v>
      </c>
    </row>
    <row r="1091" spans="1:24" x14ac:dyDescent="0.3">
      <c r="A1091">
        <v>11.6</v>
      </c>
      <c r="B1091">
        <v>0.41</v>
      </c>
      <c r="C1091">
        <v>0.54</v>
      </c>
      <c r="D1091">
        <v>1.5</v>
      </c>
      <c r="E1091">
        <v>9.5000000000000001E-2</v>
      </c>
      <c r="F1091">
        <v>22</v>
      </c>
      <c r="G1091">
        <v>41</v>
      </c>
      <c r="H1091">
        <v>0.99734999999999996</v>
      </c>
      <c r="I1091">
        <v>3.02</v>
      </c>
      <c r="J1091">
        <v>0.76</v>
      </c>
      <c r="K1091">
        <v>9.9</v>
      </c>
      <c r="L1091">
        <v>7</v>
      </c>
      <c r="M1091" t="str">
        <f t="shared" si="136"/>
        <v>High</v>
      </c>
      <c r="N1091">
        <f>(winequality_red[[#This Row],[Updated Quality &amp; Alcohol Analysis]]+winequality_red[[#This Row],[volatile acidity]]+winequality_red[[#This Row],[citric acid]])</f>
        <v>12.55</v>
      </c>
      <c r="O1091">
        <f t="shared" si="137"/>
        <v>3.1474747474747475E-2</v>
      </c>
      <c r="S1091" t="e">
        <f t="shared" ref="S1091:S1154" si="138">IF($M1091="Low",$K1091,NA())</f>
        <v>#N/A</v>
      </c>
      <c r="T1091" t="e">
        <f t="shared" ref="T1091:T1154" si="139">IF($M1091="Low",$L1091,NA())</f>
        <v>#N/A</v>
      </c>
      <c r="U1091" t="e">
        <f t="shared" ref="U1091:U1154" si="140">IF($M1091="Medium",$K1091,NA())</f>
        <v>#N/A</v>
      </c>
      <c r="V1091" t="e">
        <f t="shared" ref="V1091:V1154" si="141">IF($M1091="Medium",$L1091,NA())</f>
        <v>#N/A</v>
      </c>
      <c r="W1091">
        <f t="shared" ref="W1091:W1154" si="142">IF($M1091="High",$K1091,NA())</f>
        <v>9.9</v>
      </c>
      <c r="X1091">
        <f t="shared" ref="X1091:X1154" si="143">IF($M1091="High",$L1091,NA())</f>
        <v>7</v>
      </c>
    </row>
    <row r="1092" spans="1:24" x14ac:dyDescent="0.3">
      <c r="A1092">
        <v>10</v>
      </c>
      <c r="B1092">
        <v>0.26</v>
      </c>
      <c r="C1092">
        <v>0.54</v>
      </c>
      <c r="D1092">
        <v>1.9</v>
      </c>
      <c r="E1092">
        <v>8.3000000000000004E-2</v>
      </c>
      <c r="F1092">
        <v>42</v>
      </c>
      <c r="G1092">
        <v>74</v>
      </c>
      <c r="H1092">
        <v>0.99451000000000001</v>
      </c>
      <c r="I1092">
        <v>2.98</v>
      </c>
      <c r="J1092">
        <v>0.63</v>
      </c>
      <c r="K1092">
        <v>11.8</v>
      </c>
      <c r="L1092">
        <v>8</v>
      </c>
      <c r="M1092" t="str">
        <f t="shared" si="136"/>
        <v>High</v>
      </c>
      <c r="N1092">
        <f>(winequality_red[[#This Row],[Updated Quality &amp; Alcohol Analysis]]+winequality_red[[#This Row],[volatile acidity]]+winequality_red[[#This Row],[citric acid]])</f>
        <v>10.8</v>
      </c>
      <c r="O1092">
        <f t="shared" si="137"/>
        <v>1.3881355932203389E-2</v>
      </c>
      <c r="S1092" t="e">
        <f t="shared" si="138"/>
        <v>#N/A</v>
      </c>
      <c r="T1092" t="e">
        <f t="shared" si="139"/>
        <v>#N/A</v>
      </c>
      <c r="U1092" t="e">
        <f t="shared" si="140"/>
        <v>#N/A</v>
      </c>
      <c r="V1092" t="e">
        <f t="shared" si="141"/>
        <v>#N/A</v>
      </c>
      <c r="W1092">
        <f t="shared" si="142"/>
        <v>11.8</v>
      </c>
      <c r="X1092">
        <f t="shared" si="143"/>
        <v>8</v>
      </c>
    </row>
    <row r="1093" spans="1:24" x14ac:dyDescent="0.3">
      <c r="A1093">
        <v>7.9</v>
      </c>
      <c r="B1093">
        <v>0.34</v>
      </c>
      <c r="C1093">
        <v>0.42</v>
      </c>
      <c r="D1093">
        <v>2</v>
      </c>
      <c r="E1093">
        <v>8.5999999999999993E-2</v>
      </c>
      <c r="F1093">
        <v>8</v>
      </c>
      <c r="G1093">
        <v>19</v>
      </c>
      <c r="H1093">
        <v>0.99546000000000001</v>
      </c>
      <c r="I1093">
        <v>3.35</v>
      </c>
      <c r="J1093">
        <v>0.6</v>
      </c>
      <c r="K1093">
        <v>11.4</v>
      </c>
      <c r="L1093">
        <v>6</v>
      </c>
      <c r="M1093" t="str">
        <f t="shared" si="136"/>
        <v>Medium</v>
      </c>
      <c r="N1093">
        <f>(winequality_red[[#This Row],[Updated Quality &amp; Alcohol Analysis]]+winequality_red[[#This Row],[volatile acidity]]+winequality_red[[#This Row],[citric acid]])</f>
        <v>8.66</v>
      </c>
      <c r="O1093">
        <f t="shared" si="137"/>
        <v>1.7894736842105265E-2</v>
      </c>
      <c r="S1093" t="e">
        <f t="shared" si="138"/>
        <v>#N/A</v>
      </c>
      <c r="T1093" t="e">
        <f t="shared" si="139"/>
        <v>#N/A</v>
      </c>
      <c r="U1093">
        <f t="shared" si="140"/>
        <v>11.4</v>
      </c>
      <c r="V1093">
        <f t="shared" si="141"/>
        <v>6</v>
      </c>
      <c r="W1093" t="e">
        <f t="shared" si="142"/>
        <v>#N/A</v>
      </c>
      <c r="X1093" t="e">
        <f t="shared" si="143"/>
        <v>#N/A</v>
      </c>
    </row>
    <row r="1094" spans="1:24" x14ac:dyDescent="0.3">
      <c r="A1094">
        <v>7</v>
      </c>
      <c r="B1094">
        <v>0.54</v>
      </c>
      <c r="C1094">
        <v>0.09</v>
      </c>
      <c r="D1094">
        <v>2</v>
      </c>
      <c r="E1094">
        <v>8.1000000000000003E-2</v>
      </c>
      <c r="F1094">
        <v>10</v>
      </c>
      <c r="G1094">
        <v>16</v>
      </c>
      <c r="H1094">
        <v>0.99478999999999995</v>
      </c>
      <c r="I1094">
        <v>3.43</v>
      </c>
      <c r="J1094">
        <v>0.59</v>
      </c>
      <c r="K1094">
        <v>11.5</v>
      </c>
      <c r="L1094">
        <v>6</v>
      </c>
      <c r="M1094" t="str">
        <f t="shared" si="136"/>
        <v>Medium</v>
      </c>
      <c r="N1094">
        <f>(winequality_red[[#This Row],[Updated Quality &amp; Alcohol Analysis]]+winequality_red[[#This Row],[volatile acidity]]+winequality_red[[#This Row],[citric acid]])</f>
        <v>7.63</v>
      </c>
      <c r="O1094">
        <f t="shared" si="137"/>
        <v>2.7704347826086956E-2</v>
      </c>
      <c r="S1094" t="e">
        <f t="shared" si="138"/>
        <v>#N/A</v>
      </c>
      <c r="T1094" t="e">
        <f t="shared" si="139"/>
        <v>#N/A</v>
      </c>
      <c r="U1094">
        <f t="shared" si="140"/>
        <v>11.5</v>
      </c>
      <c r="V1094">
        <f t="shared" si="141"/>
        <v>6</v>
      </c>
      <c r="W1094" t="e">
        <f t="shared" si="142"/>
        <v>#N/A</v>
      </c>
      <c r="X1094" t="e">
        <f t="shared" si="143"/>
        <v>#N/A</v>
      </c>
    </row>
    <row r="1095" spans="1:24" x14ac:dyDescent="0.3">
      <c r="A1095">
        <v>9.1999999999999993</v>
      </c>
      <c r="B1095">
        <v>0.31</v>
      </c>
      <c r="C1095">
        <v>0.36</v>
      </c>
      <c r="D1095">
        <v>2.2000000000000002</v>
      </c>
      <c r="E1095">
        <v>7.9000000000000001E-2</v>
      </c>
      <c r="F1095">
        <v>11</v>
      </c>
      <c r="G1095">
        <v>31</v>
      </c>
      <c r="H1095">
        <v>0.99614999999999998</v>
      </c>
      <c r="I1095">
        <v>3.33</v>
      </c>
      <c r="J1095">
        <v>0.86</v>
      </c>
      <c r="K1095">
        <v>12</v>
      </c>
      <c r="L1095">
        <v>7</v>
      </c>
      <c r="M1095" t="str">
        <f t="shared" si="136"/>
        <v>High</v>
      </c>
      <c r="N1095">
        <f>(winequality_red[[#This Row],[Updated Quality &amp; Alcohol Analysis]]+winequality_red[[#This Row],[volatile acidity]]+winequality_red[[#This Row],[citric acid]])</f>
        <v>9.8699999999999992</v>
      </c>
      <c r="O1095">
        <f t="shared" si="137"/>
        <v>2.2216666666666666E-2</v>
      </c>
      <c r="S1095" t="e">
        <f t="shared" si="138"/>
        <v>#N/A</v>
      </c>
      <c r="T1095" t="e">
        <f t="shared" si="139"/>
        <v>#N/A</v>
      </c>
      <c r="U1095" t="e">
        <f t="shared" si="140"/>
        <v>#N/A</v>
      </c>
      <c r="V1095" t="e">
        <f t="shared" si="141"/>
        <v>#N/A</v>
      </c>
      <c r="W1095">
        <f t="shared" si="142"/>
        <v>12</v>
      </c>
      <c r="X1095">
        <f t="shared" si="143"/>
        <v>7</v>
      </c>
    </row>
    <row r="1096" spans="1:24" x14ac:dyDescent="0.3">
      <c r="A1096">
        <v>6.6</v>
      </c>
      <c r="B1096">
        <v>0.72499999999999998</v>
      </c>
      <c r="C1096">
        <v>0.09</v>
      </c>
      <c r="D1096">
        <v>5.5</v>
      </c>
      <c r="E1096">
        <v>0.11699999999999999</v>
      </c>
      <c r="F1096">
        <v>9</v>
      </c>
      <c r="G1096">
        <v>17</v>
      </c>
      <c r="H1096">
        <v>0.99655000000000005</v>
      </c>
      <c r="I1096">
        <v>3.35</v>
      </c>
      <c r="J1096">
        <v>0.49</v>
      </c>
      <c r="K1096">
        <v>10.8</v>
      </c>
      <c r="L1096">
        <v>6</v>
      </c>
      <c r="M1096" t="str">
        <f t="shared" si="136"/>
        <v>Medium</v>
      </c>
      <c r="N1096">
        <f>(winequality_red[[#This Row],[Updated Quality &amp; Alcohol Analysis]]+winequality_red[[#This Row],[volatile acidity]]+winequality_red[[#This Row],[citric acid]])</f>
        <v>7.4149999999999991</v>
      </c>
      <c r="O1096">
        <f t="shared" si="137"/>
        <v>3.2893518518518516E-2</v>
      </c>
      <c r="S1096" t="e">
        <f t="shared" si="138"/>
        <v>#N/A</v>
      </c>
      <c r="T1096" t="e">
        <f t="shared" si="139"/>
        <v>#N/A</v>
      </c>
      <c r="U1096">
        <f t="shared" si="140"/>
        <v>10.8</v>
      </c>
      <c r="V1096">
        <f t="shared" si="141"/>
        <v>6</v>
      </c>
      <c r="W1096" t="e">
        <f t="shared" si="142"/>
        <v>#N/A</v>
      </c>
      <c r="X1096" t="e">
        <f t="shared" si="143"/>
        <v>#N/A</v>
      </c>
    </row>
    <row r="1097" spans="1:24" x14ac:dyDescent="0.3">
      <c r="A1097">
        <v>9.4</v>
      </c>
      <c r="B1097">
        <v>0.4</v>
      </c>
      <c r="C1097">
        <v>0.47</v>
      </c>
      <c r="D1097">
        <v>2.5</v>
      </c>
      <c r="E1097">
        <v>8.6999999999999994E-2</v>
      </c>
      <c r="F1097">
        <v>6</v>
      </c>
      <c r="G1097">
        <v>20</v>
      </c>
      <c r="H1097">
        <v>0.99772000000000005</v>
      </c>
      <c r="I1097">
        <v>3.15</v>
      </c>
      <c r="J1097">
        <v>0.5</v>
      </c>
      <c r="K1097">
        <v>10.5</v>
      </c>
      <c r="L1097">
        <v>5</v>
      </c>
      <c r="M1097" t="str">
        <f t="shared" si="136"/>
        <v>Medium</v>
      </c>
      <c r="N1097">
        <f>(winequality_red[[#This Row],[Updated Quality &amp; Alcohol Analysis]]+winequality_red[[#This Row],[volatile acidity]]+winequality_red[[#This Row],[citric acid]])</f>
        <v>10.270000000000001</v>
      </c>
      <c r="O1097">
        <f t="shared" si="137"/>
        <v>1.9047619047619049E-2</v>
      </c>
      <c r="S1097" t="e">
        <f t="shared" si="138"/>
        <v>#N/A</v>
      </c>
      <c r="T1097" t="e">
        <f t="shared" si="139"/>
        <v>#N/A</v>
      </c>
      <c r="U1097">
        <f t="shared" si="140"/>
        <v>10.5</v>
      </c>
      <c r="V1097">
        <f t="shared" si="141"/>
        <v>5</v>
      </c>
      <c r="W1097" t="e">
        <f t="shared" si="142"/>
        <v>#N/A</v>
      </c>
      <c r="X1097" t="e">
        <f t="shared" si="143"/>
        <v>#N/A</v>
      </c>
    </row>
    <row r="1098" spans="1:24" x14ac:dyDescent="0.3">
      <c r="A1098">
        <v>6.6</v>
      </c>
      <c r="B1098">
        <v>0.72499999999999998</v>
      </c>
      <c r="C1098">
        <v>0.09</v>
      </c>
      <c r="D1098">
        <v>5.5</v>
      </c>
      <c r="E1098">
        <v>0.11699999999999999</v>
      </c>
      <c r="F1098">
        <v>9</v>
      </c>
      <c r="G1098">
        <v>17</v>
      </c>
      <c r="H1098">
        <v>0.99655000000000005</v>
      </c>
      <c r="I1098">
        <v>3.35</v>
      </c>
      <c r="J1098">
        <v>0.49</v>
      </c>
      <c r="K1098">
        <v>10.8</v>
      </c>
      <c r="L1098">
        <v>6</v>
      </c>
      <c r="M1098" t="str">
        <f t="shared" si="136"/>
        <v>Medium</v>
      </c>
      <c r="N1098">
        <f>(winequality_red[[#This Row],[Updated Quality &amp; Alcohol Analysis]]+winequality_red[[#This Row],[volatile acidity]]+winequality_red[[#This Row],[citric acid]])</f>
        <v>7.4149999999999991</v>
      </c>
      <c r="O1098">
        <f t="shared" si="137"/>
        <v>3.2893518518518516E-2</v>
      </c>
      <c r="S1098" t="e">
        <f t="shared" si="138"/>
        <v>#N/A</v>
      </c>
      <c r="T1098" t="e">
        <f t="shared" si="139"/>
        <v>#N/A</v>
      </c>
      <c r="U1098">
        <f t="shared" si="140"/>
        <v>10.8</v>
      </c>
      <c r="V1098">
        <f t="shared" si="141"/>
        <v>6</v>
      </c>
      <c r="W1098" t="e">
        <f t="shared" si="142"/>
        <v>#N/A</v>
      </c>
      <c r="X1098" t="e">
        <f t="shared" si="143"/>
        <v>#N/A</v>
      </c>
    </row>
    <row r="1099" spans="1:24" x14ac:dyDescent="0.3">
      <c r="A1099">
        <v>8.6</v>
      </c>
      <c r="B1099">
        <v>0.52</v>
      </c>
      <c r="C1099">
        <v>0.38</v>
      </c>
      <c r="D1099">
        <v>1.5</v>
      </c>
      <c r="E1099">
        <v>9.6000000000000002E-2</v>
      </c>
      <c r="F1099">
        <v>5</v>
      </c>
      <c r="G1099">
        <v>18</v>
      </c>
      <c r="H1099">
        <v>0.99665999999999999</v>
      </c>
      <c r="I1099">
        <v>3.2</v>
      </c>
      <c r="J1099">
        <v>0.52</v>
      </c>
      <c r="K1099">
        <v>9.4</v>
      </c>
      <c r="L1099">
        <v>5</v>
      </c>
      <c r="M1099" t="str">
        <f t="shared" si="136"/>
        <v>Medium</v>
      </c>
      <c r="N1099">
        <f>(winequality_red[[#This Row],[Updated Quality &amp; Alcohol Analysis]]+winequality_red[[#This Row],[volatile acidity]]+winequality_red[[#This Row],[citric acid]])</f>
        <v>9.5</v>
      </c>
      <c r="O1099">
        <f t="shared" si="137"/>
        <v>2.8765957446808512E-2</v>
      </c>
      <c r="S1099" t="e">
        <f t="shared" si="138"/>
        <v>#N/A</v>
      </c>
      <c r="T1099" t="e">
        <f t="shared" si="139"/>
        <v>#N/A</v>
      </c>
      <c r="U1099">
        <f t="shared" si="140"/>
        <v>9.4</v>
      </c>
      <c r="V1099">
        <f t="shared" si="141"/>
        <v>5</v>
      </c>
      <c r="W1099" t="e">
        <f t="shared" si="142"/>
        <v>#N/A</v>
      </c>
      <c r="X1099" t="e">
        <f t="shared" si="143"/>
        <v>#N/A</v>
      </c>
    </row>
    <row r="1100" spans="1:24" x14ac:dyDescent="0.3">
      <c r="A1100">
        <v>8</v>
      </c>
      <c r="B1100">
        <v>0.31</v>
      </c>
      <c r="C1100">
        <v>0.45</v>
      </c>
      <c r="D1100">
        <v>2.1</v>
      </c>
      <c r="E1100">
        <v>0.21600000000000003</v>
      </c>
      <c r="F1100">
        <v>5</v>
      </c>
      <c r="G1100">
        <v>16</v>
      </c>
      <c r="H1100">
        <v>0.99357999999999991</v>
      </c>
      <c r="I1100">
        <v>3.15</v>
      </c>
      <c r="J1100">
        <v>0.81</v>
      </c>
      <c r="K1100">
        <v>12.5</v>
      </c>
      <c r="L1100">
        <v>7</v>
      </c>
      <c r="M1100" t="str">
        <f t="shared" si="136"/>
        <v>High</v>
      </c>
      <c r="N1100">
        <f>(winequality_red[[#This Row],[Updated Quality &amp; Alcohol Analysis]]+winequality_red[[#This Row],[volatile acidity]]+winequality_red[[#This Row],[citric acid]])</f>
        <v>8.76</v>
      </c>
      <c r="O1100">
        <f t="shared" si="137"/>
        <v>2.0087999999999998E-2</v>
      </c>
      <c r="S1100" t="e">
        <f t="shared" si="138"/>
        <v>#N/A</v>
      </c>
      <c r="T1100" t="e">
        <f t="shared" si="139"/>
        <v>#N/A</v>
      </c>
      <c r="U1100" t="e">
        <f t="shared" si="140"/>
        <v>#N/A</v>
      </c>
      <c r="V1100" t="e">
        <f t="shared" si="141"/>
        <v>#N/A</v>
      </c>
      <c r="W1100">
        <f t="shared" si="142"/>
        <v>12.5</v>
      </c>
      <c r="X1100">
        <f t="shared" si="143"/>
        <v>7</v>
      </c>
    </row>
    <row r="1101" spans="1:24" x14ac:dyDescent="0.3">
      <c r="A1101">
        <v>8.6</v>
      </c>
      <c r="B1101">
        <v>0.52</v>
      </c>
      <c r="C1101">
        <v>0.38</v>
      </c>
      <c r="D1101">
        <v>1.5</v>
      </c>
      <c r="E1101">
        <v>9.6000000000000002E-2</v>
      </c>
      <c r="F1101">
        <v>5</v>
      </c>
      <c r="G1101">
        <v>18</v>
      </c>
      <c r="H1101">
        <v>0.99665999999999999</v>
      </c>
      <c r="I1101">
        <v>3.2</v>
      </c>
      <c r="J1101">
        <v>0.52</v>
      </c>
      <c r="K1101">
        <v>9.4</v>
      </c>
      <c r="L1101">
        <v>5</v>
      </c>
      <c r="M1101" t="str">
        <f t="shared" si="136"/>
        <v>Medium</v>
      </c>
      <c r="N1101">
        <f>(winequality_red[[#This Row],[Updated Quality &amp; Alcohol Analysis]]+winequality_red[[#This Row],[volatile acidity]]+winequality_red[[#This Row],[citric acid]])</f>
        <v>9.5</v>
      </c>
      <c r="O1101">
        <f t="shared" si="137"/>
        <v>2.8765957446808512E-2</v>
      </c>
      <c r="S1101" t="e">
        <f t="shared" si="138"/>
        <v>#N/A</v>
      </c>
      <c r="T1101" t="e">
        <f t="shared" si="139"/>
        <v>#N/A</v>
      </c>
      <c r="U1101">
        <f t="shared" si="140"/>
        <v>9.4</v>
      </c>
      <c r="V1101">
        <f t="shared" si="141"/>
        <v>5</v>
      </c>
      <c r="W1101" t="e">
        <f t="shared" si="142"/>
        <v>#N/A</v>
      </c>
      <c r="X1101" t="e">
        <f t="shared" si="143"/>
        <v>#N/A</v>
      </c>
    </row>
    <row r="1102" spans="1:24" x14ac:dyDescent="0.3">
      <c r="A1102">
        <v>8.4</v>
      </c>
      <c r="B1102">
        <v>0.34</v>
      </c>
      <c r="C1102">
        <v>0.42</v>
      </c>
      <c r="D1102">
        <v>2.1</v>
      </c>
      <c r="E1102">
        <v>7.2000000000000008E-2</v>
      </c>
      <c r="F1102">
        <v>23</v>
      </c>
      <c r="G1102">
        <v>36</v>
      </c>
      <c r="H1102">
        <v>0.99392000000000003</v>
      </c>
      <c r="I1102">
        <v>3.11</v>
      </c>
      <c r="J1102">
        <v>0.78</v>
      </c>
      <c r="K1102">
        <v>12.4</v>
      </c>
      <c r="L1102">
        <v>6</v>
      </c>
      <c r="M1102" t="str">
        <f t="shared" si="136"/>
        <v>Medium</v>
      </c>
      <c r="N1102">
        <f>(winequality_red[[#This Row],[Updated Quality &amp; Alcohol Analysis]]+winequality_red[[#This Row],[volatile acidity]]+winequality_red[[#This Row],[citric acid]])</f>
        <v>9.16</v>
      </c>
      <c r="O1102">
        <f t="shared" si="137"/>
        <v>2.1387096774193551E-2</v>
      </c>
      <c r="S1102" t="e">
        <f t="shared" si="138"/>
        <v>#N/A</v>
      </c>
      <c r="T1102" t="e">
        <f t="shared" si="139"/>
        <v>#N/A</v>
      </c>
      <c r="U1102">
        <f t="shared" si="140"/>
        <v>12.4</v>
      </c>
      <c r="V1102">
        <f t="shared" si="141"/>
        <v>6</v>
      </c>
      <c r="W1102" t="e">
        <f t="shared" si="142"/>
        <v>#N/A</v>
      </c>
      <c r="X1102" t="e">
        <f t="shared" si="143"/>
        <v>#N/A</v>
      </c>
    </row>
    <row r="1103" spans="1:24" x14ac:dyDescent="0.3">
      <c r="A1103">
        <v>7.4</v>
      </c>
      <c r="B1103">
        <v>0.49</v>
      </c>
      <c r="C1103">
        <v>0.27</v>
      </c>
      <c r="D1103">
        <v>2.1</v>
      </c>
      <c r="E1103">
        <v>7.0999999999999994E-2</v>
      </c>
      <c r="F1103">
        <v>14</v>
      </c>
      <c r="G1103">
        <v>25</v>
      </c>
      <c r="H1103">
        <v>0.99387999999999987</v>
      </c>
      <c r="I1103">
        <v>3.35</v>
      </c>
      <c r="J1103">
        <v>0.63</v>
      </c>
      <c r="K1103">
        <v>12</v>
      </c>
      <c r="L1103">
        <v>6</v>
      </c>
      <c r="M1103" t="str">
        <f t="shared" si="136"/>
        <v>Medium</v>
      </c>
      <c r="N1103">
        <f>(winequality_red[[#This Row],[Updated Quality &amp; Alcohol Analysis]]+winequality_red[[#This Row],[volatile acidity]]+winequality_red[[#This Row],[citric acid]])</f>
        <v>8.16</v>
      </c>
      <c r="O1103">
        <f t="shared" si="137"/>
        <v>2.5724999999999998E-2</v>
      </c>
      <c r="S1103" t="e">
        <f t="shared" si="138"/>
        <v>#N/A</v>
      </c>
      <c r="T1103" t="e">
        <f t="shared" si="139"/>
        <v>#N/A</v>
      </c>
      <c r="U1103">
        <f t="shared" si="140"/>
        <v>12</v>
      </c>
      <c r="V1103">
        <f t="shared" si="141"/>
        <v>6</v>
      </c>
      <c r="W1103" t="e">
        <f t="shared" si="142"/>
        <v>#N/A</v>
      </c>
      <c r="X1103" t="e">
        <f t="shared" si="143"/>
        <v>#N/A</v>
      </c>
    </row>
    <row r="1104" spans="1:24" x14ac:dyDescent="0.3">
      <c r="A1104">
        <v>6.1</v>
      </c>
      <c r="B1104">
        <v>0.48</v>
      </c>
      <c r="C1104">
        <v>0.09</v>
      </c>
      <c r="D1104">
        <v>1.7</v>
      </c>
      <c r="E1104">
        <v>7.8E-2</v>
      </c>
      <c r="F1104">
        <v>18</v>
      </c>
      <c r="G1104">
        <v>30</v>
      </c>
      <c r="H1104">
        <v>0.99402000000000013</v>
      </c>
      <c r="I1104">
        <v>3.45</v>
      </c>
      <c r="J1104">
        <v>0.54</v>
      </c>
      <c r="K1104">
        <v>11.2</v>
      </c>
      <c r="L1104">
        <v>6</v>
      </c>
      <c r="M1104" t="str">
        <f t="shared" si="136"/>
        <v>Medium</v>
      </c>
      <c r="N1104">
        <f>(winequality_red[[#This Row],[Updated Quality &amp; Alcohol Analysis]]+winequality_red[[#This Row],[volatile acidity]]+winequality_red[[#This Row],[citric acid]])</f>
        <v>6.67</v>
      </c>
      <c r="O1104">
        <f t="shared" si="137"/>
        <v>2.3142857142857142E-2</v>
      </c>
      <c r="S1104" t="e">
        <f t="shared" si="138"/>
        <v>#N/A</v>
      </c>
      <c r="T1104" t="e">
        <f t="shared" si="139"/>
        <v>#N/A</v>
      </c>
      <c r="U1104">
        <f t="shared" si="140"/>
        <v>11.2</v>
      </c>
      <c r="V1104">
        <f t="shared" si="141"/>
        <v>6</v>
      </c>
      <c r="W1104" t="e">
        <f t="shared" si="142"/>
        <v>#N/A</v>
      </c>
      <c r="X1104" t="e">
        <f t="shared" si="143"/>
        <v>#N/A</v>
      </c>
    </row>
    <row r="1105" spans="1:24" x14ac:dyDescent="0.3">
      <c r="A1105">
        <v>7.4</v>
      </c>
      <c r="B1105">
        <v>0.49</v>
      </c>
      <c r="C1105">
        <v>0.27</v>
      </c>
      <c r="D1105">
        <v>2.1</v>
      </c>
      <c r="E1105">
        <v>7.0999999999999994E-2</v>
      </c>
      <c r="F1105">
        <v>14</v>
      </c>
      <c r="G1105">
        <v>25</v>
      </c>
      <c r="H1105">
        <v>0.99387999999999987</v>
      </c>
      <c r="I1105">
        <v>3.35</v>
      </c>
      <c r="J1105">
        <v>0.63</v>
      </c>
      <c r="K1105">
        <v>12</v>
      </c>
      <c r="L1105">
        <v>6</v>
      </c>
      <c r="M1105" t="str">
        <f t="shared" si="136"/>
        <v>Medium</v>
      </c>
      <c r="N1105">
        <f>(winequality_red[[#This Row],[Updated Quality &amp; Alcohol Analysis]]+winequality_red[[#This Row],[volatile acidity]]+winequality_red[[#This Row],[citric acid]])</f>
        <v>8.16</v>
      </c>
      <c r="O1105">
        <f t="shared" si="137"/>
        <v>2.5724999999999998E-2</v>
      </c>
      <c r="S1105" t="e">
        <f t="shared" si="138"/>
        <v>#N/A</v>
      </c>
      <c r="T1105" t="e">
        <f t="shared" si="139"/>
        <v>#N/A</v>
      </c>
      <c r="U1105">
        <f t="shared" si="140"/>
        <v>12</v>
      </c>
      <c r="V1105">
        <f t="shared" si="141"/>
        <v>6</v>
      </c>
      <c r="W1105" t="e">
        <f t="shared" si="142"/>
        <v>#N/A</v>
      </c>
      <c r="X1105" t="e">
        <f t="shared" si="143"/>
        <v>#N/A</v>
      </c>
    </row>
    <row r="1106" spans="1:24" x14ac:dyDescent="0.3">
      <c r="A1106">
        <v>8</v>
      </c>
      <c r="B1106">
        <v>0.48</v>
      </c>
      <c r="C1106">
        <v>0.34</v>
      </c>
      <c r="D1106">
        <v>2.2000000000000002</v>
      </c>
      <c r="E1106">
        <v>7.2999999999999995E-2</v>
      </c>
      <c r="F1106">
        <v>16</v>
      </c>
      <c r="G1106">
        <v>25</v>
      </c>
      <c r="H1106">
        <v>0.99360000000000004</v>
      </c>
      <c r="I1106">
        <v>3.28</v>
      </c>
      <c r="J1106">
        <v>0.66</v>
      </c>
      <c r="K1106">
        <v>12.4</v>
      </c>
      <c r="L1106">
        <v>6</v>
      </c>
      <c r="M1106" t="str">
        <f t="shared" si="136"/>
        <v>Medium</v>
      </c>
      <c r="N1106">
        <f>(winequality_red[[#This Row],[Updated Quality &amp; Alcohol Analysis]]+winequality_red[[#This Row],[volatile acidity]]+winequality_red[[#This Row],[citric acid]])</f>
        <v>8.82</v>
      </c>
      <c r="O1106">
        <f t="shared" si="137"/>
        <v>2.5548387096774195E-2</v>
      </c>
      <c r="S1106" t="e">
        <f t="shared" si="138"/>
        <v>#N/A</v>
      </c>
      <c r="T1106" t="e">
        <f t="shared" si="139"/>
        <v>#N/A</v>
      </c>
      <c r="U1106">
        <f t="shared" si="140"/>
        <v>12.4</v>
      </c>
      <c r="V1106">
        <f t="shared" si="141"/>
        <v>6</v>
      </c>
      <c r="W1106" t="e">
        <f t="shared" si="142"/>
        <v>#N/A</v>
      </c>
      <c r="X1106" t="e">
        <f t="shared" si="143"/>
        <v>#N/A</v>
      </c>
    </row>
    <row r="1107" spans="1:24" x14ac:dyDescent="0.3">
      <c r="A1107">
        <v>6.3</v>
      </c>
      <c r="B1107">
        <v>0.56999999999999995</v>
      </c>
      <c r="C1107">
        <v>0.28000000000000003</v>
      </c>
      <c r="D1107">
        <v>2.1</v>
      </c>
      <c r="E1107">
        <v>4.8000000000000001E-2</v>
      </c>
      <c r="F1107">
        <v>13</v>
      </c>
      <c r="G1107">
        <v>49</v>
      </c>
      <c r="H1107">
        <v>0.99373999999999996</v>
      </c>
      <c r="I1107">
        <v>3.41</v>
      </c>
      <c r="J1107">
        <v>0.6</v>
      </c>
      <c r="K1107">
        <v>12.8</v>
      </c>
      <c r="L1107">
        <v>5</v>
      </c>
      <c r="M1107" t="str">
        <f t="shared" si="136"/>
        <v>Medium</v>
      </c>
      <c r="N1107">
        <f>(winequality_red[[#This Row],[Updated Quality &amp; Alcohol Analysis]]+winequality_red[[#This Row],[volatile acidity]]+winequality_red[[#This Row],[citric acid]])</f>
        <v>7.15</v>
      </c>
      <c r="O1107">
        <f t="shared" si="137"/>
        <v>2.6718749999999996E-2</v>
      </c>
      <c r="S1107" t="e">
        <f t="shared" si="138"/>
        <v>#N/A</v>
      </c>
      <c r="T1107" t="e">
        <f t="shared" si="139"/>
        <v>#N/A</v>
      </c>
      <c r="U1107">
        <f t="shared" si="140"/>
        <v>12.8</v>
      </c>
      <c r="V1107">
        <f t="shared" si="141"/>
        <v>5</v>
      </c>
      <c r="W1107" t="e">
        <f t="shared" si="142"/>
        <v>#N/A</v>
      </c>
      <c r="X1107" t="e">
        <f t="shared" si="143"/>
        <v>#N/A</v>
      </c>
    </row>
    <row r="1108" spans="1:24" x14ac:dyDescent="0.3">
      <c r="A1108">
        <v>8.1999999999999993</v>
      </c>
      <c r="B1108">
        <v>0.23</v>
      </c>
      <c r="C1108">
        <v>0.42</v>
      </c>
      <c r="D1108">
        <v>1.9</v>
      </c>
      <c r="E1108">
        <v>6.9000000000000006E-2</v>
      </c>
      <c r="F1108">
        <v>9</v>
      </c>
      <c r="G1108">
        <v>17</v>
      </c>
      <c r="H1108">
        <v>0.99376000000000009</v>
      </c>
      <c r="I1108">
        <v>3.21</v>
      </c>
      <c r="J1108">
        <v>0.54</v>
      </c>
      <c r="K1108">
        <v>12.3</v>
      </c>
      <c r="L1108">
        <v>6</v>
      </c>
      <c r="M1108" t="str">
        <f t="shared" si="136"/>
        <v>Medium</v>
      </c>
      <c r="N1108">
        <f>(winequality_red[[#This Row],[Updated Quality &amp; Alcohol Analysis]]+winequality_red[[#This Row],[volatile acidity]]+winequality_red[[#This Row],[citric acid]])</f>
        <v>8.85</v>
      </c>
      <c r="O1108">
        <f t="shared" si="137"/>
        <v>1.0097560975609756E-2</v>
      </c>
      <c r="S1108" t="e">
        <f t="shared" si="138"/>
        <v>#N/A</v>
      </c>
      <c r="T1108" t="e">
        <f t="shared" si="139"/>
        <v>#N/A</v>
      </c>
      <c r="U1108">
        <f t="shared" si="140"/>
        <v>12.3</v>
      </c>
      <c r="V1108">
        <f t="shared" si="141"/>
        <v>6</v>
      </c>
      <c r="W1108" t="e">
        <f t="shared" si="142"/>
        <v>#N/A</v>
      </c>
      <c r="X1108" t="e">
        <f t="shared" si="143"/>
        <v>#N/A</v>
      </c>
    </row>
    <row r="1109" spans="1:24" x14ac:dyDescent="0.3">
      <c r="A1109">
        <v>9.1</v>
      </c>
      <c r="B1109">
        <v>0.3</v>
      </c>
      <c r="C1109">
        <v>0.41</v>
      </c>
      <c r="D1109">
        <v>2</v>
      </c>
      <c r="E1109">
        <v>6.8000000000000005E-2</v>
      </c>
      <c r="F1109">
        <v>10</v>
      </c>
      <c r="G1109">
        <v>24</v>
      </c>
      <c r="H1109">
        <v>0.99522999999999995</v>
      </c>
      <c r="I1109">
        <v>3.27</v>
      </c>
      <c r="J1109">
        <v>0.85</v>
      </c>
      <c r="K1109">
        <v>11.7</v>
      </c>
      <c r="L1109">
        <v>7</v>
      </c>
      <c r="M1109" t="str">
        <f t="shared" si="136"/>
        <v>High</v>
      </c>
      <c r="N1109">
        <f>(winequality_red[[#This Row],[Updated Quality &amp; Alcohol Analysis]]+winequality_red[[#This Row],[volatile acidity]]+winequality_red[[#This Row],[citric acid]])</f>
        <v>9.81</v>
      </c>
      <c r="O1109">
        <f t="shared" si="137"/>
        <v>2.1794871794871797E-2</v>
      </c>
      <c r="S1109" t="e">
        <f t="shared" si="138"/>
        <v>#N/A</v>
      </c>
      <c r="T1109" t="e">
        <f t="shared" si="139"/>
        <v>#N/A</v>
      </c>
      <c r="U1109" t="e">
        <f t="shared" si="140"/>
        <v>#N/A</v>
      </c>
      <c r="V1109" t="e">
        <f t="shared" si="141"/>
        <v>#N/A</v>
      </c>
      <c r="W1109">
        <f t="shared" si="142"/>
        <v>11.7</v>
      </c>
      <c r="X1109">
        <f t="shared" si="143"/>
        <v>7</v>
      </c>
    </row>
    <row r="1110" spans="1:24" x14ac:dyDescent="0.3">
      <c r="A1110">
        <v>8.1</v>
      </c>
      <c r="B1110">
        <v>0.78</v>
      </c>
      <c r="C1110">
        <v>0.1</v>
      </c>
      <c r="D1110">
        <v>3.3</v>
      </c>
      <c r="E1110">
        <v>0.09</v>
      </c>
      <c r="F1110">
        <v>4</v>
      </c>
      <c r="G1110">
        <v>13</v>
      </c>
      <c r="H1110">
        <v>0.99855000000000005</v>
      </c>
      <c r="I1110">
        <v>3.36</v>
      </c>
      <c r="J1110">
        <v>0.49</v>
      </c>
      <c r="K1110">
        <v>9.5</v>
      </c>
      <c r="L1110">
        <v>5</v>
      </c>
      <c r="M1110" t="str">
        <f t="shared" si="136"/>
        <v>Medium</v>
      </c>
      <c r="N1110">
        <f>(winequality_red[[#This Row],[Updated Quality &amp; Alcohol Analysis]]+winequality_red[[#This Row],[volatile acidity]]+winequality_red[[#This Row],[citric acid]])</f>
        <v>8.9799999999999986</v>
      </c>
      <c r="O1110">
        <f t="shared" si="137"/>
        <v>4.0231578947368417E-2</v>
      </c>
      <c r="S1110" t="e">
        <f t="shared" si="138"/>
        <v>#N/A</v>
      </c>
      <c r="T1110" t="e">
        <f t="shared" si="139"/>
        <v>#N/A</v>
      </c>
      <c r="U1110">
        <f t="shared" si="140"/>
        <v>9.5</v>
      </c>
      <c r="V1110">
        <f t="shared" si="141"/>
        <v>5</v>
      </c>
      <c r="W1110" t="e">
        <f t="shared" si="142"/>
        <v>#N/A</v>
      </c>
      <c r="X1110" t="e">
        <f t="shared" si="143"/>
        <v>#N/A</v>
      </c>
    </row>
    <row r="1111" spans="1:24" x14ac:dyDescent="0.3">
      <c r="A1111">
        <v>10.8</v>
      </c>
      <c r="B1111">
        <v>0.47</v>
      </c>
      <c r="C1111">
        <v>0.43</v>
      </c>
      <c r="D1111">
        <v>2.1</v>
      </c>
      <c r="E1111">
        <v>0.17100000000000001</v>
      </c>
      <c r="F1111">
        <v>27</v>
      </c>
      <c r="G1111">
        <v>66</v>
      </c>
      <c r="H1111">
        <v>0.99819999999999998</v>
      </c>
      <c r="I1111">
        <v>3.17</v>
      </c>
      <c r="J1111">
        <v>0.76</v>
      </c>
      <c r="K1111">
        <v>10.8</v>
      </c>
      <c r="L1111">
        <v>6</v>
      </c>
      <c r="M1111" t="str">
        <f t="shared" si="136"/>
        <v>Medium</v>
      </c>
      <c r="N1111">
        <f>(winequality_red[[#This Row],[Updated Quality &amp; Alcohol Analysis]]+winequality_red[[#This Row],[volatile acidity]]+winequality_red[[#This Row],[citric acid]])</f>
        <v>11.700000000000001</v>
      </c>
      <c r="O1111">
        <f t="shared" si="137"/>
        <v>3.3074074074074068E-2</v>
      </c>
      <c r="S1111" t="e">
        <f t="shared" si="138"/>
        <v>#N/A</v>
      </c>
      <c r="T1111" t="e">
        <f t="shared" si="139"/>
        <v>#N/A</v>
      </c>
      <c r="U1111">
        <f t="shared" si="140"/>
        <v>10.8</v>
      </c>
      <c r="V1111">
        <f t="shared" si="141"/>
        <v>6</v>
      </c>
      <c r="W1111" t="e">
        <f t="shared" si="142"/>
        <v>#N/A</v>
      </c>
      <c r="X1111" t="e">
        <f t="shared" si="143"/>
        <v>#N/A</v>
      </c>
    </row>
    <row r="1112" spans="1:24" x14ac:dyDescent="0.3">
      <c r="A1112">
        <v>8.3000000000000007</v>
      </c>
      <c r="B1112">
        <v>0.53</v>
      </c>
      <c r="C1112">
        <v>0</v>
      </c>
      <c r="D1112">
        <v>1.4</v>
      </c>
      <c r="E1112">
        <v>7.0000000000000007E-2</v>
      </c>
      <c r="F1112">
        <v>6</v>
      </c>
      <c r="G1112">
        <v>14</v>
      </c>
      <c r="H1112">
        <v>0.99592999999999998</v>
      </c>
      <c r="I1112">
        <v>3.25</v>
      </c>
      <c r="J1112">
        <v>0.64</v>
      </c>
      <c r="K1112">
        <v>10</v>
      </c>
      <c r="L1112">
        <v>6</v>
      </c>
      <c r="M1112" t="str">
        <f t="shared" si="136"/>
        <v>Medium</v>
      </c>
      <c r="N1112">
        <f>(winequality_red[[#This Row],[Updated Quality &amp; Alcohol Analysis]]+winequality_red[[#This Row],[volatile acidity]]+winequality_red[[#This Row],[citric acid]])</f>
        <v>8.83</v>
      </c>
      <c r="O1112">
        <f t="shared" si="137"/>
        <v>3.3919999999999999E-2</v>
      </c>
      <c r="S1112" t="e">
        <f t="shared" si="138"/>
        <v>#N/A</v>
      </c>
      <c r="T1112" t="e">
        <f t="shared" si="139"/>
        <v>#N/A</v>
      </c>
      <c r="U1112">
        <f t="shared" si="140"/>
        <v>10</v>
      </c>
      <c r="V1112">
        <f t="shared" si="141"/>
        <v>6</v>
      </c>
      <c r="W1112" t="e">
        <f t="shared" si="142"/>
        <v>#N/A</v>
      </c>
      <c r="X1112" t="e">
        <f t="shared" si="143"/>
        <v>#N/A</v>
      </c>
    </row>
    <row r="1113" spans="1:24" x14ac:dyDescent="0.3">
      <c r="A1113">
        <v>5.4</v>
      </c>
      <c r="B1113">
        <v>0.42</v>
      </c>
      <c r="C1113">
        <v>0.27</v>
      </c>
      <c r="D1113">
        <v>2</v>
      </c>
      <c r="E1113">
        <v>9.1999999999999998E-2</v>
      </c>
      <c r="F1113">
        <v>23</v>
      </c>
      <c r="G1113">
        <v>55</v>
      </c>
      <c r="H1113">
        <v>0.99470999999999998</v>
      </c>
      <c r="I1113">
        <v>3.78</v>
      </c>
      <c r="J1113">
        <v>0.64</v>
      </c>
      <c r="K1113">
        <v>12.3</v>
      </c>
      <c r="L1113">
        <v>7</v>
      </c>
      <c r="M1113" t="str">
        <f t="shared" si="136"/>
        <v>High</v>
      </c>
      <c r="N1113">
        <f>(winequality_red[[#This Row],[Updated Quality &amp; Alcohol Analysis]]+winequality_red[[#This Row],[volatile acidity]]+winequality_red[[#This Row],[citric acid]])</f>
        <v>6.09</v>
      </c>
      <c r="O1113">
        <f t="shared" si="137"/>
        <v>2.1853658536585364E-2</v>
      </c>
      <c r="S1113" t="e">
        <f t="shared" si="138"/>
        <v>#N/A</v>
      </c>
      <c r="T1113" t="e">
        <f t="shared" si="139"/>
        <v>#N/A</v>
      </c>
      <c r="U1113" t="e">
        <f t="shared" si="140"/>
        <v>#N/A</v>
      </c>
      <c r="V1113" t="e">
        <f t="shared" si="141"/>
        <v>#N/A</v>
      </c>
      <c r="W1113">
        <f t="shared" si="142"/>
        <v>12.3</v>
      </c>
      <c r="X1113">
        <f t="shared" si="143"/>
        <v>7</v>
      </c>
    </row>
    <row r="1114" spans="1:24" x14ac:dyDescent="0.3">
      <c r="A1114">
        <v>7.9</v>
      </c>
      <c r="B1114">
        <v>0.33</v>
      </c>
      <c r="C1114">
        <v>0.41</v>
      </c>
      <c r="D1114">
        <v>1.5</v>
      </c>
      <c r="E1114">
        <v>5.5999999999999994E-2</v>
      </c>
      <c r="F1114">
        <v>6</v>
      </c>
      <c r="G1114">
        <v>35</v>
      </c>
      <c r="H1114">
        <v>0.99396000000000007</v>
      </c>
      <c r="I1114">
        <v>3.29</v>
      </c>
      <c r="J1114">
        <v>0.71</v>
      </c>
      <c r="K1114">
        <v>11</v>
      </c>
      <c r="L1114">
        <v>6</v>
      </c>
      <c r="M1114" t="str">
        <f t="shared" si="136"/>
        <v>Medium</v>
      </c>
      <c r="N1114">
        <f>(winequality_red[[#This Row],[Updated Quality &amp; Alcohol Analysis]]+winequality_red[[#This Row],[volatile acidity]]+winequality_red[[#This Row],[citric acid]])</f>
        <v>8.64</v>
      </c>
      <c r="O1114">
        <f t="shared" si="137"/>
        <v>2.1299999999999999E-2</v>
      </c>
      <c r="S1114" t="e">
        <f t="shared" si="138"/>
        <v>#N/A</v>
      </c>
      <c r="T1114" t="e">
        <f t="shared" si="139"/>
        <v>#N/A</v>
      </c>
      <c r="U1114">
        <f t="shared" si="140"/>
        <v>11</v>
      </c>
      <c r="V1114">
        <f t="shared" si="141"/>
        <v>6</v>
      </c>
      <c r="W1114" t="e">
        <f t="shared" si="142"/>
        <v>#N/A</v>
      </c>
      <c r="X1114" t="e">
        <f t="shared" si="143"/>
        <v>#N/A</v>
      </c>
    </row>
    <row r="1115" spans="1:24" x14ac:dyDescent="0.3">
      <c r="A1115">
        <v>8.9</v>
      </c>
      <c r="B1115">
        <v>0.24</v>
      </c>
      <c r="C1115">
        <v>0.39</v>
      </c>
      <c r="D1115">
        <v>1.6</v>
      </c>
      <c r="E1115">
        <v>7.400000000000001E-2</v>
      </c>
      <c r="F1115">
        <v>3</v>
      </c>
      <c r="G1115">
        <v>10</v>
      </c>
      <c r="H1115">
        <v>0.99697999999999998</v>
      </c>
      <c r="I1115">
        <v>3.12</v>
      </c>
      <c r="J1115">
        <v>0.59</v>
      </c>
      <c r="K1115">
        <v>9.5</v>
      </c>
      <c r="L1115">
        <v>6</v>
      </c>
      <c r="M1115" t="str">
        <f t="shared" si="136"/>
        <v>Medium</v>
      </c>
      <c r="N1115">
        <f>(winequality_red[[#This Row],[Updated Quality &amp; Alcohol Analysis]]+winequality_red[[#This Row],[volatile acidity]]+winequality_red[[#This Row],[citric acid]])</f>
        <v>9.5300000000000011</v>
      </c>
      <c r="O1115">
        <f t="shared" si="137"/>
        <v>1.4905263157894734E-2</v>
      </c>
      <c r="S1115" t="e">
        <f t="shared" si="138"/>
        <v>#N/A</v>
      </c>
      <c r="T1115" t="e">
        <f t="shared" si="139"/>
        <v>#N/A</v>
      </c>
      <c r="U1115">
        <f t="shared" si="140"/>
        <v>9.5</v>
      </c>
      <c r="V1115">
        <f t="shared" si="141"/>
        <v>6</v>
      </c>
      <c r="W1115" t="e">
        <f t="shared" si="142"/>
        <v>#N/A</v>
      </c>
      <c r="X1115" t="e">
        <f t="shared" si="143"/>
        <v>#N/A</v>
      </c>
    </row>
    <row r="1116" spans="1:24" x14ac:dyDescent="0.3">
      <c r="A1116">
        <v>5</v>
      </c>
      <c r="B1116">
        <v>0.4</v>
      </c>
      <c r="C1116">
        <v>0.5</v>
      </c>
      <c r="D1116">
        <v>4.3</v>
      </c>
      <c r="E1116">
        <v>4.5999999999999999E-2</v>
      </c>
      <c r="F1116">
        <v>29</v>
      </c>
      <c r="G1116">
        <v>80</v>
      </c>
      <c r="H1116">
        <v>0.99019999999999997</v>
      </c>
      <c r="I1116">
        <v>3.49</v>
      </c>
      <c r="J1116">
        <v>0.66</v>
      </c>
      <c r="K1116">
        <v>13.6</v>
      </c>
      <c r="L1116">
        <v>6</v>
      </c>
      <c r="M1116" t="str">
        <f t="shared" si="136"/>
        <v>Medium</v>
      </c>
      <c r="N1116">
        <f>(winequality_red[[#This Row],[Updated Quality &amp; Alcohol Analysis]]+winequality_red[[#This Row],[volatile acidity]]+winequality_red[[#This Row],[citric acid]])</f>
        <v>5.9</v>
      </c>
      <c r="O1116">
        <f t="shared" si="137"/>
        <v>1.9411764705882354E-2</v>
      </c>
      <c r="S1116" t="e">
        <f t="shared" si="138"/>
        <v>#N/A</v>
      </c>
      <c r="T1116" t="e">
        <f t="shared" si="139"/>
        <v>#N/A</v>
      </c>
      <c r="U1116">
        <f t="shared" si="140"/>
        <v>13.6</v>
      </c>
      <c r="V1116">
        <f t="shared" si="141"/>
        <v>6</v>
      </c>
      <c r="W1116" t="e">
        <f t="shared" si="142"/>
        <v>#N/A</v>
      </c>
      <c r="X1116" t="e">
        <f t="shared" si="143"/>
        <v>#N/A</v>
      </c>
    </row>
    <row r="1117" spans="1:24" x14ac:dyDescent="0.3">
      <c r="A1117">
        <v>7</v>
      </c>
      <c r="B1117">
        <v>0.69</v>
      </c>
      <c r="C1117">
        <v>7.0000000000000007E-2</v>
      </c>
      <c r="D1117">
        <v>2.5</v>
      </c>
      <c r="E1117">
        <v>9.0999999999999998E-2</v>
      </c>
      <c r="F1117">
        <v>15</v>
      </c>
      <c r="G1117">
        <v>21</v>
      </c>
      <c r="H1117">
        <v>0.99572000000000005</v>
      </c>
      <c r="I1117">
        <v>3.38</v>
      </c>
      <c r="J1117">
        <v>0.6</v>
      </c>
      <c r="K1117">
        <v>11.3</v>
      </c>
      <c r="L1117">
        <v>6</v>
      </c>
      <c r="M1117" t="str">
        <f t="shared" si="136"/>
        <v>Medium</v>
      </c>
      <c r="N1117">
        <f>(winequality_red[[#This Row],[Updated Quality &amp; Alcohol Analysis]]+winequality_red[[#This Row],[volatile acidity]]+winequality_red[[#This Row],[citric acid]])</f>
        <v>7.76</v>
      </c>
      <c r="O1117">
        <f t="shared" si="137"/>
        <v>3.6637168141592916E-2</v>
      </c>
      <c r="S1117" t="e">
        <f t="shared" si="138"/>
        <v>#N/A</v>
      </c>
      <c r="T1117" t="e">
        <f t="shared" si="139"/>
        <v>#N/A</v>
      </c>
      <c r="U1117">
        <f t="shared" si="140"/>
        <v>11.3</v>
      </c>
      <c r="V1117">
        <f t="shared" si="141"/>
        <v>6</v>
      </c>
      <c r="W1117" t="e">
        <f t="shared" si="142"/>
        <v>#N/A</v>
      </c>
      <c r="X1117" t="e">
        <f t="shared" si="143"/>
        <v>#N/A</v>
      </c>
    </row>
    <row r="1118" spans="1:24" x14ac:dyDescent="0.3">
      <c r="A1118">
        <v>7</v>
      </c>
      <c r="B1118">
        <v>0.69</v>
      </c>
      <c r="C1118">
        <v>7.0000000000000007E-2</v>
      </c>
      <c r="D1118">
        <v>2.5</v>
      </c>
      <c r="E1118">
        <v>9.0999999999999998E-2</v>
      </c>
      <c r="F1118">
        <v>15</v>
      </c>
      <c r="G1118">
        <v>21</v>
      </c>
      <c r="H1118">
        <v>0.99572000000000005</v>
      </c>
      <c r="I1118">
        <v>3.38</v>
      </c>
      <c r="J1118">
        <v>0.6</v>
      </c>
      <c r="K1118">
        <v>11.3</v>
      </c>
      <c r="L1118">
        <v>6</v>
      </c>
      <c r="M1118" t="str">
        <f t="shared" si="136"/>
        <v>Medium</v>
      </c>
      <c r="N1118">
        <f>(winequality_red[[#This Row],[Updated Quality &amp; Alcohol Analysis]]+winequality_red[[#This Row],[volatile acidity]]+winequality_red[[#This Row],[citric acid]])</f>
        <v>7.76</v>
      </c>
      <c r="O1118">
        <f t="shared" si="137"/>
        <v>3.6637168141592916E-2</v>
      </c>
      <c r="S1118" t="e">
        <f t="shared" si="138"/>
        <v>#N/A</v>
      </c>
      <c r="T1118" t="e">
        <f t="shared" si="139"/>
        <v>#N/A</v>
      </c>
      <c r="U1118">
        <f t="shared" si="140"/>
        <v>11.3</v>
      </c>
      <c r="V1118">
        <f t="shared" si="141"/>
        <v>6</v>
      </c>
      <c r="W1118" t="e">
        <f t="shared" si="142"/>
        <v>#N/A</v>
      </c>
      <c r="X1118" t="e">
        <f t="shared" si="143"/>
        <v>#N/A</v>
      </c>
    </row>
    <row r="1119" spans="1:24" x14ac:dyDescent="0.3">
      <c r="A1119">
        <v>7</v>
      </c>
      <c r="B1119">
        <v>0.69</v>
      </c>
      <c r="C1119">
        <v>7.0000000000000007E-2</v>
      </c>
      <c r="D1119">
        <v>2.5</v>
      </c>
      <c r="E1119">
        <v>9.0999999999999998E-2</v>
      </c>
      <c r="F1119">
        <v>15</v>
      </c>
      <c r="G1119">
        <v>21</v>
      </c>
      <c r="H1119">
        <v>0.99572000000000005</v>
      </c>
      <c r="I1119">
        <v>3.38</v>
      </c>
      <c r="J1119">
        <v>0.6</v>
      </c>
      <c r="K1119">
        <v>11.3</v>
      </c>
      <c r="L1119">
        <v>6</v>
      </c>
      <c r="M1119" t="str">
        <f t="shared" si="136"/>
        <v>Medium</v>
      </c>
      <c r="N1119">
        <f>(winequality_red[[#This Row],[Updated Quality &amp; Alcohol Analysis]]+winequality_red[[#This Row],[volatile acidity]]+winequality_red[[#This Row],[citric acid]])</f>
        <v>7.76</v>
      </c>
      <c r="O1119">
        <f t="shared" si="137"/>
        <v>3.6637168141592916E-2</v>
      </c>
      <c r="S1119" t="e">
        <f t="shared" si="138"/>
        <v>#N/A</v>
      </c>
      <c r="T1119" t="e">
        <f t="shared" si="139"/>
        <v>#N/A</v>
      </c>
      <c r="U1119">
        <f t="shared" si="140"/>
        <v>11.3</v>
      </c>
      <c r="V1119">
        <f t="shared" si="141"/>
        <v>6</v>
      </c>
      <c r="W1119" t="e">
        <f t="shared" si="142"/>
        <v>#N/A</v>
      </c>
      <c r="X1119" t="e">
        <f t="shared" si="143"/>
        <v>#N/A</v>
      </c>
    </row>
    <row r="1120" spans="1:24" x14ac:dyDescent="0.3">
      <c r="A1120">
        <v>7.1</v>
      </c>
      <c r="B1120">
        <v>0.39</v>
      </c>
      <c r="C1120">
        <v>0.12</v>
      </c>
      <c r="D1120">
        <v>2.1</v>
      </c>
      <c r="E1120">
        <v>6.5000000000000002E-2</v>
      </c>
      <c r="F1120">
        <v>14</v>
      </c>
      <c r="G1120">
        <v>24</v>
      </c>
      <c r="H1120">
        <v>0.99252000000000007</v>
      </c>
      <c r="I1120">
        <v>3.3</v>
      </c>
      <c r="J1120">
        <v>0.53</v>
      </c>
      <c r="K1120">
        <v>13.3</v>
      </c>
      <c r="L1120">
        <v>6</v>
      </c>
      <c r="M1120" t="str">
        <f t="shared" si="136"/>
        <v>Medium</v>
      </c>
      <c r="N1120">
        <f>(winequality_red[[#This Row],[Updated Quality &amp; Alcohol Analysis]]+winequality_red[[#This Row],[volatile acidity]]+winequality_red[[#This Row],[citric acid]])</f>
        <v>7.6099999999999994</v>
      </c>
      <c r="O1120">
        <f t="shared" si="137"/>
        <v>1.5541353383458648E-2</v>
      </c>
      <c r="S1120" t="e">
        <f t="shared" si="138"/>
        <v>#N/A</v>
      </c>
      <c r="T1120" t="e">
        <f t="shared" si="139"/>
        <v>#N/A</v>
      </c>
      <c r="U1120">
        <f t="shared" si="140"/>
        <v>13.3</v>
      </c>
      <c r="V1120">
        <f t="shared" si="141"/>
        <v>6</v>
      </c>
      <c r="W1120" t="e">
        <f t="shared" si="142"/>
        <v>#N/A</v>
      </c>
      <c r="X1120" t="e">
        <f t="shared" si="143"/>
        <v>#N/A</v>
      </c>
    </row>
    <row r="1121" spans="1:24" x14ac:dyDescent="0.3">
      <c r="A1121">
        <v>5.6</v>
      </c>
      <c r="B1121">
        <v>0.66</v>
      </c>
      <c r="C1121">
        <v>0</v>
      </c>
      <c r="D1121">
        <v>2.5</v>
      </c>
      <c r="E1121">
        <v>6.6000000000000003E-2</v>
      </c>
      <c r="F1121">
        <v>7</v>
      </c>
      <c r="G1121">
        <v>15</v>
      </c>
      <c r="H1121">
        <v>0.99256</v>
      </c>
      <c r="I1121">
        <v>3.52</v>
      </c>
      <c r="J1121">
        <v>0.57999999999999996</v>
      </c>
      <c r="K1121">
        <v>12.9</v>
      </c>
      <c r="L1121">
        <v>5</v>
      </c>
      <c r="M1121" t="str">
        <f t="shared" si="136"/>
        <v>Medium</v>
      </c>
      <c r="N1121">
        <f>(winequality_red[[#This Row],[Updated Quality &amp; Alcohol Analysis]]+winequality_red[[#This Row],[volatile acidity]]+winequality_red[[#This Row],[citric acid]])</f>
        <v>6.26</v>
      </c>
      <c r="O1121">
        <f t="shared" si="137"/>
        <v>2.967441860465116E-2</v>
      </c>
      <c r="S1121" t="e">
        <f t="shared" si="138"/>
        <v>#N/A</v>
      </c>
      <c r="T1121" t="e">
        <f t="shared" si="139"/>
        <v>#N/A</v>
      </c>
      <c r="U1121">
        <f t="shared" si="140"/>
        <v>12.9</v>
      </c>
      <c r="V1121">
        <f t="shared" si="141"/>
        <v>5</v>
      </c>
      <c r="W1121" t="e">
        <f t="shared" si="142"/>
        <v>#N/A</v>
      </c>
      <c r="X1121" t="e">
        <f t="shared" si="143"/>
        <v>#N/A</v>
      </c>
    </row>
    <row r="1122" spans="1:24" x14ac:dyDescent="0.3">
      <c r="A1122">
        <v>7.9</v>
      </c>
      <c r="B1122">
        <v>0.54</v>
      </c>
      <c r="C1122">
        <v>0.34</v>
      </c>
      <c r="D1122">
        <v>2.5</v>
      </c>
      <c r="E1122">
        <v>7.5999999999999998E-2</v>
      </c>
      <c r="F1122">
        <v>8</v>
      </c>
      <c r="G1122">
        <v>17</v>
      </c>
      <c r="H1122">
        <v>0.99234999999999995</v>
      </c>
      <c r="I1122">
        <v>3.2</v>
      </c>
      <c r="J1122">
        <v>0.72</v>
      </c>
      <c r="K1122">
        <v>13.1</v>
      </c>
      <c r="L1122">
        <v>8</v>
      </c>
      <c r="M1122" t="str">
        <f t="shared" si="136"/>
        <v>High</v>
      </c>
      <c r="N1122">
        <f>(winequality_red[[#This Row],[Updated Quality &amp; Alcohol Analysis]]+winequality_red[[#This Row],[volatile acidity]]+winequality_red[[#This Row],[citric acid]])</f>
        <v>8.7800000000000011</v>
      </c>
      <c r="O1122">
        <f t="shared" si="137"/>
        <v>2.9679389312977103E-2</v>
      </c>
      <c r="S1122" t="e">
        <f t="shared" si="138"/>
        <v>#N/A</v>
      </c>
      <c r="T1122" t="e">
        <f t="shared" si="139"/>
        <v>#N/A</v>
      </c>
      <c r="U1122" t="e">
        <f t="shared" si="140"/>
        <v>#N/A</v>
      </c>
      <c r="V1122" t="e">
        <f t="shared" si="141"/>
        <v>#N/A</v>
      </c>
      <c r="W1122">
        <f t="shared" si="142"/>
        <v>13.1</v>
      </c>
      <c r="X1122">
        <f t="shared" si="143"/>
        <v>8</v>
      </c>
    </row>
    <row r="1123" spans="1:24" x14ac:dyDescent="0.3">
      <c r="A1123">
        <v>6.6</v>
      </c>
      <c r="B1123">
        <v>0.5</v>
      </c>
      <c r="C1123">
        <v>0</v>
      </c>
      <c r="D1123">
        <v>1.8</v>
      </c>
      <c r="E1123">
        <v>6.2E-2</v>
      </c>
      <c r="F1123">
        <v>21</v>
      </c>
      <c r="G1123">
        <v>28</v>
      </c>
      <c r="H1123">
        <v>0.99352000000000007</v>
      </c>
      <c r="I1123">
        <v>3.44</v>
      </c>
      <c r="J1123">
        <v>0.55000000000000004</v>
      </c>
      <c r="K1123">
        <v>12.3</v>
      </c>
      <c r="L1123">
        <v>6</v>
      </c>
      <c r="M1123" t="str">
        <f t="shared" si="136"/>
        <v>Medium</v>
      </c>
      <c r="N1123">
        <f>(winequality_red[[#This Row],[Updated Quality &amp; Alcohol Analysis]]+winequality_red[[#This Row],[volatile acidity]]+winequality_red[[#This Row],[citric acid]])</f>
        <v>7.1</v>
      </c>
      <c r="O1123">
        <f t="shared" si="137"/>
        <v>2.2357723577235773E-2</v>
      </c>
      <c r="S1123" t="e">
        <f t="shared" si="138"/>
        <v>#N/A</v>
      </c>
      <c r="T1123" t="e">
        <f t="shared" si="139"/>
        <v>#N/A</v>
      </c>
      <c r="U1123">
        <f t="shared" si="140"/>
        <v>12.3</v>
      </c>
      <c r="V1123">
        <f t="shared" si="141"/>
        <v>6</v>
      </c>
      <c r="W1123" t="e">
        <f t="shared" si="142"/>
        <v>#N/A</v>
      </c>
      <c r="X1123" t="e">
        <f t="shared" si="143"/>
        <v>#N/A</v>
      </c>
    </row>
    <row r="1124" spans="1:24" x14ac:dyDescent="0.3">
      <c r="A1124">
        <v>6.3</v>
      </c>
      <c r="B1124">
        <v>0.47</v>
      </c>
      <c r="C1124">
        <v>0</v>
      </c>
      <c r="D1124">
        <v>1.4</v>
      </c>
      <c r="E1124">
        <v>5.5E-2</v>
      </c>
      <c r="F1124">
        <v>27</v>
      </c>
      <c r="G1124">
        <v>33</v>
      </c>
      <c r="H1124">
        <v>0.99219999999999997</v>
      </c>
      <c r="I1124">
        <v>3.45</v>
      </c>
      <c r="J1124">
        <v>0.48</v>
      </c>
      <c r="K1124">
        <v>12.3</v>
      </c>
      <c r="L1124">
        <v>6</v>
      </c>
      <c r="M1124" t="str">
        <f t="shared" si="136"/>
        <v>Medium</v>
      </c>
      <c r="N1124">
        <f>(winequality_red[[#This Row],[Updated Quality &amp; Alcohol Analysis]]+winequality_red[[#This Row],[volatile acidity]]+winequality_red[[#This Row],[citric acid]])</f>
        <v>6.77</v>
      </c>
      <c r="O1124">
        <f t="shared" si="137"/>
        <v>1.8341463414634142E-2</v>
      </c>
      <c r="S1124" t="e">
        <f t="shared" si="138"/>
        <v>#N/A</v>
      </c>
      <c r="T1124" t="e">
        <f t="shared" si="139"/>
        <v>#N/A</v>
      </c>
      <c r="U1124">
        <f t="shared" si="140"/>
        <v>12.3</v>
      </c>
      <c r="V1124">
        <f t="shared" si="141"/>
        <v>6</v>
      </c>
      <c r="W1124" t="e">
        <f t="shared" si="142"/>
        <v>#N/A</v>
      </c>
      <c r="X1124" t="e">
        <f t="shared" si="143"/>
        <v>#N/A</v>
      </c>
    </row>
    <row r="1125" spans="1:24" x14ac:dyDescent="0.3">
      <c r="A1125">
        <v>10.7</v>
      </c>
      <c r="B1125">
        <v>0.4</v>
      </c>
      <c r="C1125">
        <v>0.37</v>
      </c>
      <c r="D1125">
        <v>1.9</v>
      </c>
      <c r="E1125">
        <v>8.1000000000000003E-2</v>
      </c>
      <c r="F1125">
        <v>17</v>
      </c>
      <c r="G1125">
        <v>29</v>
      </c>
      <c r="H1125">
        <v>0.99673999999999996</v>
      </c>
      <c r="I1125">
        <v>3.12</v>
      </c>
      <c r="J1125">
        <v>0.65</v>
      </c>
      <c r="K1125">
        <v>11.2</v>
      </c>
      <c r="L1125">
        <v>6</v>
      </c>
      <c r="M1125" t="str">
        <f t="shared" si="136"/>
        <v>Medium</v>
      </c>
      <c r="N1125">
        <f>(winequality_red[[#This Row],[Updated Quality &amp; Alcohol Analysis]]+winequality_red[[#This Row],[volatile acidity]]+winequality_red[[#This Row],[citric acid]])</f>
        <v>11.469999999999999</v>
      </c>
      <c r="O1125">
        <f t="shared" si="137"/>
        <v>2.3214285714285715E-2</v>
      </c>
      <c r="S1125" t="e">
        <f t="shared" si="138"/>
        <v>#N/A</v>
      </c>
      <c r="T1125" t="e">
        <f t="shared" si="139"/>
        <v>#N/A</v>
      </c>
      <c r="U1125">
        <f t="shared" si="140"/>
        <v>11.2</v>
      </c>
      <c r="V1125">
        <f t="shared" si="141"/>
        <v>6</v>
      </c>
      <c r="W1125" t="e">
        <f t="shared" si="142"/>
        <v>#N/A</v>
      </c>
      <c r="X1125" t="e">
        <f t="shared" si="143"/>
        <v>#N/A</v>
      </c>
    </row>
    <row r="1126" spans="1:24" x14ac:dyDescent="0.3">
      <c r="A1126">
        <v>6.5</v>
      </c>
      <c r="B1126">
        <v>0.57999999999999996</v>
      </c>
      <c r="C1126">
        <v>0</v>
      </c>
      <c r="D1126">
        <v>2.2000000000000002</v>
      </c>
      <c r="E1126">
        <v>9.6000000000000002E-2</v>
      </c>
      <c r="F1126">
        <v>3</v>
      </c>
      <c r="G1126">
        <v>13</v>
      </c>
      <c r="H1126">
        <v>0.99557000000000007</v>
      </c>
      <c r="I1126">
        <v>3.62</v>
      </c>
      <c r="J1126">
        <v>0.62</v>
      </c>
      <c r="K1126">
        <v>11.5</v>
      </c>
      <c r="L1126">
        <v>4</v>
      </c>
      <c r="M1126" t="str">
        <f t="shared" si="136"/>
        <v>Low</v>
      </c>
      <c r="N1126">
        <f>(winequality_red[[#This Row],[Updated Quality &amp; Alcohol Analysis]]+winequality_red[[#This Row],[volatile acidity]]+winequality_red[[#This Row],[citric acid]])</f>
        <v>7.08</v>
      </c>
      <c r="O1126">
        <f t="shared" si="137"/>
        <v>3.1269565217391306E-2</v>
      </c>
      <c r="S1126">
        <f t="shared" si="138"/>
        <v>11.5</v>
      </c>
      <c r="T1126">
        <f t="shared" si="139"/>
        <v>4</v>
      </c>
      <c r="U1126" t="e">
        <f t="shared" si="140"/>
        <v>#N/A</v>
      </c>
      <c r="V1126" t="e">
        <f t="shared" si="141"/>
        <v>#N/A</v>
      </c>
      <c r="W1126" t="e">
        <f t="shared" si="142"/>
        <v>#N/A</v>
      </c>
      <c r="X1126" t="e">
        <f t="shared" si="143"/>
        <v>#N/A</v>
      </c>
    </row>
    <row r="1127" spans="1:24" x14ac:dyDescent="0.3">
      <c r="A1127">
        <v>8.8000000000000007</v>
      </c>
      <c r="B1127">
        <v>0.24</v>
      </c>
      <c r="C1127">
        <v>0.35</v>
      </c>
      <c r="D1127">
        <v>1.7</v>
      </c>
      <c r="E1127">
        <v>5.5E-2</v>
      </c>
      <c r="F1127">
        <v>13</v>
      </c>
      <c r="G1127">
        <v>27</v>
      </c>
      <c r="H1127">
        <v>0.99393999999999993</v>
      </c>
      <c r="I1127">
        <v>3.14</v>
      </c>
      <c r="J1127">
        <v>0.59</v>
      </c>
      <c r="K1127">
        <v>11.3</v>
      </c>
      <c r="L1127">
        <v>7</v>
      </c>
      <c r="M1127" t="str">
        <f t="shared" si="136"/>
        <v>High</v>
      </c>
      <c r="N1127">
        <f>(winequality_red[[#This Row],[Updated Quality &amp; Alcohol Analysis]]+winequality_red[[#This Row],[volatile acidity]]+winequality_red[[#This Row],[citric acid]])</f>
        <v>9.39</v>
      </c>
      <c r="O1127">
        <f t="shared" si="137"/>
        <v>1.2530973451327431E-2</v>
      </c>
      <c r="S1127" t="e">
        <f t="shared" si="138"/>
        <v>#N/A</v>
      </c>
      <c r="T1127" t="e">
        <f t="shared" si="139"/>
        <v>#N/A</v>
      </c>
      <c r="U1127" t="e">
        <f t="shared" si="140"/>
        <v>#N/A</v>
      </c>
      <c r="V1127" t="e">
        <f t="shared" si="141"/>
        <v>#N/A</v>
      </c>
      <c r="W1127">
        <f t="shared" si="142"/>
        <v>11.3</v>
      </c>
      <c r="X1127">
        <f t="shared" si="143"/>
        <v>7</v>
      </c>
    </row>
    <row r="1128" spans="1:24" x14ac:dyDescent="0.3">
      <c r="A1128">
        <v>5.8</v>
      </c>
      <c r="B1128">
        <v>0.28999999999999998</v>
      </c>
      <c r="C1128">
        <v>0.26</v>
      </c>
      <c r="D1128">
        <v>1.7</v>
      </c>
      <c r="E1128">
        <v>6.3E-2</v>
      </c>
      <c r="F1128">
        <v>3</v>
      </c>
      <c r="G1128">
        <v>11</v>
      </c>
      <c r="H1128">
        <v>0.99150000000000005</v>
      </c>
      <c r="I1128">
        <v>3.39</v>
      </c>
      <c r="J1128">
        <v>0.54</v>
      </c>
      <c r="K1128">
        <v>13.5</v>
      </c>
      <c r="L1128">
        <v>6</v>
      </c>
      <c r="M1128" t="str">
        <f t="shared" si="136"/>
        <v>Medium</v>
      </c>
      <c r="N1128">
        <f>(winequality_red[[#This Row],[Updated Quality &amp; Alcohol Analysis]]+winequality_red[[#This Row],[volatile acidity]]+winequality_red[[#This Row],[citric acid]])</f>
        <v>6.35</v>
      </c>
      <c r="O1128">
        <f t="shared" si="137"/>
        <v>1.1599999999999999E-2</v>
      </c>
      <c r="S1128" t="e">
        <f t="shared" si="138"/>
        <v>#N/A</v>
      </c>
      <c r="T1128" t="e">
        <f t="shared" si="139"/>
        <v>#N/A</v>
      </c>
      <c r="U1128">
        <f t="shared" si="140"/>
        <v>13.5</v>
      </c>
      <c r="V1128">
        <f t="shared" si="141"/>
        <v>6</v>
      </c>
      <c r="W1128" t="e">
        <f t="shared" si="142"/>
        <v>#N/A</v>
      </c>
      <c r="X1128" t="e">
        <f t="shared" si="143"/>
        <v>#N/A</v>
      </c>
    </row>
    <row r="1129" spans="1:24" x14ac:dyDescent="0.3">
      <c r="A1129">
        <v>6.3</v>
      </c>
      <c r="B1129">
        <v>0.76</v>
      </c>
      <c r="C1129">
        <v>0</v>
      </c>
      <c r="D1129">
        <v>2.9</v>
      </c>
      <c r="E1129">
        <v>7.2000000000000008E-2</v>
      </c>
      <c r="F1129">
        <v>26</v>
      </c>
      <c r="G1129">
        <v>52</v>
      </c>
      <c r="H1129">
        <v>0.99378999999999995</v>
      </c>
      <c r="I1129">
        <v>3.51</v>
      </c>
      <c r="J1129">
        <v>0.6</v>
      </c>
      <c r="K1129">
        <v>11.5</v>
      </c>
      <c r="L1129">
        <v>6</v>
      </c>
      <c r="M1129" t="str">
        <f t="shared" si="136"/>
        <v>Medium</v>
      </c>
      <c r="N1129">
        <f>(winequality_red[[#This Row],[Updated Quality &amp; Alcohol Analysis]]+winequality_red[[#This Row],[volatile acidity]]+winequality_red[[#This Row],[citric acid]])</f>
        <v>7.06</v>
      </c>
      <c r="O1129">
        <f t="shared" si="137"/>
        <v>3.9652173913043473E-2</v>
      </c>
      <c r="S1129" t="e">
        <f t="shared" si="138"/>
        <v>#N/A</v>
      </c>
      <c r="T1129" t="e">
        <f t="shared" si="139"/>
        <v>#N/A</v>
      </c>
      <c r="U1129">
        <f t="shared" si="140"/>
        <v>11.5</v>
      </c>
      <c r="V1129">
        <f t="shared" si="141"/>
        <v>6</v>
      </c>
      <c r="W1129" t="e">
        <f t="shared" si="142"/>
        <v>#N/A</v>
      </c>
      <c r="X1129" t="e">
        <f t="shared" si="143"/>
        <v>#N/A</v>
      </c>
    </row>
    <row r="1130" spans="1:24" x14ac:dyDescent="0.3">
      <c r="A1130">
        <v>10</v>
      </c>
      <c r="B1130">
        <v>0.43</v>
      </c>
      <c r="C1130">
        <v>0.33</v>
      </c>
      <c r="D1130">
        <v>2.7</v>
      </c>
      <c r="E1130">
        <v>9.5000000000000001E-2</v>
      </c>
      <c r="F1130">
        <v>28</v>
      </c>
      <c r="G1130">
        <v>89</v>
      </c>
      <c r="H1130">
        <v>0.99839999999999995</v>
      </c>
      <c r="I1130">
        <v>3.22</v>
      </c>
      <c r="J1130">
        <v>0.68</v>
      </c>
      <c r="K1130">
        <v>10</v>
      </c>
      <c r="L1130">
        <v>5</v>
      </c>
      <c r="M1130" t="str">
        <f t="shared" si="136"/>
        <v>Medium</v>
      </c>
      <c r="N1130">
        <f>(winequality_red[[#This Row],[Updated Quality &amp; Alcohol Analysis]]+winequality_red[[#This Row],[volatile acidity]]+winequality_red[[#This Row],[citric acid]])</f>
        <v>10.76</v>
      </c>
      <c r="O1130">
        <f t="shared" si="137"/>
        <v>2.9239999999999999E-2</v>
      </c>
      <c r="S1130" t="e">
        <f t="shared" si="138"/>
        <v>#N/A</v>
      </c>
      <c r="T1130" t="e">
        <f t="shared" si="139"/>
        <v>#N/A</v>
      </c>
      <c r="U1130">
        <f t="shared" si="140"/>
        <v>10</v>
      </c>
      <c r="V1130">
        <f t="shared" si="141"/>
        <v>5</v>
      </c>
      <c r="W1130" t="e">
        <f t="shared" si="142"/>
        <v>#N/A</v>
      </c>
      <c r="X1130" t="e">
        <f t="shared" si="143"/>
        <v>#N/A</v>
      </c>
    </row>
    <row r="1131" spans="1:24" x14ac:dyDescent="0.3">
      <c r="A1131">
        <v>10.5</v>
      </c>
      <c r="B1131">
        <v>0.43</v>
      </c>
      <c r="C1131">
        <v>0.35</v>
      </c>
      <c r="D1131">
        <v>3.3</v>
      </c>
      <c r="E1131">
        <v>9.1999999999999998E-2</v>
      </c>
      <c r="F1131">
        <v>24</v>
      </c>
      <c r="G1131">
        <v>70</v>
      </c>
      <c r="H1131">
        <v>0.99797999999999998</v>
      </c>
      <c r="I1131">
        <v>3.21</v>
      </c>
      <c r="J1131">
        <v>0.69</v>
      </c>
      <c r="K1131">
        <v>10.5</v>
      </c>
      <c r="L1131">
        <v>6</v>
      </c>
      <c r="M1131" t="str">
        <f t="shared" si="136"/>
        <v>Medium</v>
      </c>
      <c r="N1131">
        <f>(winequality_red[[#This Row],[Updated Quality &amp; Alcohol Analysis]]+winequality_red[[#This Row],[volatile acidity]]+winequality_red[[#This Row],[citric acid]])</f>
        <v>11.28</v>
      </c>
      <c r="O1131">
        <f t="shared" si="137"/>
        <v>2.8257142857142852E-2</v>
      </c>
      <c r="S1131" t="e">
        <f t="shared" si="138"/>
        <v>#N/A</v>
      </c>
      <c r="T1131" t="e">
        <f t="shared" si="139"/>
        <v>#N/A</v>
      </c>
      <c r="U1131">
        <f t="shared" si="140"/>
        <v>10.5</v>
      </c>
      <c r="V1131">
        <f t="shared" si="141"/>
        <v>6</v>
      </c>
      <c r="W1131" t="e">
        <f t="shared" si="142"/>
        <v>#N/A</v>
      </c>
      <c r="X1131" t="e">
        <f t="shared" si="143"/>
        <v>#N/A</v>
      </c>
    </row>
    <row r="1132" spans="1:24" x14ac:dyDescent="0.3">
      <c r="A1132">
        <v>9.1</v>
      </c>
      <c r="B1132">
        <v>0.6</v>
      </c>
      <c r="C1132">
        <v>0</v>
      </c>
      <c r="D1132">
        <v>1.9</v>
      </c>
      <c r="E1132">
        <v>5.7999999999999996E-2</v>
      </c>
      <c r="F1132">
        <v>5</v>
      </c>
      <c r="G1132">
        <v>10</v>
      </c>
      <c r="H1132">
        <v>0.99770000000000003</v>
      </c>
      <c r="I1132">
        <v>3.18</v>
      </c>
      <c r="J1132">
        <v>0.63</v>
      </c>
      <c r="K1132">
        <v>10.4</v>
      </c>
      <c r="L1132">
        <v>6</v>
      </c>
      <c r="M1132" t="str">
        <f t="shared" si="136"/>
        <v>Medium</v>
      </c>
      <c r="N1132">
        <f>(winequality_red[[#This Row],[Updated Quality &amp; Alcohol Analysis]]+winequality_red[[#This Row],[volatile acidity]]+winequality_red[[#This Row],[citric acid]])</f>
        <v>9.6999999999999993</v>
      </c>
      <c r="O1132">
        <f t="shared" si="137"/>
        <v>3.6346153846153847E-2</v>
      </c>
      <c r="S1132" t="e">
        <f t="shared" si="138"/>
        <v>#N/A</v>
      </c>
      <c r="T1132" t="e">
        <f t="shared" si="139"/>
        <v>#N/A</v>
      </c>
      <c r="U1132">
        <f t="shared" si="140"/>
        <v>10.4</v>
      </c>
      <c r="V1132">
        <f t="shared" si="141"/>
        <v>6</v>
      </c>
      <c r="W1132" t="e">
        <f t="shared" si="142"/>
        <v>#N/A</v>
      </c>
      <c r="X1132" t="e">
        <f t="shared" si="143"/>
        <v>#N/A</v>
      </c>
    </row>
    <row r="1133" spans="1:24" x14ac:dyDescent="0.3">
      <c r="A1133">
        <v>5.9</v>
      </c>
      <c r="B1133">
        <v>0.19</v>
      </c>
      <c r="C1133">
        <v>0.21</v>
      </c>
      <c r="D1133">
        <v>1.7</v>
      </c>
      <c r="E1133">
        <v>4.4999999999999998E-2</v>
      </c>
      <c r="F1133">
        <v>57</v>
      </c>
      <c r="G1133">
        <v>135</v>
      </c>
      <c r="H1133">
        <v>0.99341000000000002</v>
      </c>
      <c r="I1133">
        <v>3.32</v>
      </c>
      <c r="J1133">
        <v>0.44</v>
      </c>
      <c r="K1133">
        <v>9.5</v>
      </c>
      <c r="L1133">
        <v>5</v>
      </c>
      <c r="M1133" t="str">
        <f t="shared" si="136"/>
        <v>Medium</v>
      </c>
      <c r="N1133">
        <f>(winequality_red[[#This Row],[Updated Quality &amp; Alcohol Analysis]]+winequality_red[[#This Row],[volatile acidity]]+winequality_red[[#This Row],[citric acid]])</f>
        <v>6.3000000000000007</v>
      </c>
      <c r="O1133">
        <f t="shared" si="137"/>
        <v>8.8000000000000005E-3</v>
      </c>
      <c r="S1133" t="e">
        <f t="shared" si="138"/>
        <v>#N/A</v>
      </c>
      <c r="T1133" t="e">
        <f t="shared" si="139"/>
        <v>#N/A</v>
      </c>
      <c r="U1133">
        <f t="shared" si="140"/>
        <v>9.5</v>
      </c>
      <c r="V1133">
        <f t="shared" si="141"/>
        <v>5</v>
      </c>
      <c r="W1133" t="e">
        <f t="shared" si="142"/>
        <v>#N/A</v>
      </c>
      <c r="X1133" t="e">
        <f t="shared" si="143"/>
        <v>#N/A</v>
      </c>
    </row>
    <row r="1134" spans="1:24" x14ac:dyDescent="0.3">
      <c r="A1134">
        <v>7.4</v>
      </c>
      <c r="B1134">
        <v>0.36</v>
      </c>
      <c r="C1134">
        <v>0.34</v>
      </c>
      <c r="D1134">
        <v>1.8</v>
      </c>
      <c r="E1134">
        <v>7.4999999999999997E-2</v>
      </c>
      <c r="F1134">
        <v>18</v>
      </c>
      <c r="G1134">
        <v>38</v>
      </c>
      <c r="H1134">
        <v>0.99329999999999996</v>
      </c>
      <c r="I1134">
        <v>3.38</v>
      </c>
      <c r="J1134">
        <v>0.88</v>
      </c>
      <c r="K1134">
        <v>13.6</v>
      </c>
      <c r="L1134">
        <v>7</v>
      </c>
      <c r="M1134" t="str">
        <f t="shared" si="136"/>
        <v>High</v>
      </c>
      <c r="N1134">
        <f>(winequality_red[[#This Row],[Updated Quality &amp; Alcohol Analysis]]+winequality_red[[#This Row],[volatile acidity]]+winequality_red[[#This Row],[citric acid]])</f>
        <v>8.1000000000000014</v>
      </c>
      <c r="O1134">
        <f t="shared" si="137"/>
        <v>2.3294117647058823E-2</v>
      </c>
      <c r="S1134" t="e">
        <f t="shared" si="138"/>
        <v>#N/A</v>
      </c>
      <c r="T1134" t="e">
        <f t="shared" si="139"/>
        <v>#N/A</v>
      </c>
      <c r="U1134" t="e">
        <f t="shared" si="140"/>
        <v>#N/A</v>
      </c>
      <c r="V1134" t="e">
        <f t="shared" si="141"/>
        <v>#N/A</v>
      </c>
      <c r="W1134">
        <f t="shared" si="142"/>
        <v>13.6</v>
      </c>
      <c r="X1134">
        <f t="shared" si="143"/>
        <v>7</v>
      </c>
    </row>
    <row r="1135" spans="1:24" x14ac:dyDescent="0.3">
      <c r="A1135">
        <v>7.2</v>
      </c>
      <c r="B1135">
        <v>0.48</v>
      </c>
      <c r="C1135">
        <v>7.0000000000000007E-2</v>
      </c>
      <c r="D1135">
        <v>5.5</v>
      </c>
      <c r="E1135">
        <v>8.900000000000001E-2</v>
      </c>
      <c r="F1135">
        <v>10</v>
      </c>
      <c r="G1135">
        <v>18</v>
      </c>
      <c r="H1135">
        <v>0.99683999999999995</v>
      </c>
      <c r="I1135">
        <v>3.37</v>
      </c>
      <c r="J1135">
        <v>0.68</v>
      </c>
      <c r="K1135">
        <v>11.2</v>
      </c>
      <c r="L1135">
        <v>7</v>
      </c>
      <c r="M1135" t="str">
        <f t="shared" si="136"/>
        <v>High</v>
      </c>
      <c r="N1135">
        <f>(winequality_red[[#This Row],[Updated Quality &amp; Alcohol Analysis]]+winequality_red[[#This Row],[volatile acidity]]+winequality_red[[#This Row],[citric acid]])</f>
        <v>7.75</v>
      </c>
      <c r="O1135">
        <f t="shared" si="137"/>
        <v>2.9142857142857147E-2</v>
      </c>
      <c r="S1135" t="e">
        <f t="shared" si="138"/>
        <v>#N/A</v>
      </c>
      <c r="T1135" t="e">
        <f t="shared" si="139"/>
        <v>#N/A</v>
      </c>
      <c r="U1135" t="e">
        <f t="shared" si="140"/>
        <v>#N/A</v>
      </c>
      <c r="V1135" t="e">
        <f t="shared" si="141"/>
        <v>#N/A</v>
      </c>
      <c r="W1135">
        <f t="shared" si="142"/>
        <v>11.2</v>
      </c>
      <c r="X1135">
        <f t="shared" si="143"/>
        <v>7</v>
      </c>
    </row>
    <row r="1136" spans="1:24" x14ac:dyDescent="0.3">
      <c r="A1136">
        <v>8.5</v>
      </c>
      <c r="B1136">
        <v>0.28000000000000003</v>
      </c>
      <c r="C1136">
        <v>0.35</v>
      </c>
      <c r="D1136">
        <v>1.7</v>
      </c>
      <c r="E1136">
        <v>6.0999999999999999E-2</v>
      </c>
      <c r="F1136">
        <v>6</v>
      </c>
      <c r="G1136">
        <v>15</v>
      </c>
      <c r="H1136">
        <v>0.99524000000000001</v>
      </c>
      <c r="I1136">
        <v>3.3</v>
      </c>
      <c r="J1136">
        <v>0.74</v>
      </c>
      <c r="K1136">
        <v>11.8</v>
      </c>
      <c r="L1136">
        <v>7</v>
      </c>
      <c r="M1136" t="str">
        <f t="shared" si="136"/>
        <v>High</v>
      </c>
      <c r="N1136">
        <f>(winequality_red[[#This Row],[Updated Quality &amp; Alcohol Analysis]]+winequality_red[[#This Row],[volatile acidity]]+winequality_red[[#This Row],[citric acid]])</f>
        <v>9.129999999999999</v>
      </c>
      <c r="O1136">
        <f t="shared" si="137"/>
        <v>1.7559322033898307E-2</v>
      </c>
      <c r="S1136" t="e">
        <f t="shared" si="138"/>
        <v>#N/A</v>
      </c>
      <c r="T1136" t="e">
        <f t="shared" si="139"/>
        <v>#N/A</v>
      </c>
      <c r="U1136" t="e">
        <f t="shared" si="140"/>
        <v>#N/A</v>
      </c>
      <c r="V1136" t="e">
        <f t="shared" si="141"/>
        <v>#N/A</v>
      </c>
      <c r="W1136">
        <f t="shared" si="142"/>
        <v>11.8</v>
      </c>
      <c r="X1136">
        <f t="shared" si="143"/>
        <v>7</v>
      </c>
    </row>
    <row r="1137" spans="1:24" x14ac:dyDescent="0.3">
      <c r="A1137">
        <v>8</v>
      </c>
      <c r="B1137">
        <v>0.25</v>
      </c>
      <c r="C1137">
        <v>0.43</v>
      </c>
      <c r="D1137">
        <v>1.7</v>
      </c>
      <c r="E1137">
        <v>6.7000000000000004E-2</v>
      </c>
      <c r="F1137">
        <v>22</v>
      </c>
      <c r="G1137">
        <v>50</v>
      </c>
      <c r="H1137">
        <v>0.99460000000000004</v>
      </c>
      <c r="I1137">
        <v>3.38</v>
      </c>
      <c r="J1137">
        <v>0.6</v>
      </c>
      <c r="K1137">
        <v>11.9</v>
      </c>
      <c r="L1137">
        <v>6</v>
      </c>
      <c r="M1137" t="str">
        <f t="shared" si="136"/>
        <v>Medium</v>
      </c>
      <c r="N1137">
        <f>(winequality_red[[#This Row],[Updated Quality &amp; Alcohol Analysis]]+winequality_red[[#This Row],[volatile acidity]]+winequality_red[[#This Row],[citric acid]])</f>
        <v>8.68</v>
      </c>
      <c r="O1137">
        <f t="shared" si="137"/>
        <v>1.2605042016806721E-2</v>
      </c>
      <c r="S1137" t="e">
        <f t="shared" si="138"/>
        <v>#N/A</v>
      </c>
      <c r="T1137" t="e">
        <f t="shared" si="139"/>
        <v>#N/A</v>
      </c>
      <c r="U1137">
        <f t="shared" si="140"/>
        <v>11.9</v>
      </c>
      <c r="V1137">
        <f t="shared" si="141"/>
        <v>6</v>
      </c>
      <c r="W1137" t="e">
        <f t="shared" si="142"/>
        <v>#N/A</v>
      </c>
      <c r="X1137" t="e">
        <f t="shared" si="143"/>
        <v>#N/A</v>
      </c>
    </row>
    <row r="1138" spans="1:24" x14ac:dyDescent="0.3">
      <c r="A1138">
        <v>10.4</v>
      </c>
      <c r="B1138">
        <v>0.52</v>
      </c>
      <c r="C1138">
        <v>0.45</v>
      </c>
      <c r="D1138">
        <v>2</v>
      </c>
      <c r="E1138">
        <v>0.08</v>
      </c>
      <c r="F1138">
        <v>6</v>
      </c>
      <c r="G1138">
        <v>13</v>
      </c>
      <c r="H1138">
        <v>0.99773999999999996</v>
      </c>
      <c r="I1138">
        <v>3.22</v>
      </c>
      <c r="J1138">
        <v>0.76</v>
      </c>
      <c r="K1138">
        <v>11.4</v>
      </c>
      <c r="L1138">
        <v>6</v>
      </c>
      <c r="M1138" t="str">
        <f t="shared" si="136"/>
        <v>Medium</v>
      </c>
      <c r="N1138">
        <f>(winequality_red[[#This Row],[Updated Quality &amp; Alcohol Analysis]]+winequality_red[[#This Row],[volatile acidity]]+winequality_red[[#This Row],[citric acid]])</f>
        <v>11.37</v>
      </c>
      <c r="O1138">
        <f t="shared" si="137"/>
        <v>3.4666666666666665E-2</v>
      </c>
      <c r="S1138" t="e">
        <f t="shared" si="138"/>
        <v>#N/A</v>
      </c>
      <c r="T1138" t="e">
        <f t="shared" si="139"/>
        <v>#N/A</v>
      </c>
      <c r="U1138">
        <f t="shared" si="140"/>
        <v>11.4</v>
      </c>
      <c r="V1138">
        <f t="shared" si="141"/>
        <v>6</v>
      </c>
      <c r="W1138" t="e">
        <f t="shared" si="142"/>
        <v>#N/A</v>
      </c>
      <c r="X1138" t="e">
        <f t="shared" si="143"/>
        <v>#N/A</v>
      </c>
    </row>
    <row r="1139" spans="1:24" x14ac:dyDescent="0.3">
      <c r="A1139">
        <v>10.4</v>
      </c>
      <c r="B1139">
        <v>0.52</v>
      </c>
      <c r="C1139">
        <v>0.45</v>
      </c>
      <c r="D1139">
        <v>2</v>
      </c>
      <c r="E1139">
        <v>0.08</v>
      </c>
      <c r="F1139">
        <v>6</v>
      </c>
      <c r="G1139">
        <v>13</v>
      </c>
      <c r="H1139">
        <v>0.99773999999999996</v>
      </c>
      <c r="I1139">
        <v>3.22</v>
      </c>
      <c r="J1139">
        <v>0.76</v>
      </c>
      <c r="K1139">
        <v>11.4</v>
      </c>
      <c r="L1139">
        <v>6</v>
      </c>
      <c r="M1139" t="str">
        <f t="shared" si="136"/>
        <v>Medium</v>
      </c>
      <c r="N1139">
        <f>(winequality_red[[#This Row],[Updated Quality &amp; Alcohol Analysis]]+winequality_red[[#This Row],[volatile acidity]]+winequality_red[[#This Row],[citric acid]])</f>
        <v>11.37</v>
      </c>
      <c r="O1139">
        <f t="shared" si="137"/>
        <v>3.4666666666666665E-2</v>
      </c>
      <c r="S1139" t="e">
        <f t="shared" si="138"/>
        <v>#N/A</v>
      </c>
      <c r="T1139" t="e">
        <f t="shared" si="139"/>
        <v>#N/A</v>
      </c>
      <c r="U1139">
        <f t="shared" si="140"/>
        <v>11.4</v>
      </c>
      <c r="V1139">
        <f t="shared" si="141"/>
        <v>6</v>
      </c>
      <c r="W1139" t="e">
        <f t="shared" si="142"/>
        <v>#N/A</v>
      </c>
      <c r="X1139" t="e">
        <f t="shared" si="143"/>
        <v>#N/A</v>
      </c>
    </row>
    <row r="1140" spans="1:24" x14ac:dyDescent="0.3">
      <c r="A1140">
        <v>7.5</v>
      </c>
      <c r="B1140">
        <v>0.41</v>
      </c>
      <c r="C1140">
        <v>0.15</v>
      </c>
      <c r="D1140">
        <v>3.7</v>
      </c>
      <c r="E1140">
        <v>0.10400000000000001</v>
      </c>
      <c r="F1140">
        <v>29</v>
      </c>
      <c r="G1140">
        <v>94</v>
      </c>
      <c r="H1140">
        <v>0.99786000000000008</v>
      </c>
      <c r="I1140">
        <v>3.14</v>
      </c>
      <c r="J1140">
        <v>0.57999999999999996</v>
      </c>
      <c r="K1140">
        <v>9.1</v>
      </c>
      <c r="L1140">
        <v>5</v>
      </c>
      <c r="M1140" t="str">
        <f t="shared" si="136"/>
        <v>Medium</v>
      </c>
      <c r="N1140">
        <f>(winequality_red[[#This Row],[Updated Quality &amp; Alcohol Analysis]]+winequality_red[[#This Row],[volatile acidity]]+winequality_red[[#This Row],[citric acid]])</f>
        <v>8.06</v>
      </c>
      <c r="O1140">
        <f t="shared" si="137"/>
        <v>2.6131868131868127E-2</v>
      </c>
      <c r="S1140" t="e">
        <f t="shared" si="138"/>
        <v>#N/A</v>
      </c>
      <c r="T1140" t="e">
        <f t="shared" si="139"/>
        <v>#N/A</v>
      </c>
      <c r="U1140">
        <f t="shared" si="140"/>
        <v>9.1</v>
      </c>
      <c r="V1140">
        <f t="shared" si="141"/>
        <v>5</v>
      </c>
      <c r="W1140" t="e">
        <f t="shared" si="142"/>
        <v>#N/A</v>
      </c>
      <c r="X1140" t="e">
        <f t="shared" si="143"/>
        <v>#N/A</v>
      </c>
    </row>
    <row r="1141" spans="1:24" x14ac:dyDescent="0.3">
      <c r="A1141">
        <v>8.1999999999999993</v>
      </c>
      <c r="B1141">
        <v>0.51</v>
      </c>
      <c r="C1141">
        <v>0.24</v>
      </c>
      <c r="D1141">
        <v>2</v>
      </c>
      <c r="E1141">
        <v>7.9000000000000001E-2</v>
      </c>
      <c r="F1141">
        <v>16</v>
      </c>
      <c r="G1141">
        <v>86</v>
      </c>
      <c r="H1141">
        <v>0.99763999999999997</v>
      </c>
      <c r="I1141">
        <v>3.34</v>
      </c>
      <c r="J1141">
        <v>0.64</v>
      </c>
      <c r="K1141">
        <v>9.5</v>
      </c>
      <c r="L1141">
        <v>6</v>
      </c>
      <c r="M1141" t="str">
        <f t="shared" si="136"/>
        <v>Medium</v>
      </c>
      <c r="N1141">
        <f>(winequality_red[[#This Row],[Updated Quality &amp; Alcohol Analysis]]+winequality_red[[#This Row],[volatile acidity]]+winequality_red[[#This Row],[citric acid]])</f>
        <v>8.9499999999999993</v>
      </c>
      <c r="O1141">
        <f t="shared" si="137"/>
        <v>3.4357894736842108E-2</v>
      </c>
      <c r="S1141" t="e">
        <f t="shared" si="138"/>
        <v>#N/A</v>
      </c>
      <c r="T1141" t="e">
        <f t="shared" si="139"/>
        <v>#N/A</v>
      </c>
      <c r="U1141">
        <f t="shared" si="140"/>
        <v>9.5</v>
      </c>
      <c r="V1141">
        <f t="shared" si="141"/>
        <v>6</v>
      </c>
      <c r="W1141" t="e">
        <f t="shared" si="142"/>
        <v>#N/A</v>
      </c>
      <c r="X1141" t="e">
        <f t="shared" si="143"/>
        <v>#N/A</v>
      </c>
    </row>
    <row r="1142" spans="1:24" x14ac:dyDescent="0.3">
      <c r="A1142">
        <v>7.3</v>
      </c>
      <c r="B1142">
        <v>0.4</v>
      </c>
      <c r="C1142">
        <v>0.3</v>
      </c>
      <c r="D1142">
        <v>1.7</v>
      </c>
      <c r="E1142">
        <v>0.08</v>
      </c>
      <c r="F1142">
        <v>33</v>
      </c>
      <c r="G1142">
        <v>79</v>
      </c>
      <c r="H1142">
        <v>0.99690000000000001</v>
      </c>
      <c r="I1142">
        <v>3.41</v>
      </c>
      <c r="J1142">
        <v>0.65</v>
      </c>
      <c r="K1142">
        <v>9.5</v>
      </c>
      <c r="L1142">
        <v>6</v>
      </c>
      <c r="M1142" t="str">
        <f t="shared" si="136"/>
        <v>Medium</v>
      </c>
      <c r="N1142">
        <f>(winequality_red[[#This Row],[Updated Quality &amp; Alcohol Analysis]]+winequality_red[[#This Row],[volatile acidity]]+winequality_red[[#This Row],[citric acid]])</f>
        <v>8</v>
      </c>
      <c r="O1142">
        <f t="shared" si="137"/>
        <v>2.736842105263158E-2</v>
      </c>
      <c r="S1142" t="e">
        <f t="shared" si="138"/>
        <v>#N/A</v>
      </c>
      <c r="T1142" t="e">
        <f t="shared" si="139"/>
        <v>#N/A</v>
      </c>
      <c r="U1142">
        <f t="shared" si="140"/>
        <v>9.5</v>
      </c>
      <c r="V1142">
        <f t="shared" si="141"/>
        <v>6</v>
      </c>
      <c r="W1142" t="e">
        <f t="shared" si="142"/>
        <v>#N/A</v>
      </c>
      <c r="X1142" t="e">
        <f t="shared" si="143"/>
        <v>#N/A</v>
      </c>
    </row>
    <row r="1143" spans="1:24" x14ac:dyDescent="0.3">
      <c r="A1143">
        <v>8.1999999999999993</v>
      </c>
      <c r="B1143">
        <v>0.38</v>
      </c>
      <c r="C1143">
        <v>0.32</v>
      </c>
      <c r="D1143">
        <v>2.5</v>
      </c>
      <c r="E1143">
        <v>0.08</v>
      </c>
      <c r="F1143">
        <v>24</v>
      </c>
      <c r="G1143">
        <v>71</v>
      </c>
      <c r="H1143">
        <v>0.99624000000000001</v>
      </c>
      <c r="I1143">
        <v>3.27</v>
      </c>
      <c r="J1143">
        <v>0.85</v>
      </c>
      <c r="K1143">
        <v>11</v>
      </c>
      <c r="L1143">
        <v>6</v>
      </c>
      <c r="M1143" t="str">
        <f t="shared" si="136"/>
        <v>Medium</v>
      </c>
      <c r="N1143">
        <f>(winequality_red[[#This Row],[Updated Quality &amp; Alcohol Analysis]]+winequality_red[[#This Row],[volatile acidity]]+winequality_red[[#This Row],[citric acid]])</f>
        <v>8.9</v>
      </c>
      <c r="O1143">
        <f t="shared" si="137"/>
        <v>2.9363636363636366E-2</v>
      </c>
      <c r="S1143" t="e">
        <f t="shared" si="138"/>
        <v>#N/A</v>
      </c>
      <c r="T1143" t="e">
        <f t="shared" si="139"/>
        <v>#N/A</v>
      </c>
      <c r="U1143">
        <f t="shared" si="140"/>
        <v>11</v>
      </c>
      <c r="V1143">
        <f t="shared" si="141"/>
        <v>6</v>
      </c>
      <c r="W1143" t="e">
        <f t="shared" si="142"/>
        <v>#N/A</v>
      </c>
      <c r="X1143" t="e">
        <f t="shared" si="143"/>
        <v>#N/A</v>
      </c>
    </row>
    <row r="1144" spans="1:24" x14ac:dyDescent="0.3">
      <c r="A1144">
        <v>6.9</v>
      </c>
      <c r="B1144">
        <v>0.45</v>
      </c>
      <c r="C1144">
        <v>0.11</v>
      </c>
      <c r="D1144">
        <v>2.4</v>
      </c>
      <c r="E1144">
        <v>4.2999999999999997E-2</v>
      </c>
      <c r="F1144">
        <v>6</v>
      </c>
      <c r="G1144">
        <v>12</v>
      </c>
      <c r="H1144">
        <v>0.99353999999999998</v>
      </c>
      <c r="I1144">
        <v>3.3</v>
      </c>
      <c r="J1144">
        <v>0.65</v>
      </c>
      <c r="K1144">
        <v>11.4</v>
      </c>
      <c r="L1144">
        <v>6</v>
      </c>
      <c r="M1144" t="str">
        <f t="shared" si="136"/>
        <v>Medium</v>
      </c>
      <c r="N1144">
        <f>(winequality_red[[#This Row],[Updated Quality &amp; Alcohol Analysis]]+winequality_red[[#This Row],[volatile acidity]]+winequality_red[[#This Row],[citric acid]])</f>
        <v>7.4600000000000009</v>
      </c>
      <c r="O1144">
        <f t="shared" si="137"/>
        <v>2.5657894736842109E-2</v>
      </c>
      <c r="S1144" t="e">
        <f t="shared" si="138"/>
        <v>#N/A</v>
      </c>
      <c r="T1144" t="e">
        <f t="shared" si="139"/>
        <v>#N/A</v>
      </c>
      <c r="U1144">
        <f t="shared" si="140"/>
        <v>11.4</v>
      </c>
      <c r="V1144">
        <f t="shared" si="141"/>
        <v>6</v>
      </c>
      <c r="W1144" t="e">
        <f t="shared" si="142"/>
        <v>#N/A</v>
      </c>
      <c r="X1144" t="e">
        <f t="shared" si="143"/>
        <v>#N/A</v>
      </c>
    </row>
    <row r="1145" spans="1:24" x14ac:dyDescent="0.3">
      <c r="A1145">
        <v>7</v>
      </c>
      <c r="B1145">
        <v>0.22</v>
      </c>
      <c r="C1145">
        <v>0.3</v>
      </c>
      <c r="D1145">
        <v>1.8</v>
      </c>
      <c r="E1145">
        <v>6.5000000000000002E-2</v>
      </c>
      <c r="F1145">
        <v>16</v>
      </c>
      <c r="G1145">
        <v>20</v>
      </c>
      <c r="H1145">
        <v>0.99672000000000005</v>
      </c>
      <c r="I1145">
        <v>3.61</v>
      </c>
      <c r="J1145">
        <v>0.82</v>
      </c>
      <c r="K1145">
        <v>10</v>
      </c>
      <c r="L1145">
        <v>6</v>
      </c>
      <c r="M1145" t="str">
        <f t="shared" si="136"/>
        <v>Medium</v>
      </c>
      <c r="N1145">
        <f>(winequality_red[[#This Row],[Updated Quality &amp; Alcohol Analysis]]+winequality_red[[#This Row],[volatile acidity]]+winequality_red[[#This Row],[citric acid]])</f>
        <v>7.52</v>
      </c>
      <c r="O1145">
        <f t="shared" si="137"/>
        <v>1.8039999999999997E-2</v>
      </c>
      <c r="S1145" t="e">
        <f t="shared" si="138"/>
        <v>#N/A</v>
      </c>
      <c r="T1145" t="e">
        <f t="shared" si="139"/>
        <v>#N/A</v>
      </c>
      <c r="U1145">
        <f t="shared" si="140"/>
        <v>10</v>
      </c>
      <c r="V1145">
        <f t="shared" si="141"/>
        <v>6</v>
      </c>
      <c r="W1145" t="e">
        <f t="shared" si="142"/>
        <v>#N/A</v>
      </c>
      <c r="X1145" t="e">
        <f t="shared" si="143"/>
        <v>#N/A</v>
      </c>
    </row>
    <row r="1146" spans="1:24" x14ac:dyDescent="0.3">
      <c r="A1146">
        <v>7.3</v>
      </c>
      <c r="B1146">
        <v>0.32</v>
      </c>
      <c r="C1146">
        <v>0.23</v>
      </c>
      <c r="D1146">
        <v>2.2999999999999998</v>
      </c>
      <c r="E1146">
        <v>6.6000000000000003E-2</v>
      </c>
      <c r="F1146">
        <v>35</v>
      </c>
      <c r="G1146">
        <v>70</v>
      </c>
      <c r="H1146">
        <v>0.99587999999999988</v>
      </c>
      <c r="I1146">
        <v>3.43</v>
      </c>
      <c r="J1146">
        <v>0.62</v>
      </c>
      <c r="K1146">
        <v>10.1</v>
      </c>
      <c r="L1146">
        <v>5</v>
      </c>
      <c r="M1146" t="str">
        <f t="shared" si="136"/>
        <v>Medium</v>
      </c>
      <c r="N1146">
        <f>(winequality_red[[#This Row],[Updated Quality &amp; Alcohol Analysis]]+winequality_red[[#This Row],[volatile acidity]]+winequality_red[[#This Row],[citric acid]])</f>
        <v>7.8500000000000005</v>
      </c>
      <c r="O1146">
        <f t="shared" si="137"/>
        <v>1.9643564356435644E-2</v>
      </c>
      <c r="S1146" t="e">
        <f t="shared" si="138"/>
        <v>#N/A</v>
      </c>
      <c r="T1146" t="e">
        <f t="shared" si="139"/>
        <v>#N/A</v>
      </c>
      <c r="U1146">
        <f t="shared" si="140"/>
        <v>10.1</v>
      </c>
      <c r="V1146">
        <f t="shared" si="141"/>
        <v>5</v>
      </c>
      <c r="W1146" t="e">
        <f t="shared" si="142"/>
        <v>#N/A</v>
      </c>
      <c r="X1146" t="e">
        <f t="shared" si="143"/>
        <v>#N/A</v>
      </c>
    </row>
    <row r="1147" spans="1:24" x14ac:dyDescent="0.3">
      <c r="A1147">
        <v>8.1999999999999993</v>
      </c>
      <c r="B1147">
        <v>0.2</v>
      </c>
      <c r="C1147">
        <v>0.43</v>
      </c>
      <c r="D1147">
        <v>2.5</v>
      </c>
      <c r="E1147">
        <v>7.5999999999999998E-2</v>
      </c>
      <c r="F1147">
        <v>31</v>
      </c>
      <c r="G1147">
        <v>51</v>
      </c>
      <c r="H1147">
        <v>0.99672000000000005</v>
      </c>
      <c r="I1147">
        <v>3.53</v>
      </c>
      <c r="J1147">
        <v>0.81</v>
      </c>
      <c r="K1147">
        <v>10.4</v>
      </c>
      <c r="L1147">
        <v>6</v>
      </c>
      <c r="M1147" t="str">
        <f t="shared" si="136"/>
        <v>Medium</v>
      </c>
      <c r="N1147">
        <f>(winequality_red[[#This Row],[Updated Quality &amp; Alcohol Analysis]]+winequality_red[[#This Row],[volatile acidity]]+winequality_red[[#This Row],[citric acid]])</f>
        <v>8.8299999999999983</v>
      </c>
      <c r="O1147">
        <f t="shared" si="137"/>
        <v>1.557692307692308E-2</v>
      </c>
      <c r="S1147" t="e">
        <f t="shared" si="138"/>
        <v>#N/A</v>
      </c>
      <c r="T1147" t="e">
        <f t="shared" si="139"/>
        <v>#N/A</v>
      </c>
      <c r="U1147">
        <f t="shared" si="140"/>
        <v>10.4</v>
      </c>
      <c r="V1147">
        <f t="shared" si="141"/>
        <v>6</v>
      </c>
      <c r="W1147" t="e">
        <f t="shared" si="142"/>
        <v>#N/A</v>
      </c>
      <c r="X1147" t="e">
        <f t="shared" si="143"/>
        <v>#N/A</v>
      </c>
    </row>
    <row r="1148" spans="1:24" x14ac:dyDescent="0.3">
      <c r="A1148">
        <v>7.8</v>
      </c>
      <c r="B1148">
        <v>0.5</v>
      </c>
      <c r="C1148">
        <v>0.12</v>
      </c>
      <c r="D1148">
        <v>1.8</v>
      </c>
      <c r="E1148">
        <v>0.17800000000000002</v>
      </c>
      <c r="F1148">
        <v>6</v>
      </c>
      <c r="G1148">
        <v>21</v>
      </c>
      <c r="H1148">
        <v>0.996</v>
      </c>
      <c r="I1148">
        <v>3.28</v>
      </c>
      <c r="J1148">
        <v>0.87</v>
      </c>
      <c r="K1148">
        <v>9.8000000000000007</v>
      </c>
      <c r="L1148">
        <v>6</v>
      </c>
      <c r="M1148" t="str">
        <f t="shared" si="136"/>
        <v>Medium</v>
      </c>
      <c r="N1148">
        <f>(winequality_red[[#This Row],[Updated Quality &amp; Alcohol Analysis]]+winequality_red[[#This Row],[volatile acidity]]+winequality_red[[#This Row],[citric acid]])</f>
        <v>8.42</v>
      </c>
      <c r="O1148">
        <f t="shared" si="137"/>
        <v>4.4387755102040814E-2</v>
      </c>
      <c r="S1148" t="e">
        <f t="shared" si="138"/>
        <v>#N/A</v>
      </c>
      <c r="T1148" t="e">
        <f t="shared" si="139"/>
        <v>#N/A</v>
      </c>
      <c r="U1148">
        <f t="shared" si="140"/>
        <v>9.8000000000000007</v>
      </c>
      <c r="V1148">
        <f t="shared" si="141"/>
        <v>6</v>
      </c>
      <c r="W1148" t="e">
        <f t="shared" si="142"/>
        <v>#N/A</v>
      </c>
      <c r="X1148" t="e">
        <f t="shared" si="143"/>
        <v>#N/A</v>
      </c>
    </row>
    <row r="1149" spans="1:24" x14ac:dyDescent="0.3">
      <c r="A1149">
        <v>10</v>
      </c>
      <c r="B1149">
        <v>0.41</v>
      </c>
      <c r="C1149">
        <v>0.45</v>
      </c>
      <c r="D1149">
        <v>6.2</v>
      </c>
      <c r="E1149">
        <v>7.0999999999999994E-2</v>
      </c>
      <c r="F1149">
        <v>6</v>
      </c>
      <c r="G1149">
        <v>14</v>
      </c>
      <c r="H1149">
        <v>0.99702000000000002</v>
      </c>
      <c r="I1149">
        <v>3.21</v>
      </c>
      <c r="J1149">
        <v>0.49</v>
      </c>
      <c r="K1149">
        <v>11.8</v>
      </c>
      <c r="L1149">
        <v>7</v>
      </c>
      <c r="M1149" t="str">
        <f t="shared" si="136"/>
        <v>High</v>
      </c>
      <c r="N1149">
        <f>(winequality_red[[#This Row],[Updated Quality &amp; Alcohol Analysis]]+winequality_red[[#This Row],[volatile acidity]]+winequality_red[[#This Row],[citric acid]])</f>
        <v>10.86</v>
      </c>
      <c r="O1149">
        <f t="shared" si="137"/>
        <v>1.7025423728813559E-2</v>
      </c>
      <c r="S1149" t="e">
        <f t="shared" si="138"/>
        <v>#N/A</v>
      </c>
      <c r="T1149" t="e">
        <f t="shared" si="139"/>
        <v>#N/A</v>
      </c>
      <c r="U1149" t="e">
        <f t="shared" si="140"/>
        <v>#N/A</v>
      </c>
      <c r="V1149" t="e">
        <f t="shared" si="141"/>
        <v>#N/A</v>
      </c>
      <c r="W1149">
        <f t="shared" si="142"/>
        <v>11.8</v>
      </c>
      <c r="X1149">
        <f t="shared" si="143"/>
        <v>7</v>
      </c>
    </row>
    <row r="1150" spans="1:24" x14ac:dyDescent="0.3">
      <c r="A1150">
        <v>7.8</v>
      </c>
      <c r="B1150">
        <v>0.39</v>
      </c>
      <c r="C1150">
        <v>0.42</v>
      </c>
      <c r="D1150">
        <v>2</v>
      </c>
      <c r="E1150">
        <v>8.5999999999999993E-2</v>
      </c>
      <c r="F1150">
        <v>9</v>
      </c>
      <c r="G1150">
        <v>21</v>
      </c>
      <c r="H1150">
        <v>0.99526000000000003</v>
      </c>
      <c r="I1150">
        <v>3.39</v>
      </c>
      <c r="J1150">
        <v>0.66</v>
      </c>
      <c r="K1150">
        <v>11.6</v>
      </c>
      <c r="L1150">
        <v>6</v>
      </c>
      <c r="M1150" t="str">
        <f t="shared" si="136"/>
        <v>Medium</v>
      </c>
      <c r="N1150">
        <f>(winequality_red[[#This Row],[Updated Quality &amp; Alcohol Analysis]]+winequality_red[[#This Row],[volatile acidity]]+winequality_red[[#This Row],[citric acid]])</f>
        <v>8.61</v>
      </c>
      <c r="O1150">
        <f t="shared" si="137"/>
        <v>2.2189655172413794E-2</v>
      </c>
      <c r="S1150" t="e">
        <f t="shared" si="138"/>
        <v>#N/A</v>
      </c>
      <c r="T1150" t="e">
        <f t="shared" si="139"/>
        <v>#N/A</v>
      </c>
      <c r="U1150">
        <f t="shared" si="140"/>
        <v>11.6</v>
      </c>
      <c r="V1150">
        <f t="shared" si="141"/>
        <v>6</v>
      </c>
      <c r="W1150" t="e">
        <f t="shared" si="142"/>
        <v>#N/A</v>
      </c>
      <c r="X1150" t="e">
        <f t="shared" si="143"/>
        <v>#N/A</v>
      </c>
    </row>
    <row r="1151" spans="1:24" x14ac:dyDescent="0.3">
      <c r="A1151">
        <v>10</v>
      </c>
      <c r="B1151">
        <v>0.35</v>
      </c>
      <c r="C1151">
        <v>0.47</v>
      </c>
      <c r="D1151">
        <v>2</v>
      </c>
      <c r="E1151">
        <v>6.0999999999999999E-2</v>
      </c>
      <c r="F1151">
        <v>6</v>
      </c>
      <c r="G1151">
        <v>11</v>
      </c>
      <c r="H1151">
        <v>0.99585000000000001</v>
      </c>
      <c r="I1151">
        <v>3.23</v>
      </c>
      <c r="J1151">
        <v>0.52</v>
      </c>
      <c r="K1151">
        <v>12</v>
      </c>
      <c r="L1151">
        <v>6</v>
      </c>
      <c r="M1151" t="str">
        <f t="shared" si="136"/>
        <v>Medium</v>
      </c>
      <c r="N1151">
        <f>(winequality_red[[#This Row],[Updated Quality &amp; Alcohol Analysis]]+winequality_red[[#This Row],[volatile acidity]]+winequality_red[[#This Row],[citric acid]])</f>
        <v>10.82</v>
      </c>
      <c r="O1151">
        <f t="shared" si="137"/>
        <v>1.5166666666666667E-2</v>
      </c>
      <c r="S1151" t="e">
        <f t="shared" si="138"/>
        <v>#N/A</v>
      </c>
      <c r="T1151" t="e">
        <f t="shared" si="139"/>
        <v>#N/A</v>
      </c>
      <c r="U1151">
        <f t="shared" si="140"/>
        <v>12</v>
      </c>
      <c r="V1151">
        <f t="shared" si="141"/>
        <v>6</v>
      </c>
      <c r="W1151" t="e">
        <f t="shared" si="142"/>
        <v>#N/A</v>
      </c>
      <c r="X1151" t="e">
        <f t="shared" si="143"/>
        <v>#N/A</v>
      </c>
    </row>
    <row r="1152" spans="1:24" x14ac:dyDescent="0.3">
      <c r="A1152">
        <v>8.1999999999999993</v>
      </c>
      <c r="B1152">
        <v>0.33</v>
      </c>
      <c r="C1152">
        <v>0.32</v>
      </c>
      <c r="D1152">
        <v>2.8</v>
      </c>
      <c r="E1152">
        <v>6.7000000000000004E-2</v>
      </c>
      <c r="F1152">
        <v>4</v>
      </c>
      <c r="G1152">
        <v>12</v>
      </c>
      <c r="H1152">
        <v>0.99472999999999989</v>
      </c>
      <c r="I1152">
        <v>3.3</v>
      </c>
      <c r="J1152">
        <v>0.76</v>
      </c>
      <c r="K1152">
        <v>12.8</v>
      </c>
      <c r="L1152">
        <v>7</v>
      </c>
      <c r="M1152" t="str">
        <f t="shared" si="136"/>
        <v>High</v>
      </c>
      <c r="N1152">
        <f>(winequality_red[[#This Row],[Updated Quality &amp; Alcohol Analysis]]+winequality_red[[#This Row],[volatile acidity]]+winequality_red[[#This Row],[citric acid]])</f>
        <v>8.85</v>
      </c>
      <c r="O1152">
        <f t="shared" si="137"/>
        <v>1.959375E-2</v>
      </c>
      <c r="S1152" t="e">
        <f t="shared" si="138"/>
        <v>#N/A</v>
      </c>
      <c r="T1152" t="e">
        <f t="shared" si="139"/>
        <v>#N/A</v>
      </c>
      <c r="U1152" t="e">
        <f t="shared" si="140"/>
        <v>#N/A</v>
      </c>
      <c r="V1152" t="e">
        <f t="shared" si="141"/>
        <v>#N/A</v>
      </c>
      <c r="W1152">
        <f t="shared" si="142"/>
        <v>12.8</v>
      </c>
      <c r="X1152">
        <f t="shared" si="143"/>
        <v>7</v>
      </c>
    </row>
    <row r="1153" spans="1:24" x14ac:dyDescent="0.3">
      <c r="A1153">
        <v>6.1</v>
      </c>
      <c r="B1153">
        <v>0.57999999999999996</v>
      </c>
      <c r="C1153">
        <v>0.23</v>
      </c>
      <c r="D1153">
        <v>2.5</v>
      </c>
      <c r="E1153">
        <v>4.4000000000000004E-2</v>
      </c>
      <c r="F1153">
        <v>16</v>
      </c>
      <c r="G1153">
        <v>70</v>
      </c>
      <c r="H1153">
        <v>0.99352000000000007</v>
      </c>
      <c r="I1153">
        <v>3.46</v>
      </c>
      <c r="J1153">
        <v>0.65</v>
      </c>
      <c r="K1153">
        <v>12.5</v>
      </c>
      <c r="L1153">
        <v>6</v>
      </c>
      <c r="M1153" t="str">
        <f t="shared" si="136"/>
        <v>Medium</v>
      </c>
      <c r="N1153">
        <f>(winequality_red[[#This Row],[Updated Quality &amp; Alcohol Analysis]]+winequality_red[[#This Row],[volatile acidity]]+winequality_red[[#This Row],[citric acid]])</f>
        <v>6.91</v>
      </c>
      <c r="O1153">
        <f t="shared" si="137"/>
        <v>3.0159999999999999E-2</v>
      </c>
      <c r="S1153" t="e">
        <f t="shared" si="138"/>
        <v>#N/A</v>
      </c>
      <c r="T1153" t="e">
        <f t="shared" si="139"/>
        <v>#N/A</v>
      </c>
      <c r="U1153">
        <f t="shared" si="140"/>
        <v>12.5</v>
      </c>
      <c r="V1153">
        <f t="shared" si="141"/>
        <v>6</v>
      </c>
      <c r="W1153" t="e">
        <f t="shared" si="142"/>
        <v>#N/A</v>
      </c>
      <c r="X1153" t="e">
        <f t="shared" si="143"/>
        <v>#N/A</v>
      </c>
    </row>
    <row r="1154" spans="1:24" x14ac:dyDescent="0.3">
      <c r="A1154">
        <v>8.3000000000000007</v>
      </c>
      <c r="B1154">
        <v>0.6</v>
      </c>
      <c r="C1154">
        <v>0.25</v>
      </c>
      <c r="D1154">
        <v>2.2000000000000002</v>
      </c>
      <c r="E1154">
        <v>0.11800000000000001</v>
      </c>
      <c r="F1154">
        <v>9</v>
      </c>
      <c r="G1154">
        <v>38</v>
      </c>
      <c r="H1154">
        <v>0.99616000000000005</v>
      </c>
      <c r="I1154">
        <v>3.15</v>
      </c>
      <c r="J1154">
        <v>0.53</v>
      </c>
      <c r="K1154">
        <v>9.8000000000000007</v>
      </c>
      <c r="L1154">
        <v>5</v>
      </c>
      <c r="M1154" t="str">
        <f t="shared" ref="M1154:M1217" si="144">IF($L1154&gt;=7,"High",IF($L1154&gt;=5,"Medium","Low"))</f>
        <v>Medium</v>
      </c>
      <c r="N1154">
        <f>(winequality_red[[#This Row],[Updated Quality &amp; Alcohol Analysis]]+winequality_red[[#This Row],[volatile acidity]]+winequality_red[[#This Row],[citric acid]])</f>
        <v>9.15</v>
      </c>
      <c r="O1154">
        <f t="shared" ref="O1154:O1217" si="145">($B1154*$J1154)/$K1154</f>
        <v>3.2448979591836735E-2</v>
      </c>
      <c r="S1154" t="e">
        <f t="shared" si="138"/>
        <v>#N/A</v>
      </c>
      <c r="T1154" t="e">
        <f t="shared" si="139"/>
        <v>#N/A</v>
      </c>
      <c r="U1154">
        <f t="shared" si="140"/>
        <v>9.8000000000000007</v>
      </c>
      <c r="V1154">
        <f t="shared" si="141"/>
        <v>5</v>
      </c>
      <c r="W1154" t="e">
        <f t="shared" si="142"/>
        <v>#N/A</v>
      </c>
      <c r="X1154" t="e">
        <f t="shared" si="143"/>
        <v>#N/A</v>
      </c>
    </row>
    <row r="1155" spans="1:24" x14ac:dyDescent="0.3">
      <c r="A1155">
        <v>9.6</v>
      </c>
      <c r="B1155">
        <v>0.42</v>
      </c>
      <c r="C1155">
        <v>0.35</v>
      </c>
      <c r="D1155">
        <v>2.1</v>
      </c>
      <c r="E1155">
        <v>8.3000000000000004E-2</v>
      </c>
      <c r="F1155">
        <v>17</v>
      </c>
      <c r="G1155">
        <v>38</v>
      </c>
      <c r="H1155">
        <v>0.99622000000000011</v>
      </c>
      <c r="I1155">
        <v>3.23</v>
      </c>
      <c r="J1155">
        <v>0.66</v>
      </c>
      <c r="K1155">
        <v>11.1</v>
      </c>
      <c r="L1155">
        <v>6</v>
      </c>
      <c r="M1155" t="str">
        <f t="shared" si="144"/>
        <v>Medium</v>
      </c>
      <c r="N1155">
        <f>(winequality_red[[#This Row],[Updated Quality &amp; Alcohol Analysis]]+winequality_red[[#This Row],[volatile acidity]]+winequality_red[[#This Row],[citric acid]])</f>
        <v>10.37</v>
      </c>
      <c r="O1155">
        <f t="shared" si="145"/>
        <v>2.4972972972972973E-2</v>
      </c>
      <c r="S1155" t="e">
        <f t="shared" ref="S1155:S1218" si="146">IF($M1155="Low",$K1155,NA())</f>
        <v>#N/A</v>
      </c>
      <c r="T1155" t="e">
        <f t="shared" ref="T1155:T1218" si="147">IF($M1155="Low",$L1155,NA())</f>
        <v>#N/A</v>
      </c>
      <c r="U1155">
        <f t="shared" ref="U1155:U1218" si="148">IF($M1155="Medium",$K1155,NA())</f>
        <v>11.1</v>
      </c>
      <c r="V1155">
        <f t="shared" ref="V1155:V1218" si="149">IF($M1155="Medium",$L1155,NA())</f>
        <v>6</v>
      </c>
      <c r="W1155" t="e">
        <f t="shared" ref="W1155:W1218" si="150">IF($M1155="High",$K1155,NA())</f>
        <v>#N/A</v>
      </c>
      <c r="X1155" t="e">
        <f t="shared" ref="X1155:X1218" si="151">IF($M1155="High",$L1155,NA())</f>
        <v>#N/A</v>
      </c>
    </row>
    <row r="1156" spans="1:24" x14ac:dyDescent="0.3">
      <c r="A1156">
        <v>6.6</v>
      </c>
      <c r="B1156">
        <v>0.57999999999999996</v>
      </c>
      <c r="C1156">
        <v>0</v>
      </c>
      <c r="D1156">
        <v>2.2000000000000002</v>
      </c>
      <c r="E1156">
        <v>0.1</v>
      </c>
      <c r="F1156">
        <v>50</v>
      </c>
      <c r="G1156">
        <v>63</v>
      </c>
      <c r="H1156">
        <v>0.99543999999999999</v>
      </c>
      <c r="I1156">
        <v>3.59</v>
      </c>
      <c r="J1156">
        <v>0.68</v>
      </c>
      <c r="K1156">
        <v>11.4</v>
      </c>
      <c r="L1156">
        <v>6</v>
      </c>
      <c r="M1156" t="str">
        <f t="shared" si="144"/>
        <v>Medium</v>
      </c>
      <c r="N1156">
        <f>(winequality_red[[#This Row],[Updated Quality &amp; Alcohol Analysis]]+winequality_red[[#This Row],[volatile acidity]]+winequality_red[[#This Row],[citric acid]])</f>
        <v>7.18</v>
      </c>
      <c r="O1156">
        <f t="shared" si="145"/>
        <v>3.4596491228070174E-2</v>
      </c>
      <c r="S1156" t="e">
        <f t="shared" si="146"/>
        <v>#N/A</v>
      </c>
      <c r="T1156" t="e">
        <f t="shared" si="147"/>
        <v>#N/A</v>
      </c>
      <c r="U1156">
        <f t="shared" si="148"/>
        <v>11.4</v>
      </c>
      <c r="V1156">
        <f t="shared" si="149"/>
        <v>6</v>
      </c>
      <c r="W1156" t="e">
        <f t="shared" si="150"/>
        <v>#N/A</v>
      </c>
      <c r="X1156" t="e">
        <f t="shared" si="151"/>
        <v>#N/A</v>
      </c>
    </row>
    <row r="1157" spans="1:24" x14ac:dyDescent="0.3">
      <c r="A1157">
        <v>8.3000000000000007</v>
      </c>
      <c r="B1157">
        <v>0.6</v>
      </c>
      <c r="C1157">
        <v>0.25</v>
      </c>
      <c r="D1157">
        <v>2.2000000000000002</v>
      </c>
      <c r="E1157">
        <v>0.11800000000000001</v>
      </c>
      <c r="F1157">
        <v>9</v>
      </c>
      <c r="G1157">
        <v>38</v>
      </c>
      <c r="H1157">
        <v>0.99616000000000005</v>
      </c>
      <c r="I1157">
        <v>3.15</v>
      </c>
      <c r="J1157">
        <v>0.53</v>
      </c>
      <c r="K1157">
        <v>9.8000000000000007</v>
      </c>
      <c r="L1157">
        <v>5</v>
      </c>
      <c r="M1157" t="str">
        <f t="shared" si="144"/>
        <v>Medium</v>
      </c>
      <c r="N1157">
        <f>(winequality_red[[#This Row],[Updated Quality &amp; Alcohol Analysis]]+winequality_red[[#This Row],[volatile acidity]]+winequality_red[[#This Row],[citric acid]])</f>
        <v>9.15</v>
      </c>
      <c r="O1157">
        <f t="shared" si="145"/>
        <v>3.2448979591836735E-2</v>
      </c>
      <c r="S1157" t="e">
        <f t="shared" si="146"/>
        <v>#N/A</v>
      </c>
      <c r="T1157" t="e">
        <f t="shared" si="147"/>
        <v>#N/A</v>
      </c>
      <c r="U1157">
        <f t="shared" si="148"/>
        <v>9.8000000000000007</v>
      </c>
      <c r="V1157">
        <f t="shared" si="149"/>
        <v>5</v>
      </c>
      <c r="W1157" t="e">
        <f t="shared" si="150"/>
        <v>#N/A</v>
      </c>
      <c r="X1157" t="e">
        <f t="shared" si="151"/>
        <v>#N/A</v>
      </c>
    </row>
    <row r="1158" spans="1:24" x14ac:dyDescent="0.3">
      <c r="A1158">
        <v>8.5</v>
      </c>
      <c r="B1158">
        <v>0.18</v>
      </c>
      <c r="C1158">
        <v>0.51</v>
      </c>
      <c r="D1158">
        <v>1.75</v>
      </c>
      <c r="E1158">
        <v>7.0999999999999994E-2</v>
      </c>
      <c r="F1158">
        <v>45</v>
      </c>
      <c r="G1158">
        <v>88</v>
      </c>
      <c r="H1158">
        <v>0.99524000000000001</v>
      </c>
      <c r="I1158">
        <v>3.33</v>
      </c>
      <c r="J1158">
        <v>0.76</v>
      </c>
      <c r="K1158">
        <v>11.8</v>
      </c>
      <c r="L1158">
        <v>7</v>
      </c>
      <c r="M1158" t="str">
        <f t="shared" si="144"/>
        <v>High</v>
      </c>
      <c r="N1158">
        <f>(winequality_red[[#This Row],[Updated Quality &amp; Alcohol Analysis]]+winequality_red[[#This Row],[volatile acidity]]+winequality_red[[#This Row],[citric acid]])</f>
        <v>9.19</v>
      </c>
      <c r="O1158">
        <f t="shared" si="145"/>
        <v>1.1593220338983051E-2</v>
      </c>
      <c r="S1158" t="e">
        <f t="shared" si="146"/>
        <v>#N/A</v>
      </c>
      <c r="T1158" t="e">
        <f t="shared" si="147"/>
        <v>#N/A</v>
      </c>
      <c r="U1158" t="e">
        <f t="shared" si="148"/>
        <v>#N/A</v>
      </c>
      <c r="V1158" t="e">
        <f t="shared" si="149"/>
        <v>#N/A</v>
      </c>
      <c r="W1158">
        <f t="shared" si="150"/>
        <v>11.8</v>
      </c>
      <c r="X1158">
        <f t="shared" si="151"/>
        <v>7</v>
      </c>
    </row>
    <row r="1159" spans="1:24" x14ac:dyDescent="0.3">
      <c r="A1159">
        <v>5.0999999999999996</v>
      </c>
      <c r="B1159">
        <v>0.51</v>
      </c>
      <c r="C1159">
        <v>0.18</v>
      </c>
      <c r="D1159">
        <v>2.1</v>
      </c>
      <c r="E1159">
        <v>4.2000000000000003E-2</v>
      </c>
      <c r="F1159">
        <v>16</v>
      </c>
      <c r="G1159">
        <v>101</v>
      </c>
      <c r="H1159">
        <v>0.99239999999999995</v>
      </c>
      <c r="I1159">
        <v>3.46</v>
      </c>
      <c r="J1159">
        <v>0.87</v>
      </c>
      <c r="K1159">
        <v>12.9</v>
      </c>
      <c r="L1159">
        <v>7</v>
      </c>
      <c r="M1159" t="str">
        <f t="shared" si="144"/>
        <v>High</v>
      </c>
      <c r="N1159">
        <f>(winequality_red[[#This Row],[Updated Quality &amp; Alcohol Analysis]]+winequality_red[[#This Row],[volatile acidity]]+winequality_red[[#This Row],[citric acid]])</f>
        <v>5.7899999999999991</v>
      </c>
      <c r="O1159">
        <f t="shared" si="145"/>
        <v>3.4395348837209301E-2</v>
      </c>
      <c r="S1159" t="e">
        <f t="shared" si="146"/>
        <v>#N/A</v>
      </c>
      <c r="T1159" t="e">
        <f t="shared" si="147"/>
        <v>#N/A</v>
      </c>
      <c r="U1159" t="e">
        <f t="shared" si="148"/>
        <v>#N/A</v>
      </c>
      <c r="V1159" t="e">
        <f t="shared" si="149"/>
        <v>#N/A</v>
      </c>
      <c r="W1159">
        <f t="shared" si="150"/>
        <v>12.9</v>
      </c>
      <c r="X1159">
        <f t="shared" si="151"/>
        <v>7</v>
      </c>
    </row>
    <row r="1160" spans="1:24" x14ac:dyDescent="0.3">
      <c r="A1160">
        <v>6.7</v>
      </c>
      <c r="B1160">
        <v>0.41</v>
      </c>
      <c r="C1160">
        <v>0.43</v>
      </c>
      <c r="D1160">
        <v>2.8</v>
      </c>
      <c r="E1160">
        <v>7.5999999999999998E-2</v>
      </c>
      <c r="F1160">
        <v>22</v>
      </c>
      <c r="G1160">
        <v>54</v>
      </c>
      <c r="H1160">
        <v>0.99572000000000005</v>
      </c>
      <c r="I1160">
        <v>3.42</v>
      </c>
      <c r="J1160">
        <v>1.1599999999999999</v>
      </c>
      <c r="K1160">
        <v>10.6</v>
      </c>
      <c r="L1160">
        <v>6</v>
      </c>
      <c r="M1160" t="str">
        <f t="shared" si="144"/>
        <v>Medium</v>
      </c>
      <c r="N1160">
        <f>(winequality_red[[#This Row],[Updated Quality &amp; Alcohol Analysis]]+winequality_red[[#This Row],[volatile acidity]]+winequality_red[[#This Row],[citric acid]])</f>
        <v>7.54</v>
      </c>
      <c r="O1160">
        <f t="shared" si="145"/>
        <v>4.4867924528301878E-2</v>
      </c>
      <c r="S1160" t="e">
        <f t="shared" si="146"/>
        <v>#N/A</v>
      </c>
      <c r="T1160" t="e">
        <f t="shared" si="147"/>
        <v>#N/A</v>
      </c>
      <c r="U1160">
        <f t="shared" si="148"/>
        <v>10.6</v>
      </c>
      <c r="V1160">
        <f t="shared" si="149"/>
        <v>6</v>
      </c>
      <c r="W1160" t="e">
        <f t="shared" si="150"/>
        <v>#N/A</v>
      </c>
      <c r="X1160" t="e">
        <f t="shared" si="151"/>
        <v>#N/A</v>
      </c>
    </row>
    <row r="1161" spans="1:24" x14ac:dyDescent="0.3">
      <c r="A1161">
        <v>10.199999999999999</v>
      </c>
      <c r="B1161">
        <v>0.41</v>
      </c>
      <c r="C1161">
        <v>0.43</v>
      </c>
      <c r="D1161">
        <v>2.2000000000000002</v>
      </c>
      <c r="E1161">
        <v>0.11</v>
      </c>
      <c r="F1161">
        <v>11</v>
      </c>
      <c r="G1161">
        <v>37</v>
      </c>
      <c r="H1161">
        <v>0.99727999999999994</v>
      </c>
      <c r="I1161">
        <v>3.16</v>
      </c>
      <c r="J1161">
        <v>0.67</v>
      </c>
      <c r="K1161">
        <v>10.8</v>
      </c>
      <c r="L1161">
        <v>5</v>
      </c>
      <c r="M1161" t="str">
        <f t="shared" si="144"/>
        <v>Medium</v>
      </c>
      <c r="N1161">
        <f>(winequality_red[[#This Row],[Updated Quality &amp; Alcohol Analysis]]+winequality_red[[#This Row],[volatile acidity]]+winequality_red[[#This Row],[citric acid]])</f>
        <v>11.04</v>
      </c>
      <c r="O1161">
        <f t="shared" si="145"/>
        <v>2.5435185185185182E-2</v>
      </c>
      <c r="S1161" t="e">
        <f t="shared" si="146"/>
        <v>#N/A</v>
      </c>
      <c r="T1161" t="e">
        <f t="shared" si="147"/>
        <v>#N/A</v>
      </c>
      <c r="U1161">
        <f t="shared" si="148"/>
        <v>10.8</v>
      </c>
      <c r="V1161">
        <f t="shared" si="149"/>
        <v>5</v>
      </c>
      <c r="W1161" t="e">
        <f t="shared" si="150"/>
        <v>#N/A</v>
      </c>
      <c r="X1161" t="e">
        <f t="shared" si="151"/>
        <v>#N/A</v>
      </c>
    </row>
    <row r="1162" spans="1:24" x14ac:dyDescent="0.3">
      <c r="A1162">
        <v>10.6</v>
      </c>
      <c r="B1162">
        <v>0.36</v>
      </c>
      <c r="C1162">
        <v>0.56999999999999995</v>
      </c>
      <c r="D1162">
        <v>2.2999999999999998</v>
      </c>
      <c r="E1162">
        <v>8.6999999999999994E-2</v>
      </c>
      <c r="F1162">
        <v>6</v>
      </c>
      <c r="G1162">
        <v>20</v>
      </c>
      <c r="H1162">
        <v>0.99676000000000009</v>
      </c>
      <c r="I1162">
        <v>3.14</v>
      </c>
      <c r="J1162">
        <v>0.72</v>
      </c>
      <c r="K1162">
        <v>11.1</v>
      </c>
      <c r="L1162">
        <v>7</v>
      </c>
      <c r="M1162" t="str">
        <f t="shared" si="144"/>
        <v>High</v>
      </c>
      <c r="N1162">
        <f>(winequality_red[[#This Row],[Updated Quality &amp; Alcohol Analysis]]+winequality_red[[#This Row],[volatile acidity]]+winequality_red[[#This Row],[citric acid]])</f>
        <v>11.53</v>
      </c>
      <c r="O1162">
        <f t="shared" si="145"/>
        <v>2.335135135135135E-2</v>
      </c>
      <c r="S1162" t="e">
        <f t="shared" si="146"/>
        <v>#N/A</v>
      </c>
      <c r="T1162" t="e">
        <f t="shared" si="147"/>
        <v>#N/A</v>
      </c>
      <c r="U1162" t="e">
        <f t="shared" si="148"/>
        <v>#N/A</v>
      </c>
      <c r="V1162" t="e">
        <f t="shared" si="149"/>
        <v>#N/A</v>
      </c>
      <c r="W1162">
        <f t="shared" si="150"/>
        <v>11.1</v>
      </c>
      <c r="X1162">
        <f t="shared" si="151"/>
        <v>7</v>
      </c>
    </row>
    <row r="1163" spans="1:24" x14ac:dyDescent="0.3">
      <c r="A1163">
        <v>8.8000000000000007</v>
      </c>
      <c r="B1163">
        <v>0.45</v>
      </c>
      <c r="C1163">
        <v>0.43</v>
      </c>
      <c r="D1163">
        <v>1.4</v>
      </c>
      <c r="E1163">
        <v>7.5999999999999998E-2</v>
      </c>
      <c r="F1163">
        <v>12</v>
      </c>
      <c r="G1163">
        <v>21</v>
      </c>
      <c r="H1163">
        <v>0.99551000000000001</v>
      </c>
      <c r="I1163">
        <v>3.21</v>
      </c>
      <c r="J1163">
        <v>0.75</v>
      </c>
      <c r="K1163">
        <v>10.199999999999999</v>
      </c>
      <c r="L1163">
        <v>6</v>
      </c>
      <c r="M1163" t="str">
        <f t="shared" si="144"/>
        <v>Medium</v>
      </c>
      <c r="N1163">
        <f>(winequality_red[[#This Row],[Updated Quality &amp; Alcohol Analysis]]+winequality_red[[#This Row],[volatile acidity]]+winequality_red[[#This Row],[citric acid]])</f>
        <v>9.68</v>
      </c>
      <c r="O1163">
        <f t="shared" si="145"/>
        <v>3.3088235294117654E-2</v>
      </c>
      <c r="S1163" t="e">
        <f t="shared" si="146"/>
        <v>#N/A</v>
      </c>
      <c r="T1163" t="e">
        <f t="shared" si="147"/>
        <v>#N/A</v>
      </c>
      <c r="U1163">
        <f t="shared" si="148"/>
        <v>10.199999999999999</v>
      </c>
      <c r="V1163">
        <f t="shared" si="149"/>
        <v>6</v>
      </c>
      <c r="W1163" t="e">
        <f t="shared" si="150"/>
        <v>#N/A</v>
      </c>
      <c r="X1163" t="e">
        <f t="shared" si="151"/>
        <v>#N/A</v>
      </c>
    </row>
    <row r="1164" spans="1:24" x14ac:dyDescent="0.3">
      <c r="A1164">
        <v>8.5</v>
      </c>
      <c r="B1164">
        <v>0.32</v>
      </c>
      <c r="C1164">
        <v>0.42</v>
      </c>
      <c r="D1164">
        <v>2.2999999999999998</v>
      </c>
      <c r="E1164">
        <v>7.4999999999999997E-2</v>
      </c>
      <c r="F1164">
        <v>12</v>
      </c>
      <c r="G1164">
        <v>19</v>
      </c>
      <c r="H1164">
        <v>0.99434</v>
      </c>
      <c r="I1164">
        <v>3.14</v>
      </c>
      <c r="J1164">
        <v>0.71</v>
      </c>
      <c r="K1164">
        <v>11.8</v>
      </c>
      <c r="L1164">
        <v>7</v>
      </c>
      <c r="M1164" t="str">
        <f t="shared" si="144"/>
        <v>High</v>
      </c>
      <c r="N1164">
        <f>(winequality_red[[#This Row],[Updated Quality &amp; Alcohol Analysis]]+winequality_red[[#This Row],[volatile acidity]]+winequality_red[[#This Row],[citric acid]])</f>
        <v>9.24</v>
      </c>
      <c r="O1164">
        <f t="shared" si="145"/>
        <v>1.9254237288135592E-2</v>
      </c>
      <c r="S1164" t="e">
        <f t="shared" si="146"/>
        <v>#N/A</v>
      </c>
      <c r="T1164" t="e">
        <f t="shared" si="147"/>
        <v>#N/A</v>
      </c>
      <c r="U1164" t="e">
        <f t="shared" si="148"/>
        <v>#N/A</v>
      </c>
      <c r="V1164" t="e">
        <f t="shared" si="149"/>
        <v>#N/A</v>
      </c>
      <c r="W1164">
        <f t="shared" si="150"/>
        <v>11.8</v>
      </c>
      <c r="X1164">
        <f t="shared" si="151"/>
        <v>7</v>
      </c>
    </row>
    <row r="1165" spans="1:24" x14ac:dyDescent="0.3">
      <c r="A1165">
        <v>9</v>
      </c>
      <c r="B1165">
        <v>0.78500000000000003</v>
      </c>
      <c r="C1165">
        <v>0.24</v>
      </c>
      <c r="D1165">
        <v>1.7</v>
      </c>
      <c r="E1165">
        <v>7.8E-2</v>
      </c>
      <c r="F1165">
        <v>10</v>
      </c>
      <c r="G1165">
        <v>21</v>
      </c>
      <c r="H1165">
        <v>0.99692000000000003</v>
      </c>
      <c r="I1165">
        <v>3.29</v>
      </c>
      <c r="J1165">
        <v>0.67</v>
      </c>
      <c r="K1165">
        <v>10</v>
      </c>
      <c r="L1165">
        <v>5</v>
      </c>
      <c r="M1165" t="str">
        <f t="shared" si="144"/>
        <v>Medium</v>
      </c>
      <c r="N1165">
        <f>(winequality_red[[#This Row],[Updated Quality &amp; Alcohol Analysis]]+winequality_red[[#This Row],[volatile acidity]]+winequality_red[[#This Row],[citric acid]])</f>
        <v>10.025</v>
      </c>
      <c r="O1165">
        <f t="shared" si="145"/>
        <v>5.2595000000000003E-2</v>
      </c>
      <c r="S1165" t="e">
        <f t="shared" si="146"/>
        <v>#N/A</v>
      </c>
      <c r="T1165" t="e">
        <f t="shared" si="147"/>
        <v>#N/A</v>
      </c>
      <c r="U1165">
        <f t="shared" si="148"/>
        <v>10</v>
      </c>
      <c r="V1165">
        <f t="shared" si="149"/>
        <v>5</v>
      </c>
      <c r="W1165" t="e">
        <f t="shared" si="150"/>
        <v>#N/A</v>
      </c>
      <c r="X1165" t="e">
        <f t="shared" si="151"/>
        <v>#N/A</v>
      </c>
    </row>
    <row r="1166" spans="1:24" x14ac:dyDescent="0.3">
      <c r="A1166">
        <v>9</v>
      </c>
      <c r="B1166">
        <v>0.78500000000000003</v>
      </c>
      <c r="C1166">
        <v>0.24</v>
      </c>
      <c r="D1166">
        <v>1.7</v>
      </c>
      <c r="E1166">
        <v>7.8E-2</v>
      </c>
      <c r="F1166">
        <v>10</v>
      </c>
      <c r="G1166">
        <v>21</v>
      </c>
      <c r="H1166">
        <v>0.99692000000000003</v>
      </c>
      <c r="I1166">
        <v>3.29</v>
      </c>
      <c r="J1166">
        <v>0.67</v>
      </c>
      <c r="K1166">
        <v>10</v>
      </c>
      <c r="L1166">
        <v>5</v>
      </c>
      <c r="M1166" t="str">
        <f t="shared" si="144"/>
        <v>Medium</v>
      </c>
      <c r="N1166">
        <f>(winequality_red[[#This Row],[Updated Quality &amp; Alcohol Analysis]]+winequality_red[[#This Row],[volatile acidity]]+winequality_red[[#This Row],[citric acid]])</f>
        <v>10.025</v>
      </c>
      <c r="O1166">
        <f t="shared" si="145"/>
        <v>5.2595000000000003E-2</v>
      </c>
      <c r="S1166" t="e">
        <f t="shared" si="146"/>
        <v>#N/A</v>
      </c>
      <c r="T1166" t="e">
        <f t="shared" si="147"/>
        <v>#N/A</v>
      </c>
      <c r="U1166">
        <f t="shared" si="148"/>
        <v>10</v>
      </c>
      <c r="V1166">
        <f t="shared" si="149"/>
        <v>5</v>
      </c>
      <c r="W1166" t="e">
        <f t="shared" si="150"/>
        <v>#N/A</v>
      </c>
      <c r="X1166" t="e">
        <f t="shared" si="151"/>
        <v>#N/A</v>
      </c>
    </row>
    <row r="1167" spans="1:24" x14ac:dyDescent="0.3">
      <c r="A1167">
        <v>8.5</v>
      </c>
      <c r="B1167">
        <v>0.44</v>
      </c>
      <c r="C1167">
        <v>0.5</v>
      </c>
      <c r="D1167">
        <v>1.9</v>
      </c>
      <c r="E1167">
        <v>0.36899999999999999</v>
      </c>
      <c r="F1167">
        <v>15</v>
      </c>
      <c r="G1167">
        <v>38</v>
      </c>
      <c r="H1167">
        <v>0.99634</v>
      </c>
      <c r="I1167">
        <v>3.01</v>
      </c>
      <c r="J1167">
        <v>1.1000000000000001</v>
      </c>
      <c r="K1167">
        <v>9.4</v>
      </c>
      <c r="L1167">
        <v>5</v>
      </c>
      <c r="M1167" t="str">
        <f t="shared" si="144"/>
        <v>Medium</v>
      </c>
      <c r="N1167">
        <f>(winequality_red[[#This Row],[Updated Quality &amp; Alcohol Analysis]]+winequality_red[[#This Row],[volatile acidity]]+winequality_red[[#This Row],[citric acid]])</f>
        <v>9.44</v>
      </c>
      <c r="O1167">
        <f t="shared" si="145"/>
        <v>5.1489361702127659E-2</v>
      </c>
      <c r="S1167" t="e">
        <f t="shared" si="146"/>
        <v>#N/A</v>
      </c>
      <c r="T1167" t="e">
        <f t="shared" si="147"/>
        <v>#N/A</v>
      </c>
      <c r="U1167">
        <f t="shared" si="148"/>
        <v>9.4</v>
      </c>
      <c r="V1167">
        <f t="shared" si="149"/>
        <v>5</v>
      </c>
      <c r="W1167" t="e">
        <f t="shared" si="150"/>
        <v>#N/A</v>
      </c>
      <c r="X1167" t="e">
        <f t="shared" si="151"/>
        <v>#N/A</v>
      </c>
    </row>
    <row r="1168" spans="1:24" x14ac:dyDescent="0.3">
      <c r="A1168">
        <v>9.9</v>
      </c>
      <c r="B1168">
        <v>0.54</v>
      </c>
      <c r="C1168">
        <v>0.26</v>
      </c>
      <c r="D1168">
        <v>2</v>
      </c>
      <c r="E1168">
        <v>0.111</v>
      </c>
      <c r="F1168">
        <v>7</v>
      </c>
      <c r="G1168">
        <v>60</v>
      </c>
      <c r="H1168">
        <v>0.99708999999999992</v>
      </c>
      <c r="I1168">
        <v>2.94</v>
      </c>
      <c r="J1168">
        <v>0.98</v>
      </c>
      <c r="K1168">
        <v>10.199999999999999</v>
      </c>
      <c r="L1168">
        <v>5</v>
      </c>
      <c r="M1168" t="str">
        <f t="shared" si="144"/>
        <v>Medium</v>
      </c>
      <c r="N1168">
        <f>(winequality_red[[#This Row],[Updated Quality &amp; Alcohol Analysis]]+winequality_red[[#This Row],[volatile acidity]]+winequality_red[[#This Row],[citric acid]])</f>
        <v>10.700000000000001</v>
      </c>
      <c r="O1168">
        <f t="shared" si="145"/>
        <v>5.1882352941176477E-2</v>
      </c>
      <c r="S1168" t="e">
        <f t="shared" si="146"/>
        <v>#N/A</v>
      </c>
      <c r="T1168" t="e">
        <f t="shared" si="147"/>
        <v>#N/A</v>
      </c>
      <c r="U1168">
        <f t="shared" si="148"/>
        <v>10.199999999999999</v>
      </c>
      <c r="V1168">
        <f t="shared" si="149"/>
        <v>5</v>
      </c>
      <c r="W1168" t="e">
        <f t="shared" si="150"/>
        <v>#N/A</v>
      </c>
      <c r="X1168" t="e">
        <f t="shared" si="151"/>
        <v>#N/A</v>
      </c>
    </row>
    <row r="1169" spans="1:24" x14ac:dyDescent="0.3">
      <c r="A1169">
        <v>8.1999999999999993</v>
      </c>
      <c r="B1169">
        <v>0.33</v>
      </c>
      <c r="C1169">
        <v>0.39</v>
      </c>
      <c r="D1169">
        <v>2.5</v>
      </c>
      <c r="E1169">
        <v>7.400000000000001E-2</v>
      </c>
      <c r="F1169">
        <v>29</v>
      </c>
      <c r="G1169">
        <v>48</v>
      </c>
      <c r="H1169">
        <v>0.99527999999999994</v>
      </c>
      <c r="I1169">
        <v>3.32</v>
      </c>
      <c r="J1169">
        <v>0.88</v>
      </c>
      <c r="K1169">
        <v>12.4</v>
      </c>
      <c r="L1169">
        <v>7</v>
      </c>
      <c r="M1169" t="str">
        <f t="shared" si="144"/>
        <v>High</v>
      </c>
      <c r="N1169">
        <f>(winequality_red[[#This Row],[Updated Quality &amp; Alcohol Analysis]]+winequality_red[[#This Row],[volatile acidity]]+winequality_red[[#This Row],[citric acid]])</f>
        <v>8.92</v>
      </c>
      <c r="O1169">
        <f t="shared" si="145"/>
        <v>2.3419354838709674E-2</v>
      </c>
      <c r="S1169" t="e">
        <f t="shared" si="146"/>
        <v>#N/A</v>
      </c>
      <c r="T1169" t="e">
        <f t="shared" si="147"/>
        <v>#N/A</v>
      </c>
      <c r="U1169" t="e">
        <f t="shared" si="148"/>
        <v>#N/A</v>
      </c>
      <c r="V1169" t="e">
        <f t="shared" si="149"/>
        <v>#N/A</v>
      </c>
      <c r="W1169">
        <f t="shared" si="150"/>
        <v>12.4</v>
      </c>
      <c r="X1169">
        <f t="shared" si="151"/>
        <v>7</v>
      </c>
    </row>
    <row r="1170" spans="1:24" x14ac:dyDescent="0.3">
      <c r="A1170">
        <v>6.5</v>
      </c>
      <c r="B1170">
        <v>0.34</v>
      </c>
      <c r="C1170">
        <v>0.27</v>
      </c>
      <c r="D1170">
        <v>2.8</v>
      </c>
      <c r="E1170">
        <v>6.7000000000000004E-2</v>
      </c>
      <c r="F1170">
        <v>8</v>
      </c>
      <c r="G1170">
        <v>44</v>
      </c>
      <c r="H1170">
        <v>0.99383999999999995</v>
      </c>
      <c r="I1170">
        <v>3.21</v>
      </c>
      <c r="J1170">
        <v>0.56000000000000005</v>
      </c>
      <c r="K1170">
        <v>12</v>
      </c>
      <c r="L1170">
        <v>6</v>
      </c>
      <c r="M1170" t="str">
        <f t="shared" si="144"/>
        <v>Medium</v>
      </c>
      <c r="N1170">
        <f>(winequality_red[[#This Row],[Updated Quality &amp; Alcohol Analysis]]+winequality_red[[#This Row],[volatile acidity]]+winequality_red[[#This Row],[citric acid]])</f>
        <v>7.1099999999999994</v>
      </c>
      <c r="O1170">
        <f t="shared" si="145"/>
        <v>1.5866666666666671E-2</v>
      </c>
      <c r="S1170" t="e">
        <f t="shared" si="146"/>
        <v>#N/A</v>
      </c>
      <c r="T1170" t="e">
        <f t="shared" si="147"/>
        <v>#N/A</v>
      </c>
      <c r="U1170">
        <f t="shared" si="148"/>
        <v>12</v>
      </c>
      <c r="V1170">
        <f t="shared" si="149"/>
        <v>6</v>
      </c>
      <c r="W1170" t="e">
        <f t="shared" si="150"/>
        <v>#N/A</v>
      </c>
      <c r="X1170" t="e">
        <f t="shared" si="151"/>
        <v>#N/A</v>
      </c>
    </row>
    <row r="1171" spans="1:24" x14ac:dyDescent="0.3">
      <c r="A1171">
        <v>7.6</v>
      </c>
      <c r="B1171">
        <v>0.5</v>
      </c>
      <c r="C1171">
        <v>0.28999999999999998</v>
      </c>
      <c r="D1171">
        <v>2.2999999999999998</v>
      </c>
      <c r="E1171">
        <v>8.5999999999999993E-2</v>
      </c>
      <c r="F1171">
        <v>5</v>
      </c>
      <c r="G1171">
        <v>14</v>
      </c>
      <c r="H1171">
        <v>0.99502000000000013</v>
      </c>
      <c r="I1171">
        <v>3.32</v>
      </c>
      <c r="J1171">
        <v>0.62</v>
      </c>
      <c r="K1171">
        <v>11.5</v>
      </c>
      <c r="L1171">
        <v>6</v>
      </c>
      <c r="M1171" t="str">
        <f t="shared" si="144"/>
        <v>Medium</v>
      </c>
      <c r="N1171">
        <f>(winequality_red[[#This Row],[Updated Quality &amp; Alcohol Analysis]]+winequality_red[[#This Row],[volatile acidity]]+winequality_red[[#This Row],[citric acid]])</f>
        <v>8.3899999999999988</v>
      </c>
      <c r="O1171">
        <f t="shared" si="145"/>
        <v>2.6956521739130435E-2</v>
      </c>
      <c r="S1171" t="e">
        <f t="shared" si="146"/>
        <v>#N/A</v>
      </c>
      <c r="T1171" t="e">
        <f t="shared" si="147"/>
        <v>#N/A</v>
      </c>
      <c r="U1171">
        <f t="shared" si="148"/>
        <v>11.5</v>
      </c>
      <c r="V1171">
        <f t="shared" si="149"/>
        <v>6</v>
      </c>
      <c r="W1171" t="e">
        <f t="shared" si="150"/>
        <v>#N/A</v>
      </c>
      <c r="X1171" t="e">
        <f t="shared" si="151"/>
        <v>#N/A</v>
      </c>
    </row>
    <row r="1172" spans="1:24" x14ac:dyDescent="0.3">
      <c r="A1172">
        <v>9.1999999999999993</v>
      </c>
      <c r="B1172">
        <v>0.36</v>
      </c>
      <c r="C1172">
        <v>0.34</v>
      </c>
      <c r="D1172">
        <v>1.6</v>
      </c>
      <c r="E1172">
        <v>6.2E-2</v>
      </c>
      <c r="F1172">
        <v>5</v>
      </c>
      <c r="G1172">
        <v>12</v>
      </c>
      <c r="H1172">
        <v>0.99667000000000006</v>
      </c>
      <c r="I1172">
        <v>3.2</v>
      </c>
      <c r="J1172">
        <v>0.67</v>
      </c>
      <c r="K1172">
        <v>10.5</v>
      </c>
      <c r="L1172">
        <v>6</v>
      </c>
      <c r="M1172" t="str">
        <f t="shared" si="144"/>
        <v>Medium</v>
      </c>
      <c r="N1172">
        <f>(winequality_red[[#This Row],[Updated Quality &amp; Alcohol Analysis]]+winequality_red[[#This Row],[volatile acidity]]+winequality_red[[#This Row],[citric acid]])</f>
        <v>9.8999999999999986</v>
      </c>
      <c r="O1172">
        <f t="shared" si="145"/>
        <v>2.297142857142857E-2</v>
      </c>
      <c r="S1172" t="e">
        <f t="shared" si="146"/>
        <v>#N/A</v>
      </c>
      <c r="T1172" t="e">
        <f t="shared" si="147"/>
        <v>#N/A</v>
      </c>
      <c r="U1172">
        <f t="shared" si="148"/>
        <v>10.5</v>
      </c>
      <c r="V1172">
        <f t="shared" si="149"/>
        <v>6</v>
      </c>
      <c r="W1172" t="e">
        <f t="shared" si="150"/>
        <v>#N/A</v>
      </c>
      <c r="X1172" t="e">
        <f t="shared" si="151"/>
        <v>#N/A</v>
      </c>
    </row>
    <row r="1173" spans="1:24" x14ac:dyDescent="0.3">
      <c r="A1173">
        <v>7.1</v>
      </c>
      <c r="B1173">
        <v>0.59</v>
      </c>
      <c r="C1173">
        <v>0</v>
      </c>
      <c r="D1173">
        <v>2.2000000000000002</v>
      </c>
      <c r="E1173">
        <v>7.8E-2</v>
      </c>
      <c r="F1173">
        <v>26</v>
      </c>
      <c r="G1173">
        <v>44</v>
      </c>
      <c r="H1173">
        <v>0.9952200000000001</v>
      </c>
      <c r="I1173">
        <v>3.42</v>
      </c>
      <c r="J1173">
        <v>0.68</v>
      </c>
      <c r="K1173">
        <v>10.8</v>
      </c>
      <c r="L1173">
        <v>6</v>
      </c>
      <c r="M1173" t="str">
        <f t="shared" si="144"/>
        <v>Medium</v>
      </c>
      <c r="N1173">
        <f>(winequality_red[[#This Row],[Updated Quality &amp; Alcohol Analysis]]+winequality_red[[#This Row],[volatile acidity]]+winequality_red[[#This Row],[citric acid]])</f>
        <v>7.6899999999999995</v>
      </c>
      <c r="O1173">
        <f t="shared" si="145"/>
        <v>3.7148148148148145E-2</v>
      </c>
      <c r="S1173" t="e">
        <f t="shared" si="146"/>
        <v>#N/A</v>
      </c>
      <c r="T1173" t="e">
        <f t="shared" si="147"/>
        <v>#N/A</v>
      </c>
      <c r="U1173">
        <f t="shared" si="148"/>
        <v>10.8</v>
      </c>
      <c r="V1173">
        <f t="shared" si="149"/>
        <v>6</v>
      </c>
      <c r="W1173" t="e">
        <f t="shared" si="150"/>
        <v>#N/A</v>
      </c>
      <c r="X1173" t="e">
        <f t="shared" si="151"/>
        <v>#N/A</v>
      </c>
    </row>
    <row r="1174" spans="1:24" x14ac:dyDescent="0.3">
      <c r="A1174">
        <v>9.6999999999999993</v>
      </c>
      <c r="B1174">
        <v>0.42</v>
      </c>
      <c r="C1174">
        <v>0.46</v>
      </c>
      <c r="D1174">
        <v>2.1</v>
      </c>
      <c r="E1174">
        <v>7.400000000000001E-2</v>
      </c>
      <c r="F1174">
        <v>5</v>
      </c>
      <c r="G1174">
        <v>16</v>
      </c>
      <c r="H1174">
        <v>0.99648999999999999</v>
      </c>
      <c r="I1174">
        <v>3.27</v>
      </c>
      <c r="J1174">
        <v>0.74</v>
      </c>
      <c r="K1174">
        <v>12.3</v>
      </c>
      <c r="L1174">
        <v>6</v>
      </c>
      <c r="M1174" t="str">
        <f t="shared" si="144"/>
        <v>Medium</v>
      </c>
      <c r="N1174">
        <f>(winequality_red[[#This Row],[Updated Quality &amp; Alcohol Analysis]]+winequality_red[[#This Row],[volatile acidity]]+winequality_red[[#This Row],[citric acid]])</f>
        <v>10.58</v>
      </c>
      <c r="O1174">
        <f t="shared" si="145"/>
        <v>2.5268292682926824E-2</v>
      </c>
      <c r="S1174" t="e">
        <f t="shared" si="146"/>
        <v>#N/A</v>
      </c>
      <c r="T1174" t="e">
        <f t="shared" si="147"/>
        <v>#N/A</v>
      </c>
      <c r="U1174">
        <f t="shared" si="148"/>
        <v>12.3</v>
      </c>
      <c r="V1174">
        <f t="shared" si="149"/>
        <v>6</v>
      </c>
      <c r="W1174" t="e">
        <f t="shared" si="150"/>
        <v>#N/A</v>
      </c>
      <c r="X1174" t="e">
        <f t="shared" si="151"/>
        <v>#N/A</v>
      </c>
    </row>
    <row r="1175" spans="1:24" x14ac:dyDescent="0.3">
      <c r="A1175">
        <v>7.6</v>
      </c>
      <c r="B1175">
        <v>0.36</v>
      </c>
      <c r="C1175">
        <v>0.31</v>
      </c>
      <c r="D1175">
        <v>1.7</v>
      </c>
      <c r="E1175">
        <v>7.9000000000000001E-2</v>
      </c>
      <c r="F1175">
        <v>26</v>
      </c>
      <c r="G1175">
        <v>65</v>
      </c>
      <c r="H1175">
        <v>0.99716000000000005</v>
      </c>
      <c r="I1175">
        <v>3.46</v>
      </c>
      <c r="J1175">
        <v>0.62</v>
      </c>
      <c r="K1175">
        <v>9.5</v>
      </c>
      <c r="L1175">
        <v>6</v>
      </c>
      <c r="M1175" t="str">
        <f t="shared" si="144"/>
        <v>Medium</v>
      </c>
      <c r="N1175">
        <f>(winequality_red[[#This Row],[Updated Quality &amp; Alcohol Analysis]]+winequality_red[[#This Row],[volatile acidity]]+winequality_red[[#This Row],[citric acid]])</f>
        <v>8.27</v>
      </c>
      <c r="O1175">
        <f t="shared" si="145"/>
        <v>2.3494736842105263E-2</v>
      </c>
      <c r="S1175" t="e">
        <f t="shared" si="146"/>
        <v>#N/A</v>
      </c>
      <c r="T1175" t="e">
        <f t="shared" si="147"/>
        <v>#N/A</v>
      </c>
      <c r="U1175">
        <f t="shared" si="148"/>
        <v>9.5</v>
      </c>
      <c r="V1175">
        <f t="shared" si="149"/>
        <v>6</v>
      </c>
      <c r="W1175" t="e">
        <f t="shared" si="150"/>
        <v>#N/A</v>
      </c>
      <c r="X1175" t="e">
        <f t="shared" si="151"/>
        <v>#N/A</v>
      </c>
    </row>
    <row r="1176" spans="1:24" x14ac:dyDescent="0.3">
      <c r="A1176">
        <v>7.6</v>
      </c>
      <c r="B1176">
        <v>0.36</v>
      </c>
      <c r="C1176">
        <v>0.31</v>
      </c>
      <c r="D1176">
        <v>1.7</v>
      </c>
      <c r="E1176">
        <v>7.9000000000000001E-2</v>
      </c>
      <c r="F1176">
        <v>26</v>
      </c>
      <c r="G1176">
        <v>65</v>
      </c>
      <c r="H1176">
        <v>0.99716000000000005</v>
      </c>
      <c r="I1176">
        <v>3.46</v>
      </c>
      <c r="J1176">
        <v>0.62</v>
      </c>
      <c r="K1176">
        <v>9.5</v>
      </c>
      <c r="L1176">
        <v>6</v>
      </c>
      <c r="M1176" t="str">
        <f t="shared" si="144"/>
        <v>Medium</v>
      </c>
      <c r="N1176">
        <f>(winequality_red[[#This Row],[Updated Quality &amp; Alcohol Analysis]]+winequality_red[[#This Row],[volatile acidity]]+winequality_red[[#This Row],[citric acid]])</f>
        <v>8.27</v>
      </c>
      <c r="O1176">
        <f t="shared" si="145"/>
        <v>2.3494736842105263E-2</v>
      </c>
      <c r="S1176" t="e">
        <f t="shared" si="146"/>
        <v>#N/A</v>
      </c>
      <c r="T1176" t="e">
        <f t="shared" si="147"/>
        <v>#N/A</v>
      </c>
      <c r="U1176">
        <f t="shared" si="148"/>
        <v>9.5</v>
      </c>
      <c r="V1176">
        <f t="shared" si="149"/>
        <v>6</v>
      </c>
      <c r="W1176" t="e">
        <f t="shared" si="150"/>
        <v>#N/A</v>
      </c>
      <c r="X1176" t="e">
        <f t="shared" si="151"/>
        <v>#N/A</v>
      </c>
    </row>
    <row r="1177" spans="1:24" x14ac:dyDescent="0.3">
      <c r="A1177">
        <v>6.5</v>
      </c>
      <c r="B1177">
        <v>0.61</v>
      </c>
      <c r="C1177">
        <v>0</v>
      </c>
      <c r="D1177">
        <v>2.2000000000000002</v>
      </c>
      <c r="E1177">
        <v>9.5000000000000001E-2</v>
      </c>
      <c r="F1177">
        <v>48</v>
      </c>
      <c r="G1177">
        <v>59</v>
      </c>
      <c r="H1177">
        <v>0.99541000000000002</v>
      </c>
      <c r="I1177">
        <v>3.61</v>
      </c>
      <c r="J1177">
        <v>0.7</v>
      </c>
      <c r="K1177">
        <v>11.5</v>
      </c>
      <c r="L1177">
        <v>6</v>
      </c>
      <c r="M1177" t="str">
        <f t="shared" si="144"/>
        <v>Medium</v>
      </c>
      <c r="N1177">
        <f>(winequality_red[[#This Row],[Updated Quality &amp; Alcohol Analysis]]+winequality_red[[#This Row],[volatile acidity]]+winequality_red[[#This Row],[citric acid]])</f>
        <v>7.11</v>
      </c>
      <c r="O1177">
        <f t="shared" si="145"/>
        <v>3.7130434782608697E-2</v>
      </c>
      <c r="S1177" t="e">
        <f t="shared" si="146"/>
        <v>#N/A</v>
      </c>
      <c r="T1177" t="e">
        <f t="shared" si="147"/>
        <v>#N/A</v>
      </c>
      <c r="U1177">
        <f t="shared" si="148"/>
        <v>11.5</v>
      </c>
      <c r="V1177">
        <f t="shared" si="149"/>
        <v>6</v>
      </c>
      <c r="W1177" t="e">
        <f t="shared" si="150"/>
        <v>#N/A</v>
      </c>
      <c r="X1177" t="e">
        <f t="shared" si="151"/>
        <v>#N/A</v>
      </c>
    </row>
    <row r="1178" spans="1:24" x14ac:dyDescent="0.3">
      <c r="A1178">
        <v>6.5</v>
      </c>
      <c r="B1178">
        <v>0.88</v>
      </c>
      <c r="C1178">
        <v>0.03</v>
      </c>
      <c r="D1178">
        <v>5.6</v>
      </c>
      <c r="E1178">
        <v>7.9000000000000001E-2</v>
      </c>
      <c r="F1178">
        <v>23</v>
      </c>
      <c r="G1178">
        <v>47</v>
      </c>
      <c r="H1178">
        <v>0.99572000000000005</v>
      </c>
      <c r="I1178">
        <v>3.58</v>
      </c>
      <c r="J1178">
        <v>0.5</v>
      </c>
      <c r="K1178">
        <v>11.2</v>
      </c>
      <c r="L1178">
        <v>4</v>
      </c>
      <c r="M1178" t="str">
        <f t="shared" si="144"/>
        <v>Low</v>
      </c>
      <c r="N1178">
        <f>(winequality_red[[#This Row],[Updated Quality &amp; Alcohol Analysis]]+winequality_red[[#This Row],[volatile acidity]]+winequality_red[[#This Row],[citric acid]])</f>
        <v>7.41</v>
      </c>
      <c r="O1178">
        <f t="shared" si="145"/>
        <v>3.9285714285714292E-2</v>
      </c>
      <c r="S1178">
        <f t="shared" si="146"/>
        <v>11.2</v>
      </c>
      <c r="T1178">
        <f t="shared" si="147"/>
        <v>4</v>
      </c>
      <c r="U1178" t="e">
        <f t="shared" si="148"/>
        <v>#N/A</v>
      </c>
      <c r="V1178" t="e">
        <f t="shared" si="149"/>
        <v>#N/A</v>
      </c>
      <c r="W1178" t="e">
        <f t="shared" si="150"/>
        <v>#N/A</v>
      </c>
      <c r="X1178" t="e">
        <f t="shared" si="151"/>
        <v>#N/A</v>
      </c>
    </row>
    <row r="1179" spans="1:24" x14ac:dyDescent="0.3">
      <c r="A1179">
        <v>7.1</v>
      </c>
      <c r="B1179">
        <v>0.66</v>
      </c>
      <c r="C1179">
        <v>0</v>
      </c>
      <c r="D1179">
        <v>2.4</v>
      </c>
      <c r="E1179">
        <v>5.2000000000000005E-2</v>
      </c>
      <c r="F1179">
        <v>6</v>
      </c>
      <c r="G1179">
        <v>11</v>
      </c>
      <c r="H1179">
        <v>0.99317999999999995</v>
      </c>
      <c r="I1179">
        <v>3.35</v>
      </c>
      <c r="J1179">
        <v>0.66</v>
      </c>
      <c r="K1179">
        <v>12.7</v>
      </c>
      <c r="L1179">
        <v>7</v>
      </c>
      <c r="M1179" t="str">
        <f t="shared" si="144"/>
        <v>High</v>
      </c>
      <c r="N1179">
        <f>(winequality_red[[#This Row],[Updated Quality &amp; Alcohol Analysis]]+winequality_red[[#This Row],[volatile acidity]]+winequality_red[[#This Row],[citric acid]])</f>
        <v>7.76</v>
      </c>
      <c r="O1179">
        <f t="shared" si="145"/>
        <v>3.4299212598425201E-2</v>
      </c>
      <c r="S1179" t="e">
        <f t="shared" si="146"/>
        <v>#N/A</v>
      </c>
      <c r="T1179" t="e">
        <f t="shared" si="147"/>
        <v>#N/A</v>
      </c>
      <c r="U1179" t="e">
        <f t="shared" si="148"/>
        <v>#N/A</v>
      </c>
      <c r="V1179" t="e">
        <f t="shared" si="149"/>
        <v>#N/A</v>
      </c>
      <c r="W1179">
        <f t="shared" si="150"/>
        <v>12.7</v>
      </c>
      <c r="X1179">
        <f t="shared" si="151"/>
        <v>7</v>
      </c>
    </row>
    <row r="1180" spans="1:24" x14ac:dyDescent="0.3">
      <c r="A1180">
        <v>5.6</v>
      </c>
      <c r="B1180">
        <v>0.91500000000000004</v>
      </c>
      <c r="C1180">
        <v>0</v>
      </c>
      <c r="D1180">
        <v>2.1</v>
      </c>
      <c r="E1180">
        <v>4.0999999999999995E-2</v>
      </c>
      <c r="F1180">
        <v>17</v>
      </c>
      <c r="G1180">
        <v>78</v>
      </c>
      <c r="H1180">
        <v>0.99346000000000001</v>
      </c>
      <c r="I1180">
        <v>3.68</v>
      </c>
      <c r="J1180">
        <v>0.73</v>
      </c>
      <c r="K1180">
        <v>11.4</v>
      </c>
      <c r="L1180">
        <v>5</v>
      </c>
      <c r="M1180" t="str">
        <f t="shared" si="144"/>
        <v>Medium</v>
      </c>
      <c r="N1180">
        <f>(winequality_red[[#This Row],[Updated Quality &amp; Alcohol Analysis]]+winequality_red[[#This Row],[volatile acidity]]+winequality_red[[#This Row],[citric acid]])</f>
        <v>6.5149999999999997</v>
      </c>
      <c r="O1180">
        <f t="shared" si="145"/>
        <v>5.8592105263157897E-2</v>
      </c>
      <c r="S1180" t="e">
        <f t="shared" si="146"/>
        <v>#N/A</v>
      </c>
      <c r="T1180" t="e">
        <f t="shared" si="147"/>
        <v>#N/A</v>
      </c>
      <c r="U1180">
        <f t="shared" si="148"/>
        <v>11.4</v>
      </c>
      <c r="V1180">
        <f t="shared" si="149"/>
        <v>5</v>
      </c>
      <c r="W1180" t="e">
        <f t="shared" si="150"/>
        <v>#N/A</v>
      </c>
      <c r="X1180" t="e">
        <f t="shared" si="151"/>
        <v>#N/A</v>
      </c>
    </row>
    <row r="1181" spans="1:24" x14ac:dyDescent="0.3">
      <c r="A1181">
        <v>8.1999999999999993</v>
      </c>
      <c r="B1181">
        <v>0.35</v>
      </c>
      <c r="C1181">
        <v>0.33</v>
      </c>
      <c r="D1181">
        <v>2.4</v>
      </c>
      <c r="E1181">
        <v>7.5999999999999998E-2</v>
      </c>
      <c r="F1181">
        <v>11</v>
      </c>
      <c r="G1181">
        <v>47</v>
      </c>
      <c r="H1181">
        <v>0.99598999999999993</v>
      </c>
      <c r="I1181">
        <v>3.27</v>
      </c>
      <c r="J1181">
        <v>0.81</v>
      </c>
      <c r="K1181">
        <v>11</v>
      </c>
      <c r="L1181">
        <v>6</v>
      </c>
      <c r="M1181" t="str">
        <f t="shared" si="144"/>
        <v>Medium</v>
      </c>
      <c r="N1181">
        <f>(winequality_red[[#This Row],[Updated Quality &amp; Alcohol Analysis]]+winequality_red[[#This Row],[volatile acidity]]+winequality_red[[#This Row],[citric acid]])</f>
        <v>8.879999999999999</v>
      </c>
      <c r="O1181">
        <f t="shared" si="145"/>
        <v>2.577272727272727E-2</v>
      </c>
      <c r="S1181" t="e">
        <f t="shared" si="146"/>
        <v>#N/A</v>
      </c>
      <c r="T1181" t="e">
        <f t="shared" si="147"/>
        <v>#N/A</v>
      </c>
      <c r="U1181">
        <f t="shared" si="148"/>
        <v>11</v>
      </c>
      <c r="V1181">
        <f t="shared" si="149"/>
        <v>6</v>
      </c>
      <c r="W1181" t="e">
        <f t="shared" si="150"/>
        <v>#N/A</v>
      </c>
      <c r="X1181" t="e">
        <f t="shared" si="151"/>
        <v>#N/A</v>
      </c>
    </row>
    <row r="1182" spans="1:24" x14ac:dyDescent="0.3">
      <c r="A1182">
        <v>8.1999999999999993</v>
      </c>
      <c r="B1182">
        <v>0.35</v>
      </c>
      <c r="C1182">
        <v>0.33</v>
      </c>
      <c r="D1182">
        <v>2.4</v>
      </c>
      <c r="E1182">
        <v>7.5999999999999998E-2</v>
      </c>
      <c r="F1182">
        <v>11</v>
      </c>
      <c r="G1182">
        <v>47</v>
      </c>
      <c r="H1182">
        <v>0.99598999999999993</v>
      </c>
      <c r="I1182">
        <v>3.27</v>
      </c>
      <c r="J1182">
        <v>0.81</v>
      </c>
      <c r="K1182">
        <v>11</v>
      </c>
      <c r="L1182">
        <v>6</v>
      </c>
      <c r="M1182" t="str">
        <f t="shared" si="144"/>
        <v>Medium</v>
      </c>
      <c r="N1182">
        <f>(winequality_red[[#This Row],[Updated Quality &amp; Alcohol Analysis]]+winequality_red[[#This Row],[volatile acidity]]+winequality_red[[#This Row],[citric acid]])</f>
        <v>8.879999999999999</v>
      </c>
      <c r="O1182">
        <f t="shared" si="145"/>
        <v>2.577272727272727E-2</v>
      </c>
      <c r="S1182" t="e">
        <f t="shared" si="146"/>
        <v>#N/A</v>
      </c>
      <c r="T1182" t="e">
        <f t="shared" si="147"/>
        <v>#N/A</v>
      </c>
      <c r="U1182">
        <f t="shared" si="148"/>
        <v>11</v>
      </c>
      <c r="V1182">
        <f t="shared" si="149"/>
        <v>6</v>
      </c>
      <c r="W1182" t="e">
        <f t="shared" si="150"/>
        <v>#N/A</v>
      </c>
      <c r="X1182" t="e">
        <f t="shared" si="151"/>
        <v>#N/A</v>
      </c>
    </row>
    <row r="1183" spans="1:24" x14ac:dyDescent="0.3">
      <c r="A1183">
        <v>9.8000000000000007</v>
      </c>
      <c r="B1183">
        <v>0.39</v>
      </c>
      <c r="C1183">
        <v>0.43</v>
      </c>
      <c r="D1183">
        <v>1.65</v>
      </c>
      <c r="E1183">
        <v>6.8000000000000005E-2</v>
      </c>
      <c r="F1183">
        <v>5</v>
      </c>
      <c r="G1183">
        <v>11</v>
      </c>
      <c r="H1183">
        <v>0.99477999999999989</v>
      </c>
      <c r="I1183">
        <v>3.19</v>
      </c>
      <c r="J1183">
        <v>0.46</v>
      </c>
      <c r="K1183">
        <v>11.4</v>
      </c>
      <c r="L1183">
        <v>5</v>
      </c>
      <c r="M1183" t="str">
        <f t="shared" si="144"/>
        <v>Medium</v>
      </c>
      <c r="N1183">
        <f>(winequality_red[[#This Row],[Updated Quality &amp; Alcohol Analysis]]+winequality_red[[#This Row],[volatile acidity]]+winequality_red[[#This Row],[citric acid]])</f>
        <v>10.620000000000001</v>
      </c>
      <c r="O1183">
        <f t="shared" si="145"/>
        <v>1.5736842105263157E-2</v>
      </c>
      <c r="S1183" t="e">
        <f t="shared" si="146"/>
        <v>#N/A</v>
      </c>
      <c r="T1183" t="e">
        <f t="shared" si="147"/>
        <v>#N/A</v>
      </c>
      <c r="U1183">
        <f t="shared" si="148"/>
        <v>11.4</v>
      </c>
      <c r="V1183">
        <f t="shared" si="149"/>
        <v>5</v>
      </c>
      <c r="W1183" t="e">
        <f t="shared" si="150"/>
        <v>#N/A</v>
      </c>
      <c r="X1183" t="e">
        <f t="shared" si="151"/>
        <v>#N/A</v>
      </c>
    </row>
    <row r="1184" spans="1:24" x14ac:dyDescent="0.3">
      <c r="A1184">
        <v>10.199999999999999</v>
      </c>
      <c r="B1184">
        <v>0.4</v>
      </c>
      <c r="C1184">
        <v>0.4</v>
      </c>
      <c r="D1184">
        <v>2.5</v>
      </c>
      <c r="E1184">
        <v>6.8000000000000005E-2</v>
      </c>
      <c r="F1184">
        <v>41</v>
      </c>
      <c r="G1184">
        <v>54</v>
      </c>
      <c r="H1184">
        <v>0.99753999999999998</v>
      </c>
      <c r="I1184">
        <v>3.38</v>
      </c>
      <c r="J1184">
        <v>0.86</v>
      </c>
      <c r="K1184">
        <v>10.5</v>
      </c>
      <c r="L1184">
        <v>6</v>
      </c>
      <c r="M1184" t="str">
        <f t="shared" si="144"/>
        <v>Medium</v>
      </c>
      <c r="N1184">
        <f>(winequality_red[[#This Row],[Updated Quality &amp; Alcohol Analysis]]+winequality_red[[#This Row],[volatile acidity]]+winequality_red[[#This Row],[citric acid]])</f>
        <v>11</v>
      </c>
      <c r="O1184">
        <f t="shared" si="145"/>
        <v>3.2761904761904763E-2</v>
      </c>
      <c r="S1184" t="e">
        <f t="shared" si="146"/>
        <v>#N/A</v>
      </c>
      <c r="T1184" t="e">
        <f t="shared" si="147"/>
        <v>#N/A</v>
      </c>
      <c r="U1184">
        <f t="shared" si="148"/>
        <v>10.5</v>
      </c>
      <c r="V1184">
        <f t="shared" si="149"/>
        <v>6</v>
      </c>
      <c r="W1184" t="e">
        <f t="shared" si="150"/>
        <v>#N/A</v>
      </c>
      <c r="X1184" t="e">
        <f t="shared" si="151"/>
        <v>#N/A</v>
      </c>
    </row>
    <row r="1185" spans="1:24" x14ac:dyDescent="0.3">
      <c r="A1185">
        <v>6.8</v>
      </c>
      <c r="B1185">
        <v>0.66</v>
      </c>
      <c r="C1185">
        <v>7.0000000000000007E-2</v>
      </c>
      <c r="D1185">
        <v>1.6</v>
      </c>
      <c r="E1185">
        <v>7.0000000000000007E-2</v>
      </c>
      <c r="F1185">
        <v>16</v>
      </c>
      <c r="G1185">
        <v>61</v>
      </c>
      <c r="H1185">
        <v>0.99572000000000005</v>
      </c>
      <c r="I1185">
        <v>3.29</v>
      </c>
      <c r="J1185">
        <v>0.6</v>
      </c>
      <c r="K1185">
        <v>9.3000000000000007</v>
      </c>
      <c r="L1185">
        <v>5</v>
      </c>
      <c r="M1185" t="str">
        <f t="shared" si="144"/>
        <v>Medium</v>
      </c>
      <c r="N1185">
        <f>(winequality_red[[#This Row],[Updated Quality &amp; Alcohol Analysis]]+winequality_red[[#This Row],[volatile acidity]]+winequality_red[[#This Row],[citric acid]])</f>
        <v>7.53</v>
      </c>
      <c r="O1185">
        <f t="shared" si="145"/>
        <v>4.2580645161290322E-2</v>
      </c>
      <c r="S1185" t="e">
        <f t="shared" si="146"/>
        <v>#N/A</v>
      </c>
      <c r="T1185" t="e">
        <f t="shared" si="147"/>
        <v>#N/A</v>
      </c>
      <c r="U1185">
        <f t="shared" si="148"/>
        <v>9.3000000000000007</v>
      </c>
      <c r="V1185">
        <f t="shared" si="149"/>
        <v>5</v>
      </c>
      <c r="W1185" t="e">
        <f t="shared" si="150"/>
        <v>#N/A</v>
      </c>
      <c r="X1185" t="e">
        <f t="shared" si="151"/>
        <v>#N/A</v>
      </c>
    </row>
    <row r="1186" spans="1:24" x14ac:dyDescent="0.3">
      <c r="A1186">
        <v>6.7</v>
      </c>
      <c r="B1186">
        <v>0.64</v>
      </c>
      <c r="C1186">
        <v>0.23</v>
      </c>
      <c r="D1186">
        <v>2.1</v>
      </c>
      <c r="E1186">
        <v>0.08</v>
      </c>
      <c r="F1186">
        <v>11</v>
      </c>
      <c r="G1186">
        <v>119</v>
      </c>
      <c r="H1186">
        <v>0.99537999999999993</v>
      </c>
      <c r="I1186">
        <v>3.36</v>
      </c>
      <c r="J1186">
        <v>0.7</v>
      </c>
      <c r="K1186">
        <v>10.9</v>
      </c>
      <c r="L1186">
        <v>5</v>
      </c>
      <c r="M1186" t="str">
        <f t="shared" si="144"/>
        <v>Medium</v>
      </c>
      <c r="N1186">
        <f>(winequality_red[[#This Row],[Updated Quality &amp; Alcohol Analysis]]+winequality_red[[#This Row],[volatile acidity]]+winequality_red[[#This Row],[citric acid]])</f>
        <v>7.57</v>
      </c>
      <c r="O1186">
        <f t="shared" si="145"/>
        <v>4.1100917431192652E-2</v>
      </c>
      <c r="S1186" t="e">
        <f t="shared" si="146"/>
        <v>#N/A</v>
      </c>
      <c r="T1186" t="e">
        <f t="shared" si="147"/>
        <v>#N/A</v>
      </c>
      <c r="U1186">
        <f t="shared" si="148"/>
        <v>10.9</v>
      </c>
      <c r="V1186">
        <f t="shared" si="149"/>
        <v>5</v>
      </c>
      <c r="W1186" t="e">
        <f t="shared" si="150"/>
        <v>#N/A</v>
      </c>
      <c r="X1186" t="e">
        <f t="shared" si="151"/>
        <v>#N/A</v>
      </c>
    </row>
    <row r="1187" spans="1:24" x14ac:dyDescent="0.3">
      <c r="A1187">
        <v>7</v>
      </c>
      <c r="B1187">
        <v>0.43</v>
      </c>
      <c r="C1187">
        <v>0.3</v>
      </c>
      <c r="D1187">
        <v>2</v>
      </c>
      <c r="E1187">
        <v>8.5000000000000006E-2</v>
      </c>
      <c r="F1187">
        <v>6</v>
      </c>
      <c r="G1187">
        <v>39</v>
      </c>
      <c r="H1187">
        <v>0.99346000000000001</v>
      </c>
      <c r="I1187">
        <v>3.33</v>
      </c>
      <c r="J1187">
        <v>0.46</v>
      </c>
      <c r="K1187">
        <v>11.9</v>
      </c>
      <c r="L1187">
        <v>6</v>
      </c>
      <c r="M1187" t="str">
        <f t="shared" si="144"/>
        <v>Medium</v>
      </c>
      <c r="N1187">
        <f>(winequality_red[[#This Row],[Updated Quality &amp; Alcohol Analysis]]+winequality_red[[#This Row],[volatile acidity]]+winequality_red[[#This Row],[citric acid]])</f>
        <v>7.7299999999999995</v>
      </c>
      <c r="O1187">
        <f t="shared" si="145"/>
        <v>1.6621848739495799E-2</v>
      </c>
      <c r="S1187" t="e">
        <f t="shared" si="146"/>
        <v>#N/A</v>
      </c>
      <c r="T1187" t="e">
        <f t="shared" si="147"/>
        <v>#N/A</v>
      </c>
      <c r="U1187">
        <f t="shared" si="148"/>
        <v>11.9</v>
      </c>
      <c r="V1187">
        <f t="shared" si="149"/>
        <v>6</v>
      </c>
      <c r="W1187" t="e">
        <f t="shared" si="150"/>
        <v>#N/A</v>
      </c>
      <c r="X1187" t="e">
        <f t="shared" si="151"/>
        <v>#N/A</v>
      </c>
    </row>
    <row r="1188" spans="1:24" x14ac:dyDescent="0.3">
      <c r="A1188">
        <v>6.6</v>
      </c>
      <c r="B1188">
        <v>0.8</v>
      </c>
      <c r="C1188">
        <v>0.03</v>
      </c>
      <c r="D1188">
        <v>7.8</v>
      </c>
      <c r="E1188">
        <v>7.9000000000000001E-2</v>
      </c>
      <c r="F1188">
        <v>6</v>
      </c>
      <c r="G1188">
        <v>12</v>
      </c>
      <c r="H1188">
        <v>0.99629999999999996</v>
      </c>
      <c r="I1188">
        <v>3.52</v>
      </c>
      <c r="J1188">
        <v>0.5</v>
      </c>
      <c r="K1188">
        <v>12.2</v>
      </c>
      <c r="L1188">
        <v>5</v>
      </c>
      <c r="M1188" t="str">
        <f t="shared" si="144"/>
        <v>Medium</v>
      </c>
      <c r="N1188">
        <f>(winequality_red[[#This Row],[Updated Quality &amp; Alcohol Analysis]]+winequality_red[[#This Row],[volatile acidity]]+winequality_red[[#This Row],[citric acid]])</f>
        <v>7.43</v>
      </c>
      <c r="O1188">
        <f t="shared" si="145"/>
        <v>3.2786885245901641E-2</v>
      </c>
      <c r="S1188" t="e">
        <f t="shared" si="146"/>
        <v>#N/A</v>
      </c>
      <c r="T1188" t="e">
        <f t="shared" si="147"/>
        <v>#N/A</v>
      </c>
      <c r="U1188">
        <f t="shared" si="148"/>
        <v>12.2</v>
      </c>
      <c r="V1188">
        <f t="shared" si="149"/>
        <v>5</v>
      </c>
      <c r="W1188" t="e">
        <f t="shared" si="150"/>
        <v>#N/A</v>
      </c>
      <c r="X1188" t="e">
        <f t="shared" si="151"/>
        <v>#N/A</v>
      </c>
    </row>
    <row r="1189" spans="1:24" x14ac:dyDescent="0.3">
      <c r="A1189">
        <v>7</v>
      </c>
      <c r="B1189">
        <v>0.43</v>
      </c>
      <c r="C1189">
        <v>0.3</v>
      </c>
      <c r="D1189">
        <v>2</v>
      </c>
      <c r="E1189">
        <v>8.5000000000000006E-2</v>
      </c>
      <c r="F1189">
        <v>6</v>
      </c>
      <c r="G1189">
        <v>39</v>
      </c>
      <c r="H1189">
        <v>0.99346000000000001</v>
      </c>
      <c r="I1189">
        <v>3.33</v>
      </c>
      <c r="J1189">
        <v>0.46</v>
      </c>
      <c r="K1189">
        <v>11.9</v>
      </c>
      <c r="L1189">
        <v>6</v>
      </c>
      <c r="M1189" t="str">
        <f t="shared" si="144"/>
        <v>Medium</v>
      </c>
      <c r="N1189">
        <f>(winequality_red[[#This Row],[Updated Quality &amp; Alcohol Analysis]]+winequality_red[[#This Row],[volatile acidity]]+winequality_red[[#This Row],[citric acid]])</f>
        <v>7.7299999999999995</v>
      </c>
      <c r="O1189">
        <f t="shared" si="145"/>
        <v>1.6621848739495799E-2</v>
      </c>
      <c r="S1189" t="e">
        <f t="shared" si="146"/>
        <v>#N/A</v>
      </c>
      <c r="T1189" t="e">
        <f t="shared" si="147"/>
        <v>#N/A</v>
      </c>
      <c r="U1189">
        <f t="shared" si="148"/>
        <v>11.9</v>
      </c>
      <c r="V1189">
        <f t="shared" si="149"/>
        <v>6</v>
      </c>
      <c r="W1189" t="e">
        <f t="shared" si="150"/>
        <v>#N/A</v>
      </c>
      <c r="X1189" t="e">
        <f t="shared" si="151"/>
        <v>#N/A</v>
      </c>
    </row>
    <row r="1190" spans="1:24" x14ac:dyDescent="0.3">
      <c r="A1190">
        <v>6.7</v>
      </c>
      <c r="B1190">
        <v>0.64</v>
      </c>
      <c r="C1190">
        <v>0.23</v>
      </c>
      <c r="D1190">
        <v>2.1</v>
      </c>
      <c r="E1190">
        <v>0.08</v>
      </c>
      <c r="F1190">
        <v>11</v>
      </c>
      <c r="G1190">
        <v>119</v>
      </c>
      <c r="H1190">
        <v>0.99537999999999993</v>
      </c>
      <c r="I1190">
        <v>3.36</v>
      </c>
      <c r="J1190">
        <v>0.7</v>
      </c>
      <c r="K1190">
        <v>10.9</v>
      </c>
      <c r="L1190">
        <v>5</v>
      </c>
      <c r="M1190" t="str">
        <f t="shared" si="144"/>
        <v>Medium</v>
      </c>
      <c r="N1190">
        <f>(winequality_red[[#This Row],[Updated Quality &amp; Alcohol Analysis]]+winequality_red[[#This Row],[volatile acidity]]+winequality_red[[#This Row],[citric acid]])</f>
        <v>7.57</v>
      </c>
      <c r="O1190">
        <f t="shared" si="145"/>
        <v>4.1100917431192652E-2</v>
      </c>
      <c r="S1190" t="e">
        <f t="shared" si="146"/>
        <v>#N/A</v>
      </c>
      <c r="T1190" t="e">
        <f t="shared" si="147"/>
        <v>#N/A</v>
      </c>
      <c r="U1190">
        <f t="shared" si="148"/>
        <v>10.9</v>
      </c>
      <c r="V1190">
        <f t="shared" si="149"/>
        <v>5</v>
      </c>
      <c r="W1190" t="e">
        <f t="shared" si="150"/>
        <v>#N/A</v>
      </c>
      <c r="X1190" t="e">
        <f t="shared" si="151"/>
        <v>#N/A</v>
      </c>
    </row>
    <row r="1191" spans="1:24" x14ac:dyDescent="0.3">
      <c r="A1191">
        <v>8.8000000000000007</v>
      </c>
      <c r="B1191">
        <v>0.95499999999999996</v>
      </c>
      <c r="C1191">
        <v>0.05</v>
      </c>
      <c r="D1191">
        <v>1.8</v>
      </c>
      <c r="E1191">
        <v>7.4999999999999997E-2</v>
      </c>
      <c r="F1191">
        <v>5</v>
      </c>
      <c r="G1191">
        <v>19</v>
      </c>
      <c r="H1191">
        <v>0.99616000000000005</v>
      </c>
      <c r="I1191">
        <v>3.3</v>
      </c>
      <c r="J1191">
        <v>0.44</v>
      </c>
      <c r="K1191">
        <v>9.6</v>
      </c>
      <c r="L1191">
        <v>4</v>
      </c>
      <c r="M1191" t="str">
        <f t="shared" si="144"/>
        <v>Low</v>
      </c>
      <c r="N1191">
        <f>(winequality_red[[#This Row],[Updated Quality &amp; Alcohol Analysis]]+winequality_red[[#This Row],[volatile acidity]]+winequality_red[[#This Row],[citric acid]])</f>
        <v>9.8050000000000015</v>
      </c>
      <c r="O1191">
        <f t="shared" si="145"/>
        <v>4.3770833333333328E-2</v>
      </c>
      <c r="S1191">
        <f t="shared" si="146"/>
        <v>9.6</v>
      </c>
      <c r="T1191">
        <f t="shared" si="147"/>
        <v>4</v>
      </c>
      <c r="U1191" t="e">
        <f t="shared" si="148"/>
        <v>#N/A</v>
      </c>
      <c r="V1191" t="e">
        <f t="shared" si="149"/>
        <v>#N/A</v>
      </c>
      <c r="W1191" t="e">
        <f t="shared" si="150"/>
        <v>#N/A</v>
      </c>
      <c r="X1191" t="e">
        <f t="shared" si="151"/>
        <v>#N/A</v>
      </c>
    </row>
    <row r="1192" spans="1:24" x14ac:dyDescent="0.3">
      <c r="A1192">
        <v>9.1</v>
      </c>
      <c r="B1192">
        <v>0.4</v>
      </c>
      <c r="C1192">
        <v>0.56999999999999995</v>
      </c>
      <c r="D1192">
        <v>4.5999999999999996</v>
      </c>
      <c r="E1192">
        <v>0.08</v>
      </c>
      <c r="F1192">
        <v>6</v>
      </c>
      <c r="G1192">
        <v>20</v>
      </c>
      <c r="H1192">
        <v>0.99652000000000007</v>
      </c>
      <c r="I1192">
        <v>3.28</v>
      </c>
      <c r="J1192">
        <v>0.56999999999999995</v>
      </c>
      <c r="K1192">
        <v>12.5</v>
      </c>
      <c r="L1192">
        <v>6</v>
      </c>
      <c r="M1192" t="str">
        <f t="shared" si="144"/>
        <v>Medium</v>
      </c>
      <c r="N1192">
        <f>(winequality_red[[#This Row],[Updated Quality &amp; Alcohol Analysis]]+winequality_red[[#This Row],[volatile acidity]]+winequality_red[[#This Row],[citric acid]])</f>
        <v>10.07</v>
      </c>
      <c r="O1192">
        <f t="shared" si="145"/>
        <v>1.8239999999999999E-2</v>
      </c>
      <c r="S1192" t="e">
        <f t="shared" si="146"/>
        <v>#N/A</v>
      </c>
      <c r="T1192" t="e">
        <f t="shared" si="147"/>
        <v>#N/A</v>
      </c>
      <c r="U1192">
        <f t="shared" si="148"/>
        <v>12.5</v>
      </c>
      <c r="V1192">
        <f t="shared" si="149"/>
        <v>6</v>
      </c>
      <c r="W1192" t="e">
        <f t="shared" si="150"/>
        <v>#N/A</v>
      </c>
      <c r="X1192" t="e">
        <f t="shared" si="151"/>
        <v>#N/A</v>
      </c>
    </row>
    <row r="1193" spans="1:24" x14ac:dyDescent="0.3">
      <c r="A1193">
        <v>6.5</v>
      </c>
      <c r="B1193">
        <v>0.88500000000000001</v>
      </c>
      <c r="C1193">
        <v>0</v>
      </c>
      <c r="D1193">
        <v>2.2999999999999998</v>
      </c>
      <c r="E1193">
        <v>0.16600000000000001</v>
      </c>
      <c r="F1193">
        <v>6</v>
      </c>
      <c r="G1193">
        <v>12</v>
      </c>
      <c r="H1193">
        <v>0.99551000000000001</v>
      </c>
      <c r="I1193">
        <v>3.56</v>
      </c>
      <c r="J1193">
        <v>0.51</v>
      </c>
      <c r="K1193">
        <v>10.8</v>
      </c>
      <c r="L1193">
        <v>5</v>
      </c>
      <c r="M1193" t="str">
        <f t="shared" si="144"/>
        <v>Medium</v>
      </c>
      <c r="N1193">
        <f>(winequality_red[[#This Row],[Updated Quality &amp; Alcohol Analysis]]+winequality_red[[#This Row],[volatile acidity]]+winequality_red[[#This Row],[citric acid]])</f>
        <v>7.3849999999999998</v>
      </c>
      <c r="O1193">
        <f t="shared" si="145"/>
        <v>4.1791666666666664E-2</v>
      </c>
      <c r="S1193" t="e">
        <f t="shared" si="146"/>
        <v>#N/A</v>
      </c>
      <c r="T1193" t="e">
        <f t="shared" si="147"/>
        <v>#N/A</v>
      </c>
      <c r="U1193">
        <f t="shared" si="148"/>
        <v>10.8</v>
      </c>
      <c r="V1193">
        <f t="shared" si="149"/>
        <v>5</v>
      </c>
      <c r="W1193" t="e">
        <f t="shared" si="150"/>
        <v>#N/A</v>
      </c>
      <c r="X1193" t="e">
        <f t="shared" si="151"/>
        <v>#N/A</v>
      </c>
    </row>
    <row r="1194" spans="1:24" x14ac:dyDescent="0.3">
      <c r="A1194">
        <v>7.2</v>
      </c>
      <c r="B1194">
        <v>0.25</v>
      </c>
      <c r="C1194">
        <v>0.37</v>
      </c>
      <c r="D1194">
        <v>2.5</v>
      </c>
      <c r="E1194">
        <v>6.3E-2</v>
      </c>
      <c r="F1194">
        <v>11</v>
      </c>
      <c r="G1194">
        <v>41</v>
      </c>
      <c r="H1194">
        <v>0.99439</v>
      </c>
      <c r="I1194">
        <v>3.52</v>
      </c>
      <c r="J1194">
        <v>0.8</v>
      </c>
      <c r="K1194">
        <v>12.4</v>
      </c>
      <c r="L1194">
        <v>7</v>
      </c>
      <c r="M1194" t="str">
        <f t="shared" si="144"/>
        <v>High</v>
      </c>
      <c r="N1194">
        <f>(winequality_red[[#This Row],[Updated Quality &amp; Alcohol Analysis]]+winequality_red[[#This Row],[volatile acidity]]+winequality_red[[#This Row],[citric acid]])</f>
        <v>7.82</v>
      </c>
      <c r="O1194">
        <f t="shared" si="145"/>
        <v>1.6129032258064516E-2</v>
      </c>
      <c r="S1194" t="e">
        <f t="shared" si="146"/>
        <v>#N/A</v>
      </c>
      <c r="T1194" t="e">
        <f t="shared" si="147"/>
        <v>#N/A</v>
      </c>
      <c r="U1194" t="e">
        <f t="shared" si="148"/>
        <v>#N/A</v>
      </c>
      <c r="V1194" t="e">
        <f t="shared" si="149"/>
        <v>#N/A</v>
      </c>
      <c r="W1194">
        <f t="shared" si="150"/>
        <v>12.4</v>
      </c>
      <c r="X1194">
        <f t="shared" si="151"/>
        <v>7</v>
      </c>
    </row>
    <row r="1195" spans="1:24" x14ac:dyDescent="0.3">
      <c r="A1195">
        <v>6.4</v>
      </c>
      <c r="B1195">
        <v>0.88500000000000001</v>
      </c>
      <c r="C1195">
        <v>0</v>
      </c>
      <c r="D1195">
        <v>2.2999999999999998</v>
      </c>
      <c r="E1195">
        <v>0.16600000000000001</v>
      </c>
      <c r="F1195">
        <v>6</v>
      </c>
      <c r="G1195">
        <v>12</v>
      </c>
      <c r="H1195">
        <v>0.99551000000000001</v>
      </c>
      <c r="I1195">
        <v>3.56</v>
      </c>
      <c r="J1195">
        <v>0.51</v>
      </c>
      <c r="K1195">
        <v>10.8</v>
      </c>
      <c r="L1195">
        <v>5</v>
      </c>
      <c r="M1195" t="str">
        <f t="shared" si="144"/>
        <v>Medium</v>
      </c>
      <c r="N1195">
        <f>(winequality_red[[#This Row],[Updated Quality &amp; Alcohol Analysis]]+winequality_red[[#This Row],[volatile acidity]]+winequality_red[[#This Row],[citric acid]])</f>
        <v>7.2850000000000001</v>
      </c>
      <c r="O1195">
        <f t="shared" si="145"/>
        <v>4.1791666666666664E-2</v>
      </c>
      <c r="S1195" t="e">
        <f t="shared" si="146"/>
        <v>#N/A</v>
      </c>
      <c r="T1195" t="e">
        <f t="shared" si="147"/>
        <v>#N/A</v>
      </c>
      <c r="U1195">
        <f t="shared" si="148"/>
        <v>10.8</v>
      </c>
      <c r="V1195">
        <f t="shared" si="149"/>
        <v>5</v>
      </c>
      <c r="W1195" t="e">
        <f t="shared" si="150"/>
        <v>#N/A</v>
      </c>
      <c r="X1195" t="e">
        <f t="shared" si="151"/>
        <v>#N/A</v>
      </c>
    </row>
    <row r="1196" spans="1:24" x14ac:dyDescent="0.3">
      <c r="A1196">
        <v>7</v>
      </c>
      <c r="B1196">
        <v>0.745</v>
      </c>
      <c r="C1196">
        <v>0.12</v>
      </c>
      <c r="D1196">
        <v>1.8</v>
      </c>
      <c r="E1196">
        <v>0.114</v>
      </c>
      <c r="F1196">
        <v>15</v>
      </c>
      <c r="G1196">
        <v>64</v>
      </c>
      <c r="H1196">
        <v>0.99587999999999988</v>
      </c>
      <c r="I1196">
        <v>3.22</v>
      </c>
      <c r="J1196">
        <v>0.59</v>
      </c>
      <c r="K1196">
        <v>9.5</v>
      </c>
      <c r="L1196">
        <v>6</v>
      </c>
      <c r="M1196" t="str">
        <f t="shared" si="144"/>
        <v>Medium</v>
      </c>
      <c r="N1196">
        <f>(winequality_red[[#This Row],[Updated Quality &amp; Alcohol Analysis]]+winequality_red[[#This Row],[volatile acidity]]+winequality_red[[#This Row],[citric acid]])</f>
        <v>7.8650000000000002</v>
      </c>
      <c r="O1196">
        <f t="shared" si="145"/>
        <v>4.6268421052631577E-2</v>
      </c>
      <c r="S1196" t="e">
        <f t="shared" si="146"/>
        <v>#N/A</v>
      </c>
      <c r="T1196" t="e">
        <f t="shared" si="147"/>
        <v>#N/A</v>
      </c>
      <c r="U1196">
        <f t="shared" si="148"/>
        <v>9.5</v>
      </c>
      <c r="V1196">
        <f t="shared" si="149"/>
        <v>6</v>
      </c>
      <c r="W1196" t="e">
        <f t="shared" si="150"/>
        <v>#N/A</v>
      </c>
      <c r="X1196" t="e">
        <f t="shared" si="151"/>
        <v>#N/A</v>
      </c>
    </row>
    <row r="1197" spans="1:24" x14ac:dyDescent="0.3">
      <c r="A1197">
        <v>6.2</v>
      </c>
      <c r="B1197">
        <v>0.43</v>
      </c>
      <c r="C1197">
        <v>0.22</v>
      </c>
      <c r="D1197">
        <v>1.8</v>
      </c>
      <c r="E1197">
        <v>7.8E-2</v>
      </c>
      <c r="F1197">
        <v>21</v>
      </c>
      <c r="G1197">
        <v>56</v>
      </c>
      <c r="H1197">
        <v>0.99632999999999994</v>
      </c>
      <c r="I1197">
        <v>3.52</v>
      </c>
      <c r="J1197">
        <v>0.6</v>
      </c>
      <c r="K1197">
        <v>9.5</v>
      </c>
      <c r="L1197">
        <v>6</v>
      </c>
      <c r="M1197" t="str">
        <f t="shared" si="144"/>
        <v>Medium</v>
      </c>
      <c r="N1197">
        <f>(winequality_red[[#This Row],[Updated Quality &amp; Alcohol Analysis]]+winequality_red[[#This Row],[volatile acidity]]+winequality_red[[#This Row],[citric acid]])</f>
        <v>6.85</v>
      </c>
      <c r="O1197">
        <f t="shared" si="145"/>
        <v>2.7157894736842107E-2</v>
      </c>
      <c r="S1197" t="e">
        <f t="shared" si="146"/>
        <v>#N/A</v>
      </c>
      <c r="T1197" t="e">
        <f t="shared" si="147"/>
        <v>#N/A</v>
      </c>
      <c r="U1197">
        <f t="shared" si="148"/>
        <v>9.5</v>
      </c>
      <c r="V1197">
        <f t="shared" si="149"/>
        <v>6</v>
      </c>
      <c r="W1197" t="e">
        <f t="shared" si="150"/>
        <v>#N/A</v>
      </c>
      <c r="X1197" t="e">
        <f t="shared" si="151"/>
        <v>#N/A</v>
      </c>
    </row>
    <row r="1198" spans="1:24" x14ac:dyDescent="0.3">
      <c r="A1198">
        <v>7.9</v>
      </c>
      <c r="B1198">
        <v>0.57999999999999996</v>
      </c>
      <c r="C1198">
        <v>0.23</v>
      </c>
      <c r="D1198">
        <v>2.2999999999999998</v>
      </c>
      <c r="E1198">
        <v>7.5999999999999998E-2</v>
      </c>
      <c r="F1198">
        <v>23</v>
      </c>
      <c r="G1198">
        <v>94</v>
      </c>
      <c r="H1198">
        <v>0.99686000000000008</v>
      </c>
      <c r="I1198">
        <v>3.21</v>
      </c>
      <c r="J1198">
        <v>0.57999999999999996</v>
      </c>
      <c r="K1198">
        <v>9.5</v>
      </c>
      <c r="L1198">
        <v>6</v>
      </c>
      <c r="M1198" t="str">
        <f t="shared" si="144"/>
        <v>Medium</v>
      </c>
      <c r="N1198">
        <f>(winequality_red[[#This Row],[Updated Quality &amp; Alcohol Analysis]]+winequality_red[[#This Row],[volatile acidity]]+winequality_red[[#This Row],[citric acid]])</f>
        <v>8.7100000000000009</v>
      </c>
      <c r="O1198">
        <f t="shared" si="145"/>
        <v>3.5410526315789469E-2</v>
      </c>
      <c r="S1198" t="e">
        <f t="shared" si="146"/>
        <v>#N/A</v>
      </c>
      <c r="T1198" t="e">
        <f t="shared" si="147"/>
        <v>#N/A</v>
      </c>
      <c r="U1198">
        <f t="shared" si="148"/>
        <v>9.5</v>
      </c>
      <c r="V1198">
        <f t="shared" si="149"/>
        <v>6</v>
      </c>
      <c r="W1198" t="e">
        <f t="shared" si="150"/>
        <v>#N/A</v>
      </c>
      <c r="X1198" t="e">
        <f t="shared" si="151"/>
        <v>#N/A</v>
      </c>
    </row>
    <row r="1199" spans="1:24" x14ac:dyDescent="0.3">
      <c r="A1199">
        <v>7.7</v>
      </c>
      <c r="B1199">
        <v>0.56999999999999995</v>
      </c>
      <c r="C1199">
        <v>0.21</v>
      </c>
      <c r="D1199">
        <v>1.5</v>
      </c>
      <c r="E1199">
        <v>6.9000000000000006E-2</v>
      </c>
      <c r="F1199">
        <v>4</v>
      </c>
      <c r="G1199">
        <v>9</v>
      </c>
      <c r="H1199">
        <v>0.99457999999999991</v>
      </c>
      <c r="I1199">
        <v>3.16</v>
      </c>
      <c r="J1199">
        <v>0.54</v>
      </c>
      <c r="K1199">
        <v>9.8000000000000007</v>
      </c>
      <c r="L1199">
        <v>6</v>
      </c>
      <c r="M1199" t="str">
        <f t="shared" si="144"/>
        <v>Medium</v>
      </c>
      <c r="N1199">
        <f>(winequality_red[[#This Row],[Updated Quality &amp; Alcohol Analysis]]+winequality_red[[#This Row],[volatile acidity]]+winequality_red[[#This Row],[citric acid]])</f>
        <v>8.48</v>
      </c>
      <c r="O1199">
        <f t="shared" si="145"/>
        <v>3.140816326530612E-2</v>
      </c>
      <c r="S1199" t="e">
        <f t="shared" si="146"/>
        <v>#N/A</v>
      </c>
      <c r="T1199" t="e">
        <f t="shared" si="147"/>
        <v>#N/A</v>
      </c>
      <c r="U1199">
        <f t="shared" si="148"/>
        <v>9.8000000000000007</v>
      </c>
      <c r="V1199">
        <f t="shared" si="149"/>
        <v>6</v>
      </c>
      <c r="W1199" t="e">
        <f t="shared" si="150"/>
        <v>#N/A</v>
      </c>
      <c r="X1199" t="e">
        <f t="shared" si="151"/>
        <v>#N/A</v>
      </c>
    </row>
    <row r="1200" spans="1:24" x14ac:dyDescent="0.3">
      <c r="A1200">
        <v>7.7</v>
      </c>
      <c r="B1200">
        <v>0.26</v>
      </c>
      <c r="C1200">
        <v>0.26</v>
      </c>
      <c r="D1200">
        <v>2</v>
      </c>
      <c r="E1200">
        <v>5.2000000000000005E-2</v>
      </c>
      <c r="F1200">
        <v>19</v>
      </c>
      <c r="G1200">
        <v>77</v>
      </c>
      <c r="H1200">
        <v>0.99509999999999998</v>
      </c>
      <c r="I1200">
        <v>3.15</v>
      </c>
      <c r="J1200">
        <v>0.79</v>
      </c>
      <c r="K1200">
        <v>10.9</v>
      </c>
      <c r="L1200">
        <v>6</v>
      </c>
      <c r="M1200" t="str">
        <f t="shared" si="144"/>
        <v>Medium</v>
      </c>
      <c r="N1200">
        <f>(winequality_red[[#This Row],[Updated Quality &amp; Alcohol Analysis]]+winequality_red[[#This Row],[volatile acidity]]+winequality_red[[#This Row],[citric acid]])</f>
        <v>8.2200000000000006</v>
      </c>
      <c r="O1200">
        <f t="shared" si="145"/>
        <v>1.8844036697247709E-2</v>
      </c>
      <c r="S1200" t="e">
        <f t="shared" si="146"/>
        <v>#N/A</v>
      </c>
      <c r="T1200" t="e">
        <f t="shared" si="147"/>
        <v>#N/A</v>
      </c>
      <c r="U1200">
        <f t="shared" si="148"/>
        <v>10.9</v>
      </c>
      <c r="V1200">
        <f t="shared" si="149"/>
        <v>6</v>
      </c>
      <c r="W1200" t="e">
        <f t="shared" si="150"/>
        <v>#N/A</v>
      </c>
      <c r="X1200" t="e">
        <f t="shared" si="151"/>
        <v>#N/A</v>
      </c>
    </row>
    <row r="1201" spans="1:24" x14ac:dyDescent="0.3">
      <c r="A1201">
        <v>7.9</v>
      </c>
      <c r="B1201">
        <v>0.57999999999999996</v>
      </c>
      <c r="C1201">
        <v>0.23</v>
      </c>
      <c r="D1201">
        <v>2.2999999999999998</v>
      </c>
      <c r="E1201">
        <v>7.5999999999999998E-2</v>
      </c>
      <c r="F1201">
        <v>23</v>
      </c>
      <c r="G1201">
        <v>94</v>
      </c>
      <c r="H1201">
        <v>0.99686000000000008</v>
      </c>
      <c r="I1201">
        <v>3.21</v>
      </c>
      <c r="J1201">
        <v>0.57999999999999996</v>
      </c>
      <c r="K1201">
        <v>9.5</v>
      </c>
      <c r="L1201">
        <v>6</v>
      </c>
      <c r="M1201" t="str">
        <f t="shared" si="144"/>
        <v>Medium</v>
      </c>
      <c r="N1201">
        <f>(winequality_red[[#This Row],[Updated Quality &amp; Alcohol Analysis]]+winequality_red[[#This Row],[volatile acidity]]+winequality_red[[#This Row],[citric acid]])</f>
        <v>8.7100000000000009</v>
      </c>
      <c r="O1201">
        <f t="shared" si="145"/>
        <v>3.5410526315789469E-2</v>
      </c>
      <c r="S1201" t="e">
        <f t="shared" si="146"/>
        <v>#N/A</v>
      </c>
      <c r="T1201" t="e">
        <f t="shared" si="147"/>
        <v>#N/A</v>
      </c>
      <c r="U1201">
        <f t="shared" si="148"/>
        <v>9.5</v>
      </c>
      <c r="V1201">
        <f t="shared" si="149"/>
        <v>6</v>
      </c>
      <c r="W1201" t="e">
        <f t="shared" si="150"/>
        <v>#N/A</v>
      </c>
      <c r="X1201" t="e">
        <f t="shared" si="151"/>
        <v>#N/A</v>
      </c>
    </row>
    <row r="1202" spans="1:24" x14ac:dyDescent="0.3">
      <c r="A1202">
        <v>7.7</v>
      </c>
      <c r="B1202">
        <v>0.56999999999999995</v>
      </c>
      <c r="C1202">
        <v>0.21</v>
      </c>
      <c r="D1202">
        <v>1.5</v>
      </c>
      <c r="E1202">
        <v>6.9000000000000006E-2</v>
      </c>
      <c r="F1202">
        <v>4</v>
      </c>
      <c r="G1202">
        <v>9</v>
      </c>
      <c r="H1202">
        <v>0.99457999999999991</v>
      </c>
      <c r="I1202">
        <v>3.16</v>
      </c>
      <c r="J1202">
        <v>0.54</v>
      </c>
      <c r="K1202">
        <v>9.8000000000000007</v>
      </c>
      <c r="L1202">
        <v>6</v>
      </c>
      <c r="M1202" t="str">
        <f t="shared" si="144"/>
        <v>Medium</v>
      </c>
      <c r="N1202">
        <f>(winequality_red[[#This Row],[Updated Quality &amp; Alcohol Analysis]]+winequality_red[[#This Row],[volatile acidity]]+winequality_red[[#This Row],[citric acid]])</f>
        <v>8.48</v>
      </c>
      <c r="O1202">
        <f t="shared" si="145"/>
        <v>3.140816326530612E-2</v>
      </c>
      <c r="S1202" t="e">
        <f t="shared" si="146"/>
        <v>#N/A</v>
      </c>
      <c r="T1202" t="e">
        <f t="shared" si="147"/>
        <v>#N/A</v>
      </c>
      <c r="U1202">
        <f t="shared" si="148"/>
        <v>9.8000000000000007</v>
      </c>
      <c r="V1202">
        <f t="shared" si="149"/>
        <v>6</v>
      </c>
      <c r="W1202" t="e">
        <f t="shared" si="150"/>
        <v>#N/A</v>
      </c>
      <c r="X1202" t="e">
        <f t="shared" si="151"/>
        <v>#N/A</v>
      </c>
    </row>
    <row r="1203" spans="1:24" x14ac:dyDescent="0.3">
      <c r="A1203">
        <v>7.9</v>
      </c>
      <c r="B1203">
        <v>0.34</v>
      </c>
      <c r="C1203">
        <v>0.36</v>
      </c>
      <c r="D1203">
        <v>1.9</v>
      </c>
      <c r="E1203">
        <v>6.5000000000000002E-2</v>
      </c>
      <c r="F1203">
        <v>5</v>
      </c>
      <c r="G1203">
        <v>10</v>
      </c>
      <c r="H1203">
        <v>0.99419000000000002</v>
      </c>
      <c r="I1203">
        <v>3.27</v>
      </c>
      <c r="J1203">
        <v>0.54</v>
      </c>
      <c r="K1203">
        <v>11.2</v>
      </c>
      <c r="L1203">
        <v>7</v>
      </c>
      <c r="M1203" t="str">
        <f t="shared" si="144"/>
        <v>High</v>
      </c>
      <c r="N1203">
        <f>(winequality_red[[#This Row],[Updated Quality &amp; Alcohol Analysis]]+winequality_red[[#This Row],[volatile acidity]]+winequality_red[[#This Row],[citric acid]])</f>
        <v>8.6</v>
      </c>
      <c r="O1203">
        <f t="shared" si="145"/>
        <v>1.6392857142857147E-2</v>
      </c>
      <c r="S1203" t="e">
        <f t="shared" si="146"/>
        <v>#N/A</v>
      </c>
      <c r="T1203" t="e">
        <f t="shared" si="147"/>
        <v>#N/A</v>
      </c>
      <c r="U1203" t="e">
        <f t="shared" si="148"/>
        <v>#N/A</v>
      </c>
      <c r="V1203" t="e">
        <f t="shared" si="149"/>
        <v>#N/A</v>
      </c>
      <c r="W1203">
        <f t="shared" si="150"/>
        <v>11.2</v>
      </c>
      <c r="X1203">
        <f t="shared" si="151"/>
        <v>7</v>
      </c>
    </row>
    <row r="1204" spans="1:24" x14ac:dyDescent="0.3">
      <c r="A1204">
        <v>8.6</v>
      </c>
      <c r="B1204">
        <v>0.42</v>
      </c>
      <c r="C1204">
        <v>0.39</v>
      </c>
      <c r="D1204">
        <v>1.8</v>
      </c>
      <c r="E1204">
        <v>6.8000000000000005E-2</v>
      </c>
      <c r="F1204">
        <v>6</v>
      </c>
      <c r="G1204">
        <v>12</v>
      </c>
      <c r="H1204">
        <v>0.99516000000000004</v>
      </c>
      <c r="I1204">
        <v>3.35</v>
      </c>
      <c r="J1204">
        <v>0.69</v>
      </c>
      <c r="K1204">
        <v>11.7</v>
      </c>
      <c r="L1204">
        <v>8</v>
      </c>
      <c r="M1204" t="str">
        <f t="shared" si="144"/>
        <v>High</v>
      </c>
      <c r="N1204">
        <f>(winequality_red[[#This Row],[Updated Quality &amp; Alcohol Analysis]]+winequality_red[[#This Row],[volatile acidity]]+winequality_red[[#This Row],[citric acid]])</f>
        <v>9.41</v>
      </c>
      <c r="O1204">
        <f t="shared" si="145"/>
        <v>2.4769230769230766E-2</v>
      </c>
      <c r="S1204" t="e">
        <f t="shared" si="146"/>
        <v>#N/A</v>
      </c>
      <c r="T1204" t="e">
        <f t="shared" si="147"/>
        <v>#N/A</v>
      </c>
      <c r="U1204" t="e">
        <f t="shared" si="148"/>
        <v>#N/A</v>
      </c>
      <c r="V1204" t="e">
        <f t="shared" si="149"/>
        <v>#N/A</v>
      </c>
      <c r="W1204">
        <f t="shared" si="150"/>
        <v>11.7</v>
      </c>
      <c r="X1204">
        <f t="shared" si="151"/>
        <v>8</v>
      </c>
    </row>
    <row r="1205" spans="1:24" x14ac:dyDescent="0.3">
      <c r="A1205">
        <v>9.9</v>
      </c>
      <c r="B1205">
        <v>0.74</v>
      </c>
      <c r="C1205">
        <v>0.19</v>
      </c>
      <c r="D1205">
        <v>5.8</v>
      </c>
      <c r="E1205">
        <v>0.111</v>
      </c>
      <c r="F1205">
        <v>33</v>
      </c>
      <c r="G1205">
        <v>76</v>
      </c>
      <c r="H1205">
        <v>0.99877999999999989</v>
      </c>
      <c r="I1205">
        <v>3.14</v>
      </c>
      <c r="J1205">
        <v>0.55000000000000004</v>
      </c>
      <c r="K1205">
        <v>9.4</v>
      </c>
      <c r="L1205">
        <v>5</v>
      </c>
      <c r="M1205" t="str">
        <f t="shared" si="144"/>
        <v>Medium</v>
      </c>
      <c r="N1205">
        <f>(winequality_red[[#This Row],[Updated Quality &amp; Alcohol Analysis]]+winequality_red[[#This Row],[volatile acidity]]+winequality_red[[#This Row],[citric acid]])</f>
        <v>10.83</v>
      </c>
      <c r="O1205">
        <f t="shared" si="145"/>
        <v>4.3297872340425536E-2</v>
      </c>
      <c r="S1205" t="e">
        <f t="shared" si="146"/>
        <v>#N/A</v>
      </c>
      <c r="T1205" t="e">
        <f t="shared" si="147"/>
        <v>#N/A</v>
      </c>
      <c r="U1205">
        <f t="shared" si="148"/>
        <v>9.4</v>
      </c>
      <c r="V1205">
        <f t="shared" si="149"/>
        <v>5</v>
      </c>
      <c r="W1205" t="e">
        <f t="shared" si="150"/>
        <v>#N/A</v>
      </c>
      <c r="X1205" t="e">
        <f t="shared" si="151"/>
        <v>#N/A</v>
      </c>
    </row>
    <row r="1206" spans="1:24" x14ac:dyDescent="0.3">
      <c r="A1206">
        <v>7.2</v>
      </c>
      <c r="B1206">
        <v>0.36</v>
      </c>
      <c r="C1206">
        <v>0.46</v>
      </c>
      <c r="D1206">
        <v>2.1</v>
      </c>
      <c r="E1206">
        <v>7.400000000000001E-2</v>
      </c>
      <c r="F1206">
        <v>24</v>
      </c>
      <c r="G1206">
        <v>44</v>
      </c>
      <c r="H1206">
        <v>0.99534</v>
      </c>
      <c r="I1206">
        <v>3.4</v>
      </c>
      <c r="J1206">
        <v>0.85</v>
      </c>
      <c r="K1206">
        <v>11</v>
      </c>
      <c r="L1206">
        <v>7</v>
      </c>
      <c r="M1206" t="str">
        <f t="shared" si="144"/>
        <v>High</v>
      </c>
      <c r="N1206">
        <f>(winequality_red[[#This Row],[Updated Quality &amp; Alcohol Analysis]]+winequality_red[[#This Row],[volatile acidity]]+winequality_red[[#This Row],[citric acid]])</f>
        <v>8.0200000000000014</v>
      </c>
      <c r="O1206">
        <f t="shared" si="145"/>
        <v>2.7818181818181818E-2</v>
      </c>
      <c r="S1206" t="e">
        <f t="shared" si="146"/>
        <v>#N/A</v>
      </c>
      <c r="T1206" t="e">
        <f t="shared" si="147"/>
        <v>#N/A</v>
      </c>
      <c r="U1206" t="e">
        <f t="shared" si="148"/>
        <v>#N/A</v>
      </c>
      <c r="V1206" t="e">
        <f t="shared" si="149"/>
        <v>#N/A</v>
      </c>
      <c r="W1206">
        <f t="shared" si="150"/>
        <v>11</v>
      </c>
      <c r="X1206">
        <f t="shared" si="151"/>
        <v>7</v>
      </c>
    </row>
    <row r="1207" spans="1:24" x14ac:dyDescent="0.3">
      <c r="A1207">
        <v>7.2</v>
      </c>
      <c r="B1207">
        <v>0.36</v>
      </c>
      <c r="C1207">
        <v>0.46</v>
      </c>
      <c r="D1207">
        <v>2.1</v>
      </c>
      <c r="E1207">
        <v>7.400000000000001E-2</v>
      </c>
      <c r="F1207">
        <v>24</v>
      </c>
      <c r="G1207">
        <v>44</v>
      </c>
      <c r="H1207">
        <v>0.99534</v>
      </c>
      <c r="I1207">
        <v>3.4</v>
      </c>
      <c r="J1207">
        <v>0.85</v>
      </c>
      <c r="K1207">
        <v>11</v>
      </c>
      <c r="L1207">
        <v>7</v>
      </c>
      <c r="M1207" t="str">
        <f t="shared" si="144"/>
        <v>High</v>
      </c>
      <c r="N1207">
        <f>(winequality_red[[#This Row],[Updated Quality &amp; Alcohol Analysis]]+winequality_red[[#This Row],[volatile acidity]]+winequality_red[[#This Row],[citric acid]])</f>
        <v>8.0200000000000014</v>
      </c>
      <c r="O1207">
        <f t="shared" si="145"/>
        <v>2.7818181818181818E-2</v>
      </c>
      <c r="S1207" t="e">
        <f t="shared" si="146"/>
        <v>#N/A</v>
      </c>
      <c r="T1207" t="e">
        <f t="shared" si="147"/>
        <v>#N/A</v>
      </c>
      <c r="U1207" t="e">
        <f t="shared" si="148"/>
        <v>#N/A</v>
      </c>
      <c r="V1207" t="e">
        <f t="shared" si="149"/>
        <v>#N/A</v>
      </c>
      <c r="W1207">
        <f t="shared" si="150"/>
        <v>11</v>
      </c>
      <c r="X1207">
        <f t="shared" si="151"/>
        <v>7</v>
      </c>
    </row>
    <row r="1208" spans="1:24" x14ac:dyDescent="0.3">
      <c r="A1208">
        <v>7.2</v>
      </c>
      <c r="B1208">
        <v>0.36</v>
      </c>
      <c r="C1208">
        <v>0.46</v>
      </c>
      <c r="D1208">
        <v>2.1</v>
      </c>
      <c r="E1208">
        <v>7.400000000000001E-2</v>
      </c>
      <c r="F1208">
        <v>24</v>
      </c>
      <c r="G1208">
        <v>44</v>
      </c>
      <c r="H1208">
        <v>0.99534</v>
      </c>
      <c r="I1208">
        <v>3.4</v>
      </c>
      <c r="J1208">
        <v>0.85</v>
      </c>
      <c r="K1208">
        <v>11</v>
      </c>
      <c r="L1208">
        <v>7</v>
      </c>
      <c r="M1208" t="str">
        <f t="shared" si="144"/>
        <v>High</v>
      </c>
      <c r="N1208">
        <f>(winequality_red[[#This Row],[Updated Quality &amp; Alcohol Analysis]]+winequality_red[[#This Row],[volatile acidity]]+winequality_red[[#This Row],[citric acid]])</f>
        <v>8.0200000000000014</v>
      </c>
      <c r="O1208">
        <f t="shared" si="145"/>
        <v>2.7818181818181818E-2</v>
      </c>
      <c r="S1208" t="e">
        <f t="shared" si="146"/>
        <v>#N/A</v>
      </c>
      <c r="T1208" t="e">
        <f t="shared" si="147"/>
        <v>#N/A</v>
      </c>
      <c r="U1208" t="e">
        <f t="shared" si="148"/>
        <v>#N/A</v>
      </c>
      <c r="V1208" t="e">
        <f t="shared" si="149"/>
        <v>#N/A</v>
      </c>
      <c r="W1208">
        <f t="shared" si="150"/>
        <v>11</v>
      </c>
      <c r="X1208">
        <f t="shared" si="151"/>
        <v>7</v>
      </c>
    </row>
    <row r="1209" spans="1:24" x14ac:dyDescent="0.3">
      <c r="A1209">
        <v>9.9</v>
      </c>
      <c r="B1209">
        <v>0.72</v>
      </c>
      <c r="C1209">
        <v>0.55000000000000004</v>
      </c>
      <c r="D1209">
        <v>1.7</v>
      </c>
      <c r="E1209">
        <v>0.13600000000000001</v>
      </c>
      <c r="F1209">
        <v>24</v>
      </c>
      <c r="G1209">
        <v>52</v>
      </c>
      <c r="H1209">
        <v>0.99752000000000007</v>
      </c>
      <c r="I1209">
        <v>3.35</v>
      </c>
      <c r="J1209">
        <v>0.94</v>
      </c>
      <c r="K1209">
        <v>10</v>
      </c>
      <c r="L1209">
        <v>5</v>
      </c>
      <c r="M1209" t="str">
        <f t="shared" si="144"/>
        <v>Medium</v>
      </c>
      <c r="N1209">
        <f>(winequality_red[[#This Row],[Updated Quality &amp; Alcohol Analysis]]+winequality_red[[#This Row],[volatile acidity]]+winequality_red[[#This Row],[citric acid]])</f>
        <v>11.170000000000002</v>
      </c>
      <c r="O1209">
        <f t="shared" si="145"/>
        <v>6.767999999999999E-2</v>
      </c>
      <c r="S1209" t="e">
        <f t="shared" si="146"/>
        <v>#N/A</v>
      </c>
      <c r="T1209" t="e">
        <f t="shared" si="147"/>
        <v>#N/A</v>
      </c>
      <c r="U1209">
        <f t="shared" si="148"/>
        <v>10</v>
      </c>
      <c r="V1209">
        <f t="shared" si="149"/>
        <v>5</v>
      </c>
      <c r="W1209" t="e">
        <f t="shared" si="150"/>
        <v>#N/A</v>
      </c>
      <c r="X1209" t="e">
        <f t="shared" si="151"/>
        <v>#N/A</v>
      </c>
    </row>
    <row r="1210" spans="1:24" x14ac:dyDescent="0.3">
      <c r="A1210">
        <v>7.2</v>
      </c>
      <c r="B1210">
        <v>0.36</v>
      </c>
      <c r="C1210">
        <v>0.46</v>
      </c>
      <c r="D1210">
        <v>2.1</v>
      </c>
      <c r="E1210">
        <v>7.400000000000001E-2</v>
      </c>
      <c r="F1210">
        <v>24</v>
      </c>
      <c r="G1210">
        <v>44</v>
      </c>
      <c r="H1210">
        <v>0.99534</v>
      </c>
      <c r="I1210">
        <v>3.4</v>
      </c>
      <c r="J1210">
        <v>0.85</v>
      </c>
      <c r="K1210">
        <v>11</v>
      </c>
      <c r="L1210">
        <v>7</v>
      </c>
      <c r="M1210" t="str">
        <f t="shared" si="144"/>
        <v>High</v>
      </c>
      <c r="N1210">
        <f>(winequality_red[[#This Row],[Updated Quality &amp; Alcohol Analysis]]+winequality_red[[#This Row],[volatile acidity]]+winequality_red[[#This Row],[citric acid]])</f>
        <v>8.0200000000000014</v>
      </c>
      <c r="O1210">
        <f t="shared" si="145"/>
        <v>2.7818181818181818E-2</v>
      </c>
      <c r="S1210" t="e">
        <f t="shared" si="146"/>
        <v>#N/A</v>
      </c>
      <c r="T1210" t="e">
        <f t="shared" si="147"/>
        <v>#N/A</v>
      </c>
      <c r="U1210" t="e">
        <f t="shared" si="148"/>
        <v>#N/A</v>
      </c>
      <c r="V1210" t="e">
        <f t="shared" si="149"/>
        <v>#N/A</v>
      </c>
      <c r="W1210">
        <f t="shared" si="150"/>
        <v>11</v>
      </c>
      <c r="X1210">
        <f t="shared" si="151"/>
        <v>7</v>
      </c>
    </row>
    <row r="1211" spans="1:24" x14ac:dyDescent="0.3">
      <c r="A1211">
        <v>6.2</v>
      </c>
      <c r="B1211">
        <v>0.39</v>
      </c>
      <c r="C1211">
        <v>0.43</v>
      </c>
      <c r="D1211">
        <v>2</v>
      </c>
      <c r="E1211">
        <v>7.0999999999999994E-2</v>
      </c>
      <c r="F1211">
        <v>14</v>
      </c>
      <c r="G1211">
        <v>24</v>
      </c>
      <c r="H1211">
        <v>0.99427999999999994</v>
      </c>
      <c r="I1211">
        <v>3.45</v>
      </c>
      <c r="J1211">
        <v>0.87</v>
      </c>
      <c r="K1211">
        <v>11.2</v>
      </c>
      <c r="L1211">
        <v>7</v>
      </c>
      <c r="M1211" t="str">
        <f t="shared" si="144"/>
        <v>High</v>
      </c>
      <c r="N1211">
        <f>(winequality_red[[#This Row],[Updated Quality &amp; Alcohol Analysis]]+winequality_red[[#This Row],[volatile acidity]]+winequality_red[[#This Row],[citric acid]])</f>
        <v>7.02</v>
      </c>
      <c r="O1211">
        <f t="shared" si="145"/>
        <v>3.0294642857142857E-2</v>
      </c>
      <c r="S1211" t="e">
        <f t="shared" si="146"/>
        <v>#N/A</v>
      </c>
      <c r="T1211" t="e">
        <f t="shared" si="147"/>
        <v>#N/A</v>
      </c>
      <c r="U1211" t="e">
        <f t="shared" si="148"/>
        <v>#N/A</v>
      </c>
      <c r="V1211" t="e">
        <f t="shared" si="149"/>
        <v>#N/A</v>
      </c>
      <c r="W1211">
        <f t="shared" si="150"/>
        <v>11.2</v>
      </c>
      <c r="X1211">
        <f t="shared" si="151"/>
        <v>7</v>
      </c>
    </row>
    <row r="1212" spans="1:24" x14ac:dyDescent="0.3">
      <c r="A1212">
        <v>6.8</v>
      </c>
      <c r="B1212">
        <v>0.65</v>
      </c>
      <c r="C1212">
        <v>0.02</v>
      </c>
      <c r="D1212">
        <v>2.1</v>
      </c>
      <c r="E1212">
        <v>7.8E-2</v>
      </c>
      <c r="F1212">
        <v>8</v>
      </c>
      <c r="G1212">
        <v>15</v>
      </c>
      <c r="H1212">
        <v>0.99497999999999998</v>
      </c>
      <c r="I1212">
        <v>3.35</v>
      </c>
      <c r="J1212">
        <v>0.62</v>
      </c>
      <c r="K1212">
        <v>10.4</v>
      </c>
      <c r="L1212">
        <v>6</v>
      </c>
      <c r="M1212" t="str">
        <f t="shared" si="144"/>
        <v>Medium</v>
      </c>
      <c r="N1212">
        <f>(winequality_red[[#This Row],[Updated Quality &amp; Alcohol Analysis]]+winequality_red[[#This Row],[volatile acidity]]+winequality_red[[#This Row],[citric acid]])</f>
        <v>7.47</v>
      </c>
      <c r="O1212">
        <f t="shared" si="145"/>
        <v>3.875E-2</v>
      </c>
      <c r="S1212" t="e">
        <f t="shared" si="146"/>
        <v>#N/A</v>
      </c>
      <c r="T1212" t="e">
        <f t="shared" si="147"/>
        <v>#N/A</v>
      </c>
      <c r="U1212">
        <f t="shared" si="148"/>
        <v>10.4</v>
      </c>
      <c r="V1212">
        <f t="shared" si="149"/>
        <v>6</v>
      </c>
      <c r="W1212" t="e">
        <f t="shared" si="150"/>
        <v>#N/A</v>
      </c>
      <c r="X1212" t="e">
        <f t="shared" si="151"/>
        <v>#N/A</v>
      </c>
    </row>
    <row r="1213" spans="1:24" x14ac:dyDescent="0.3">
      <c r="A1213">
        <v>6.6</v>
      </c>
      <c r="B1213">
        <v>0.44</v>
      </c>
      <c r="C1213">
        <v>0.15</v>
      </c>
      <c r="D1213">
        <v>2.1</v>
      </c>
      <c r="E1213">
        <v>7.5999999999999998E-2</v>
      </c>
      <c r="F1213">
        <v>22</v>
      </c>
      <c r="G1213">
        <v>53</v>
      </c>
      <c r="H1213">
        <v>0.99570000000000003</v>
      </c>
      <c r="I1213">
        <v>3.32</v>
      </c>
      <c r="J1213">
        <v>0.62</v>
      </c>
      <c r="K1213">
        <v>9.3000000000000007</v>
      </c>
      <c r="L1213">
        <v>5</v>
      </c>
      <c r="M1213" t="str">
        <f t="shared" si="144"/>
        <v>Medium</v>
      </c>
      <c r="N1213">
        <f>(winequality_red[[#This Row],[Updated Quality &amp; Alcohol Analysis]]+winequality_red[[#This Row],[volatile acidity]]+winequality_red[[#This Row],[citric acid]])</f>
        <v>7.19</v>
      </c>
      <c r="O1213">
        <f t="shared" si="145"/>
        <v>2.9333333333333329E-2</v>
      </c>
      <c r="S1213" t="e">
        <f t="shared" si="146"/>
        <v>#N/A</v>
      </c>
      <c r="T1213" t="e">
        <f t="shared" si="147"/>
        <v>#N/A</v>
      </c>
      <c r="U1213">
        <f t="shared" si="148"/>
        <v>9.3000000000000007</v>
      </c>
      <c r="V1213">
        <f t="shared" si="149"/>
        <v>5</v>
      </c>
      <c r="W1213" t="e">
        <f t="shared" si="150"/>
        <v>#N/A</v>
      </c>
      <c r="X1213" t="e">
        <f t="shared" si="151"/>
        <v>#N/A</v>
      </c>
    </row>
    <row r="1214" spans="1:24" x14ac:dyDescent="0.3">
      <c r="A1214">
        <v>6.8</v>
      </c>
      <c r="B1214">
        <v>0.65</v>
      </c>
      <c r="C1214">
        <v>0.02</v>
      </c>
      <c r="D1214">
        <v>2.1</v>
      </c>
      <c r="E1214">
        <v>7.8E-2</v>
      </c>
      <c r="F1214">
        <v>8</v>
      </c>
      <c r="G1214">
        <v>15</v>
      </c>
      <c r="H1214">
        <v>0.99497999999999998</v>
      </c>
      <c r="I1214">
        <v>3.35</v>
      </c>
      <c r="J1214">
        <v>0.62</v>
      </c>
      <c r="K1214">
        <v>10.4</v>
      </c>
      <c r="L1214">
        <v>6</v>
      </c>
      <c r="M1214" t="str">
        <f t="shared" si="144"/>
        <v>Medium</v>
      </c>
      <c r="N1214">
        <f>(winequality_red[[#This Row],[Updated Quality &amp; Alcohol Analysis]]+winequality_red[[#This Row],[volatile acidity]]+winequality_red[[#This Row],[citric acid]])</f>
        <v>7.47</v>
      </c>
      <c r="O1214">
        <f t="shared" si="145"/>
        <v>3.875E-2</v>
      </c>
      <c r="S1214" t="e">
        <f t="shared" si="146"/>
        <v>#N/A</v>
      </c>
      <c r="T1214" t="e">
        <f t="shared" si="147"/>
        <v>#N/A</v>
      </c>
      <c r="U1214">
        <f t="shared" si="148"/>
        <v>10.4</v>
      </c>
      <c r="V1214">
        <f t="shared" si="149"/>
        <v>6</v>
      </c>
      <c r="W1214" t="e">
        <f t="shared" si="150"/>
        <v>#N/A</v>
      </c>
      <c r="X1214" t="e">
        <f t="shared" si="151"/>
        <v>#N/A</v>
      </c>
    </row>
    <row r="1215" spans="1:24" x14ac:dyDescent="0.3">
      <c r="A1215">
        <v>9.6</v>
      </c>
      <c r="B1215">
        <v>0.38</v>
      </c>
      <c r="C1215">
        <v>0.42</v>
      </c>
      <c r="D1215">
        <v>1.9</v>
      </c>
      <c r="E1215">
        <v>7.0999999999999994E-2</v>
      </c>
      <c r="F1215">
        <v>5</v>
      </c>
      <c r="G1215">
        <v>13</v>
      </c>
      <c r="H1215">
        <v>0.99658999999999998</v>
      </c>
      <c r="I1215">
        <v>3.15</v>
      </c>
      <c r="J1215">
        <v>0.75</v>
      </c>
      <c r="K1215">
        <v>10.5</v>
      </c>
      <c r="L1215">
        <v>6</v>
      </c>
      <c r="M1215" t="str">
        <f t="shared" si="144"/>
        <v>Medium</v>
      </c>
      <c r="N1215">
        <f>(winequality_red[[#This Row],[Updated Quality &amp; Alcohol Analysis]]+winequality_red[[#This Row],[volatile acidity]]+winequality_red[[#This Row],[citric acid]])</f>
        <v>10.4</v>
      </c>
      <c r="O1215">
        <f t="shared" si="145"/>
        <v>2.7142857142857146E-2</v>
      </c>
      <c r="S1215" t="e">
        <f t="shared" si="146"/>
        <v>#N/A</v>
      </c>
      <c r="T1215" t="e">
        <f t="shared" si="147"/>
        <v>#N/A</v>
      </c>
      <c r="U1215">
        <f t="shared" si="148"/>
        <v>10.5</v>
      </c>
      <c r="V1215">
        <f t="shared" si="149"/>
        <v>6</v>
      </c>
      <c r="W1215" t="e">
        <f t="shared" si="150"/>
        <v>#N/A</v>
      </c>
      <c r="X1215" t="e">
        <f t="shared" si="151"/>
        <v>#N/A</v>
      </c>
    </row>
    <row r="1216" spans="1:24" x14ac:dyDescent="0.3">
      <c r="A1216">
        <v>10.199999999999999</v>
      </c>
      <c r="B1216">
        <v>0.33</v>
      </c>
      <c r="C1216">
        <v>0.46</v>
      </c>
      <c r="D1216">
        <v>1.9</v>
      </c>
      <c r="E1216">
        <v>8.1000000000000003E-2</v>
      </c>
      <c r="F1216">
        <v>6</v>
      </c>
      <c r="G1216">
        <v>9</v>
      </c>
      <c r="H1216">
        <v>0.99627999999999994</v>
      </c>
      <c r="I1216">
        <v>3.1</v>
      </c>
      <c r="J1216">
        <v>0.48</v>
      </c>
      <c r="K1216">
        <v>10.4</v>
      </c>
      <c r="L1216">
        <v>6</v>
      </c>
      <c r="M1216" t="str">
        <f t="shared" si="144"/>
        <v>Medium</v>
      </c>
      <c r="N1216">
        <f>(winequality_red[[#This Row],[Updated Quality &amp; Alcohol Analysis]]+winequality_red[[#This Row],[volatile acidity]]+winequality_red[[#This Row],[citric acid]])</f>
        <v>10.99</v>
      </c>
      <c r="O1216">
        <f t="shared" si="145"/>
        <v>1.5230769230769232E-2</v>
      </c>
      <c r="S1216" t="e">
        <f t="shared" si="146"/>
        <v>#N/A</v>
      </c>
      <c r="T1216" t="e">
        <f t="shared" si="147"/>
        <v>#N/A</v>
      </c>
      <c r="U1216">
        <f t="shared" si="148"/>
        <v>10.4</v>
      </c>
      <c r="V1216">
        <f t="shared" si="149"/>
        <v>6</v>
      </c>
      <c r="W1216" t="e">
        <f t="shared" si="150"/>
        <v>#N/A</v>
      </c>
      <c r="X1216" t="e">
        <f t="shared" si="151"/>
        <v>#N/A</v>
      </c>
    </row>
    <row r="1217" spans="1:24" x14ac:dyDescent="0.3">
      <c r="A1217">
        <v>8.8000000000000007</v>
      </c>
      <c r="B1217">
        <v>0.27</v>
      </c>
      <c r="C1217">
        <v>0.46</v>
      </c>
      <c r="D1217">
        <v>2.1</v>
      </c>
      <c r="E1217">
        <v>9.5000000000000001E-2</v>
      </c>
      <c r="F1217">
        <v>20</v>
      </c>
      <c r="G1217">
        <v>29</v>
      </c>
      <c r="H1217">
        <v>0.99487999999999988</v>
      </c>
      <c r="I1217">
        <v>3.26</v>
      </c>
      <c r="J1217">
        <v>0.56000000000000005</v>
      </c>
      <c r="K1217">
        <v>11.3</v>
      </c>
      <c r="L1217">
        <v>6</v>
      </c>
      <c r="M1217" t="str">
        <f t="shared" si="144"/>
        <v>Medium</v>
      </c>
      <c r="N1217">
        <f>(winequality_red[[#This Row],[Updated Quality &amp; Alcohol Analysis]]+winequality_red[[#This Row],[volatile acidity]]+winequality_red[[#This Row],[citric acid]])</f>
        <v>9.5300000000000011</v>
      </c>
      <c r="O1217">
        <f t="shared" si="145"/>
        <v>1.338053097345133E-2</v>
      </c>
      <c r="S1217" t="e">
        <f t="shared" si="146"/>
        <v>#N/A</v>
      </c>
      <c r="T1217" t="e">
        <f t="shared" si="147"/>
        <v>#N/A</v>
      </c>
      <c r="U1217">
        <f t="shared" si="148"/>
        <v>11.3</v>
      </c>
      <c r="V1217">
        <f t="shared" si="149"/>
        <v>6</v>
      </c>
      <c r="W1217" t="e">
        <f t="shared" si="150"/>
        <v>#N/A</v>
      </c>
      <c r="X1217" t="e">
        <f t="shared" si="151"/>
        <v>#N/A</v>
      </c>
    </row>
    <row r="1218" spans="1:24" x14ac:dyDescent="0.3">
      <c r="A1218">
        <v>7.9</v>
      </c>
      <c r="B1218">
        <v>0.56999999999999995</v>
      </c>
      <c r="C1218">
        <v>0.31</v>
      </c>
      <c r="D1218">
        <v>2</v>
      </c>
      <c r="E1218">
        <v>7.9000000000000001E-2</v>
      </c>
      <c r="F1218">
        <v>10</v>
      </c>
      <c r="G1218">
        <v>79</v>
      </c>
      <c r="H1218">
        <v>0.99677000000000004</v>
      </c>
      <c r="I1218">
        <v>3.29</v>
      </c>
      <c r="J1218">
        <v>0.69</v>
      </c>
      <c r="K1218">
        <v>9.5</v>
      </c>
      <c r="L1218">
        <v>6</v>
      </c>
      <c r="M1218" t="str">
        <f t="shared" ref="M1218:M1281" si="152">IF($L1218&gt;=7,"High",IF($L1218&gt;=5,"Medium","Low"))</f>
        <v>Medium</v>
      </c>
      <c r="N1218">
        <f>(winequality_red[[#This Row],[Updated Quality &amp; Alcohol Analysis]]+winequality_red[[#This Row],[volatile acidity]]+winequality_red[[#This Row],[citric acid]])</f>
        <v>8.7800000000000011</v>
      </c>
      <c r="O1218">
        <f t="shared" ref="O1218:O1281" si="153">($B1218*$J1218)/$K1218</f>
        <v>4.1399999999999992E-2</v>
      </c>
      <c r="S1218" t="e">
        <f t="shared" si="146"/>
        <v>#N/A</v>
      </c>
      <c r="T1218" t="e">
        <f t="shared" si="147"/>
        <v>#N/A</v>
      </c>
      <c r="U1218">
        <f t="shared" si="148"/>
        <v>9.5</v>
      </c>
      <c r="V1218">
        <f t="shared" si="149"/>
        <v>6</v>
      </c>
      <c r="W1218" t="e">
        <f t="shared" si="150"/>
        <v>#N/A</v>
      </c>
      <c r="X1218" t="e">
        <f t="shared" si="151"/>
        <v>#N/A</v>
      </c>
    </row>
    <row r="1219" spans="1:24" x14ac:dyDescent="0.3">
      <c r="A1219">
        <v>8.1999999999999993</v>
      </c>
      <c r="B1219">
        <v>0.34</v>
      </c>
      <c r="C1219">
        <v>0.37</v>
      </c>
      <c r="D1219">
        <v>1.9</v>
      </c>
      <c r="E1219">
        <v>5.7000000000000002E-2</v>
      </c>
      <c r="F1219">
        <v>43</v>
      </c>
      <c r="G1219">
        <v>74</v>
      </c>
      <c r="H1219">
        <v>0.99407999999999996</v>
      </c>
      <c r="I1219">
        <v>3.23</v>
      </c>
      <c r="J1219">
        <v>0.81</v>
      </c>
      <c r="K1219">
        <v>12</v>
      </c>
      <c r="L1219">
        <v>6</v>
      </c>
      <c r="M1219" t="str">
        <f t="shared" si="152"/>
        <v>Medium</v>
      </c>
      <c r="N1219">
        <f>(winequality_red[[#This Row],[Updated Quality &amp; Alcohol Analysis]]+winequality_red[[#This Row],[volatile acidity]]+winequality_red[[#This Row],[citric acid]])</f>
        <v>8.9099999999999984</v>
      </c>
      <c r="O1219">
        <f t="shared" si="153"/>
        <v>2.2950000000000002E-2</v>
      </c>
      <c r="S1219" t="e">
        <f t="shared" ref="S1219:S1282" si="154">IF($M1219="Low",$K1219,NA())</f>
        <v>#N/A</v>
      </c>
      <c r="T1219" t="e">
        <f t="shared" ref="T1219:T1282" si="155">IF($M1219="Low",$L1219,NA())</f>
        <v>#N/A</v>
      </c>
      <c r="U1219">
        <f t="shared" ref="U1219:U1282" si="156">IF($M1219="Medium",$K1219,NA())</f>
        <v>12</v>
      </c>
      <c r="V1219">
        <f t="shared" ref="V1219:V1282" si="157">IF($M1219="Medium",$L1219,NA())</f>
        <v>6</v>
      </c>
      <c r="W1219" t="e">
        <f t="shared" ref="W1219:W1282" si="158">IF($M1219="High",$K1219,NA())</f>
        <v>#N/A</v>
      </c>
      <c r="X1219" t="e">
        <f t="shared" ref="X1219:X1282" si="159">IF($M1219="High",$L1219,NA())</f>
        <v>#N/A</v>
      </c>
    </row>
    <row r="1220" spans="1:24" x14ac:dyDescent="0.3">
      <c r="A1220">
        <v>8.1999999999999993</v>
      </c>
      <c r="B1220">
        <v>0.4</v>
      </c>
      <c r="C1220">
        <v>0.31</v>
      </c>
      <c r="D1220">
        <v>1.9</v>
      </c>
      <c r="E1220">
        <v>8.199999999999999E-2</v>
      </c>
      <c r="F1220">
        <v>8</v>
      </c>
      <c r="G1220">
        <v>24</v>
      </c>
      <c r="H1220">
        <v>0.996</v>
      </c>
      <c r="I1220">
        <v>3.24</v>
      </c>
      <c r="J1220">
        <v>0.69</v>
      </c>
      <c r="K1220">
        <v>10.6</v>
      </c>
      <c r="L1220">
        <v>6</v>
      </c>
      <c r="M1220" t="str">
        <f t="shared" si="152"/>
        <v>Medium</v>
      </c>
      <c r="N1220">
        <f>(winequality_red[[#This Row],[Updated Quality &amp; Alcohol Analysis]]+winequality_red[[#This Row],[volatile acidity]]+winequality_red[[#This Row],[citric acid]])</f>
        <v>8.91</v>
      </c>
      <c r="O1220">
        <f t="shared" si="153"/>
        <v>2.6037735849056602E-2</v>
      </c>
      <c r="S1220" t="e">
        <f t="shared" si="154"/>
        <v>#N/A</v>
      </c>
      <c r="T1220" t="e">
        <f t="shared" si="155"/>
        <v>#N/A</v>
      </c>
      <c r="U1220">
        <f t="shared" si="156"/>
        <v>10.6</v>
      </c>
      <c r="V1220">
        <f t="shared" si="157"/>
        <v>6</v>
      </c>
      <c r="W1220" t="e">
        <f t="shared" si="158"/>
        <v>#N/A</v>
      </c>
      <c r="X1220" t="e">
        <f t="shared" si="159"/>
        <v>#N/A</v>
      </c>
    </row>
    <row r="1221" spans="1:24" x14ac:dyDescent="0.3">
      <c r="A1221">
        <v>9</v>
      </c>
      <c r="B1221">
        <v>0.39</v>
      </c>
      <c r="C1221">
        <v>0.4</v>
      </c>
      <c r="D1221">
        <v>1.3</v>
      </c>
      <c r="E1221">
        <v>4.4000000000000004E-2</v>
      </c>
      <c r="F1221">
        <v>25</v>
      </c>
      <c r="G1221">
        <v>50</v>
      </c>
      <c r="H1221">
        <v>0.99477999999999989</v>
      </c>
      <c r="I1221">
        <v>3.2</v>
      </c>
      <c r="J1221">
        <v>0.83</v>
      </c>
      <c r="K1221">
        <v>10.9</v>
      </c>
      <c r="L1221">
        <v>6</v>
      </c>
      <c r="M1221" t="str">
        <f t="shared" si="152"/>
        <v>Medium</v>
      </c>
      <c r="N1221">
        <f>(winequality_red[[#This Row],[Updated Quality &amp; Alcohol Analysis]]+winequality_red[[#This Row],[volatile acidity]]+winequality_red[[#This Row],[citric acid]])</f>
        <v>9.7900000000000009</v>
      </c>
      <c r="O1221">
        <f t="shared" si="153"/>
        <v>2.9697247706422018E-2</v>
      </c>
      <c r="S1221" t="e">
        <f t="shared" si="154"/>
        <v>#N/A</v>
      </c>
      <c r="T1221" t="e">
        <f t="shared" si="155"/>
        <v>#N/A</v>
      </c>
      <c r="U1221">
        <f t="shared" si="156"/>
        <v>10.9</v>
      </c>
      <c r="V1221">
        <f t="shared" si="157"/>
        <v>6</v>
      </c>
      <c r="W1221" t="e">
        <f t="shared" si="158"/>
        <v>#N/A</v>
      </c>
      <c r="X1221" t="e">
        <f t="shared" si="159"/>
        <v>#N/A</v>
      </c>
    </row>
    <row r="1222" spans="1:24" x14ac:dyDescent="0.3">
      <c r="A1222">
        <v>10.9</v>
      </c>
      <c r="B1222">
        <v>0.32</v>
      </c>
      <c r="C1222">
        <v>0.52</v>
      </c>
      <c r="D1222">
        <v>1.8</v>
      </c>
      <c r="E1222">
        <v>0.13200000000000001</v>
      </c>
      <c r="F1222">
        <v>17</v>
      </c>
      <c r="G1222">
        <v>44</v>
      </c>
      <c r="H1222">
        <v>0.99734</v>
      </c>
      <c r="I1222">
        <v>3.28</v>
      </c>
      <c r="J1222">
        <v>0.77</v>
      </c>
      <c r="K1222">
        <v>11.5</v>
      </c>
      <c r="L1222">
        <v>6</v>
      </c>
      <c r="M1222" t="str">
        <f t="shared" si="152"/>
        <v>Medium</v>
      </c>
      <c r="N1222">
        <f>(winequality_red[[#This Row],[Updated Quality &amp; Alcohol Analysis]]+winequality_red[[#This Row],[volatile acidity]]+winequality_red[[#This Row],[citric acid]])</f>
        <v>11.74</v>
      </c>
      <c r="O1222">
        <f t="shared" si="153"/>
        <v>2.1426086956521741E-2</v>
      </c>
      <c r="S1222" t="e">
        <f t="shared" si="154"/>
        <v>#N/A</v>
      </c>
      <c r="T1222" t="e">
        <f t="shared" si="155"/>
        <v>#N/A</v>
      </c>
      <c r="U1222">
        <f t="shared" si="156"/>
        <v>11.5</v>
      </c>
      <c r="V1222">
        <f t="shared" si="157"/>
        <v>6</v>
      </c>
      <c r="W1222" t="e">
        <f t="shared" si="158"/>
        <v>#N/A</v>
      </c>
      <c r="X1222" t="e">
        <f t="shared" si="159"/>
        <v>#N/A</v>
      </c>
    </row>
    <row r="1223" spans="1:24" x14ac:dyDescent="0.3">
      <c r="A1223">
        <v>10.9</v>
      </c>
      <c r="B1223">
        <v>0.32</v>
      </c>
      <c r="C1223">
        <v>0.52</v>
      </c>
      <c r="D1223">
        <v>1.8</v>
      </c>
      <c r="E1223">
        <v>0.13200000000000001</v>
      </c>
      <c r="F1223">
        <v>17</v>
      </c>
      <c r="G1223">
        <v>44</v>
      </c>
      <c r="H1223">
        <v>0.99734</v>
      </c>
      <c r="I1223">
        <v>3.28</v>
      </c>
      <c r="J1223">
        <v>0.77</v>
      </c>
      <c r="K1223">
        <v>11.5</v>
      </c>
      <c r="L1223">
        <v>6</v>
      </c>
      <c r="M1223" t="str">
        <f t="shared" si="152"/>
        <v>Medium</v>
      </c>
      <c r="N1223">
        <f>(winequality_red[[#This Row],[Updated Quality &amp; Alcohol Analysis]]+winequality_red[[#This Row],[volatile acidity]]+winequality_red[[#This Row],[citric acid]])</f>
        <v>11.74</v>
      </c>
      <c r="O1223">
        <f t="shared" si="153"/>
        <v>2.1426086956521741E-2</v>
      </c>
      <c r="S1223" t="e">
        <f t="shared" si="154"/>
        <v>#N/A</v>
      </c>
      <c r="T1223" t="e">
        <f t="shared" si="155"/>
        <v>#N/A</v>
      </c>
      <c r="U1223">
        <f t="shared" si="156"/>
        <v>11.5</v>
      </c>
      <c r="V1223">
        <f t="shared" si="157"/>
        <v>6</v>
      </c>
      <c r="W1223" t="e">
        <f t="shared" si="158"/>
        <v>#N/A</v>
      </c>
      <c r="X1223" t="e">
        <f t="shared" si="159"/>
        <v>#N/A</v>
      </c>
    </row>
    <row r="1224" spans="1:24" x14ac:dyDescent="0.3">
      <c r="A1224">
        <v>8.1</v>
      </c>
      <c r="B1224">
        <v>0.53</v>
      </c>
      <c r="C1224">
        <v>0.22</v>
      </c>
      <c r="D1224">
        <v>2.2000000000000002</v>
      </c>
      <c r="E1224">
        <v>7.8E-2</v>
      </c>
      <c r="F1224">
        <v>33</v>
      </c>
      <c r="G1224">
        <v>89</v>
      </c>
      <c r="H1224">
        <v>0.99677999999999989</v>
      </c>
      <c r="I1224">
        <v>3.26</v>
      </c>
      <c r="J1224">
        <v>0.46</v>
      </c>
      <c r="K1224">
        <v>9.6</v>
      </c>
      <c r="L1224">
        <v>6</v>
      </c>
      <c r="M1224" t="str">
        <f t="shared" si="152"/>
        <v>Medium</v>
      </c>
      <c r="N1224">
        <f>(winequality_red[[#This Row],[Updated Quality &amp; Alcohol Analysis]]+winequality_red[[#This Row],[volatile acidity]]+winequality_red[[#This Row],[citric acid]])</f>
        <v>8.85</v>
      </c>
      <c r="O1224">
        <f t="shared" si="153"/>
        <v>2.5395833333333336E-2</v>
      </c>
      <c r="S1224" t="e">
        <f t="shared" si="154"/>
        <v>#N/A</v>
      </c>
      <c r="T1224" t="e">
        <f t="shared" si="155"/>
        <v>#N/A</v>
      </c>
      <c r="U1224">
        <f t="shared" si="156"/>
        <v>9.6</v>
      </c>
      <c r="V1224">
        <f t="shared" si="157"/>
        <v>6</v>
      </c>
      <c r="W1224" t="e">
        <f t="shared" si="158"/>
        <v>#N/A</v>
      </c>
      <c r="X1224" t="e">
        <f t="shared" si="159"/>
        <v>#N/A</v>
      </c>
    </row>
    <row r="1225" spans="1:24" x14ac:dyDescent="0.3">
      <c r="A1225">
        <v>10.5</v>
      </c>
      <c r="B1225">
        <v>0.36</v>
      </c>
      <c r="C1225">
        <v>0.47</v>
      </c>
      <c r="D1225">
        <v>2.2000000000000002</v>
      </c>
      <c r="E1225">
        <v>7.400000000000001E-2</v>
      </c>
      <c r="F1225">
        <v>9</v>
      </c>
      <c r="G1225">
        <v>23</v>
      </c>
      <c r="H1225">
        <v>0.99637999999999993</v>
      </c>
      <c r="I1225">
        <v>3.23</v>
      </c>
      <c r="J1225">
        <v>0.76</v>
      </c>
      <c r="K1225">
        <v>12</v>
      </c>
      <c r="L1225">
        <v>6</v>
      </c>
      <c r="M1225" t="str">
        <f t="shared" si="152"/>
        <v>Medium</v>
      </c>
      <c r="N1225">
        <f>(winequality_red[[#This Row],[Updated Quality &amp; Alcohol Analysis]]+winequality_red[[#This Row],[volatile acidity]]+winequality_red[[#This Row],[citric acid]])</f>
        <v>11.33</v>
      </c>
      <c r="O1225">
        <f t="shared" si="153"/>
        <v>2.2800000000000001E-2</v>
      </c>
      <c r="S1225" t="e">
        <f t="shared" si="154"/>
        <v>#N/A</v>
      </c>
      <c r="T1225" t="e">
        <f t="shared" si="155"/>
        <v>#N/A</v>
      </c>
      <c r="U1225">
        <f t="shared" si="156"/>
        <v>12</v>
      </c>
      <c r="V1225">
        <f t="shared" si="157"/>
        <v>6</v>
      </c>
      <c r="W1225" t="e">
        <f t="shared" si="158"/>
        <v>#N/A</v>
      </c>
      <c r="X1225" t="e">
        <f t="shared" si="159"/>
        <v>#N/A</v>
      </c>
    </row>
    <row r="1226" spans="1:24" x14ac:dyDescent="0.3">
      <c r="A1226">
        <v>12.6</v>
      </c>
      <c r="B1226">
        <v>0.39</v>
      </c>
      <c r="C1226">
        <v>0.49</v>
      </c>
      <c r="D1226">
        <v>2.5</v>
      </c>
      <c r="E1226">
        <v>0.08</v>
      </c>
      <c r="F1226">
        <v>8</v>
      </c>
      <c r="G1226">
        <v>20</v>
      </c>
      <c r="H1226">
        <v>0.99919999999999998</v>
      </c>
      <c r="I1226">
        <v>3.07</v>
      </c>
      <c r="J1226">
        <v>0.82</v>
      </c>
      <c r="K1226">
        <v>10.3</v>
      </c>
      <c r="L1226">
        <v>6</v>
      </c>
      <c r="M1226" t="str">
        <f t="shared" si="152"/>
        <v>Medium</v>
      </c>
      <c r="N1226">
        <f>(winequality_red[[#This Row],[Updated Quality &amp; Alcohol Analysis]]+winequality_red[[#This Row],[volatile acidity]]+winequality_red[[#This Row],[citric acid]])</f>
        <v>13.48</v>
      </c>
      <c r="O1226">
        <f t="shared" si="153"/>
        <v>3.1048543689320383E-2</v>
      </c>
      <c r="S1226" t="e">
        <f t="shared" si="154"/>
        <v>#N/A</v>
      </c>
      <c r="T1226" t="e">
        <f t="shared" si="155"/>
        <v>#N/A</v>
      </c>
      <c r="U1226">
        <f t="shared" si="156"/>
        <v>10.3</v>
      </c>
      <c r="V1226">
        <f t="shared" si="157"/>
        <v>6</v>
      </c>
      <c r="W1226" t="e">
        <f t="shared" si="158"/>
        <v>#N/A</v>
      </c>
      <c r="X1226" t="e">
        <f t="shared" si="159"/>
        <v>#N/A</v>
      </c>
    </row>
    <row r="1227" spans="1:24" x14ac:dyDescent="0.3">
      <c r="A1227">
        <v>9.1999999999999993</v>
      </c>
      <c r="B1227">
        <v>0.46</v>
      </c>
      <c r="C1227">
        <v>0.23</v>
      </c>
      <c r="D1227">
        <v>2.6</v>
      </c>
      <c r="E1227">
        <v>9.0999999999999998E-2</v>
      </c>
      <c r="F1227">
        <v>18</v>
      </c>
      <c r="G1227">
        <v>77</v>
      </c>
      <c r="H1227">
        <v>0.99922000000000011</v>
      </c>
      <c r="I1227">
        <v>3.15</v>
      </c>
      <c r="J1227">
        <v>0.51</v>
      </c>
      <c r="K1227">
        <v>9.4</v>
      </c>
      <c r="L1227">
        <v>5</v>
      </c>
      <c r="M1227" t="str">
        <f t="shared" si="152"/>
        <v>Medium</v>
      </c>
      <c r="N1227">
        <f>(winequality_red[[#This Row],[Updated Quality &amp; Alcohol Analysis]]+winequality_red[[#This Row],[volatile acidity]]+winequality_red[[#This Row],[citric acid]])</f>
        <v>9.89</v>
      </c>
      <c r="O1227">
        <f t="shared" si="153"/>
        <v>2.4957446808510638E-2</v>
      </c>
      <c r="S1227" t="e">
        <f t="shared" si="154"/>
        <v>#N/A</v>
      </c>
      <c r="T1227" t="e">
        <f t="shared" si="155"/>
        <v>#N/A</v>
      </c>
      <c r="U1227">
        <f t="shared" si="156"/>
        <v>9.4</v>
      </c>
      <c r="V1227">
        <f t="shared" si="157"/>
        <v>5</v>
      </c>
      <c r="W1227" t="e">
        <f t="shared" si="158"/>
        <v>#N/A</v>
      </c>
      <c r="X1227" t="e">
        <f t="shared" si="159"/>
        <v>#N/A</v>
      </c>
    </row>
    <row r="1228" spans="1:24" x14ac:dyDescent="0.3">
      <c r="A1228">
        <v>7.5</v>
      </c>
      <c r="B1228">
        <v>0.57999999999999996</v>
      </c>
      <c r="C1228">
        <v>0.03</v>
      </c>
      <c r="D1228">
        <v>4.0999999999999996</v>
      </c>
      <c r="E1228">
        <v>0.08</v>
      </c>
      <c r="F1228">
        <v>27</v>
      </c>
      <c r="G1228">
        <v>46</v>
      </c>
      <c r="H1228">
        <v>0.99592000000000003</v>
      </c>
      <c r="I1228">
        <v>3.02</v>
      </c>
      <c r="J1228">
        <v>0.47</v>
      </c>
      <c r="K1228">
        <v>9.1999999999999993</v>
      </c>
      <c r="L1228">
        <v>5</v>
      </c>
      <c r="M1228" t="str">
        <f t="shared" si="152"/>
        <v>Medium</v>
      </c>
      <c r="N1228">
        <f>(winequality_red[[#This Row],[Updated Quality &amp; Alcohol Analysis]]+winequality_red[[#This Row],[volatile acidity]]+winequality_red[[#This Row],[citric acid]])</f>
        <v>8.11</v>
      </c>
      <c r="O1228">
        <f t="shared" si="153"/>
        <v>2.9630434782608694E-2</v>
      </c>
      <c r="S1228" t="e">
        <f t="shared" si="154"/>
        <v>#N/A</v>
      </c>
      <c r="T1228" t="e">
        <f t="shared" si="155"/>
        <v>#N/A</v>
      </c>
      <c r="U1228">
        <f t="shared" si="156"/>
        <v>9.1999999999999993</v>
      </c>
      <c r="V1228">
        <f t="shared" si="157"/>
        <v>5</v>
      </c>
      <c r="W1228" t="e">
        <f t="shared" si="158"/>
        <v>#N/A</v>
      </c>
      <c r="X1228" t="e">
        <f t="shared" si="159"/>
        <v>#N/A</v>
      </c>
    </row>
    <row r="1229" spans="1:24" x14ac:dyDescent="0.3">
      <c r="A1229">
        <v>9</v>
      </c>
      <c r="B1229">
        <v>0.57999999999999996</v>
      </c>
      <c r="C1229">
        <v>0.25</v>
      </c>
      <c r="D1229">
        <v>2</v>
      </c>
      <c r="E1229">
        <v>0.10400000000000001</v>
      </c>
      <c r="F1229">
        <v>8</v>
      </c>
      <c r="G1229">
        <v>21</v>
      </c>
      <c r="H1229">
        <v>0.99768999999999997</v>
      </c>
      <c r="I1229">
        <v>3.27</v>
      </c>
      <c r="J1229">
        <v>0.72</v>
      </c>
      <c r="K1229">
        <v>9.6</v>
      </c>
      <c r="L1229">
        <v>5</v>
      </c>
      <c r="M1229" t="str">
        <f t="shared" si="152"/>
        <v>Medium</v>
      </c>
      <c r="N1229">
        <f>(winequality_red[[#This Row],[Updated Quality &amp; Alcohol Analysis]]+winequality_red[[#This Row],[volatile acidity]]+winequality_red[[#This Row],[citric acid]])</f>
        <v>9.83</v>
      </c>
      <c r="O1229">
        <f t="shared" si="153"/>
        <v>4.3499999999999997E-2</v>
      </c>
      <c r="S1229" t="e">
        <f t="shared" si="154"/>
        <v>#N/A</v>
      </c>
      <c r="T1229" t="e">
        <f t="shared" si="155"/>
        <v>#N/A</v>
      </c>
      <c r="U1229">
        <f t="shared" si="156"/>
        <v>9.6</v>
      </c>
      <c r="V1229">
        <f t="shared" si="157"/>
        <v>5</v>
      </c>
      <c r="W1229" t="e">
        <f t="shared" si="158"/>
        <v>#N/A</v>
      </c>
      <c r="X1229" t="e">
        <f t="shared" si="159"/>
        <v>#N/A</v>
      </c>
    </row>
    <row r="1230" spans="1:24" x14ac:dyDescent="0.3">
      <c r="A1230">
        <v>5.0999999999999996</v>
      </c>
      <c r="B1230">
        <v>0.42</v>
      </c>
      <c r="C1230">
        <v>0</v>
      </c>
      <c r="D1230">
        <v>1.8</v>
      </c>
      <c r="E1230">
        <v>4.4000000000000004E-2</v>
      </c>
      <c r="F1230">
        <v>18</v>
      </c>
      <c r="G1230">
        <v>88</v>
      </c>
      <c r="H1230">
        <v>0.99157000000000006</v>
      </c>
      <c r="I1230">
        <v>3.68</v>
      </c>
      <c r="J1230">
        <v>0.73</v>
      </c>
      <c r="K1230">
        <v>13.6</v>
      </c>
      <c r="L1230">
        <v>7</v>
      </c>
      <c r="M1230" t="str">
        <f t="shared" si="152"/>
        <v>High</v>
      </c>
      <c r="N1230">
        <f>(winequality_red[[#This Row],[Updated Quality &amp; Alcohol Analysis]]+winequality_red[[#This Row],[volatile acidity]]+winequality_red[[#This Row],[citric acid]])</f>
        <v>5.52</v>
      </c>
      <c r="O1230">
        <f t="shared" si="153"/>
        <v>2.2544117647058822E-2</v>
      </c>
      <c r="S1230" t="e">
        <f t="shared" si="154"/>
        <v>#N/A</v>
      </c>
      <c r="T1230" t="e">
        <f t="shared" si="155"/>
        <v>#N/A</v>
      </c>
      <c r="U1230" t="e">
        <f t="shared" si="156"/>
        <v>#N/A</v>
      </c>
      <c r="V1230" t="e">
        <f t="shared" si="157"/>
        <v>#N/A</v>
      </c>
      <c r="W1230">
        <f t="shared" si="158"/>
        <v>13.6</v>
      </c>
      <c r="X1230">
        <f t="shared" si="159"/>
        <v>7</v>
      </c>
    </row>
    <row r="1231" spans="1:24" x14ac:dyDescent="0.3">
      <c r="A1231">
        <v>7.6</v>
      </c>
      <c r="B1231">
        <v>0.43</v>
      </c>
      <c r="C1231">
        <v>0.28999999999999998</v>
      </c>
      <c r="D1231">
        <v>2.1</v>
      </c>
      <c r="E1231">
        <v>7.4999999999999997E-2</v>
      </c>
      <c r="F1231">
        <v>19</v>
      </c>
      <c r="G1231">
        <v>66</v>
      </c>
      <c r="H1231">
        <v>0.99717999999999996</v>
      </c>
      <c r="I1231">
        <v>3.4</v>
      </c>
      <c r="J1231">
        <v>0.64</v>
      </c>
      <c r="K1231">
        <v>9.5</v>
      </c>
      <c r="L1231">
        <v>5</v>
      </c>
      <c r="M1231" t="str">
        <f t="shared" si="152"/>
        <v>Medium</v>
      </c>
      <c r="N1231">
        <f>(winequality_red[[#This Row],[Updated Quality &amp; Alcohol Analysis]]+winequality_red[[#This Row],[volatile acidity]]+winequality_red[[#This Row],[citric acid]])</f>
        <v>8.3199999999999985</v>
      </c>
      <c r="O1231">
        <f t="shared" si="153"/>
        <v>2.8968421052631577E-2</v>
      </c>
      <c r="S1231" t="e">
        <f t="shared" si="154"/>
        <v>#N/A</v>
      </c>
      <c r="T1231" t="e">
        <f t="shared" si="155"/>
        <v>#N/A</v>
      </c>
      <c r="U1231">
        <f t="shared" si="156"/>
        <v>9.5</v>
      </c>
      <c r="V1231">
        <f t="shared" si="157"/>
        <v>5</v>
      </c>
      <c r="W1231" t="e">
        <f t="shared" si="158"/>
        <v>#N/A</v>
      </c>
      <c r="X1231" t="e">
        <f t="shared" si="159"/>
        <v>#N/A</v>
      </c>
    </row>
    <row r="1232" spans="1:24" x14ac:dyDescent="0.3">
      <c r="A1232">
        <v>7.7</v>
      </c>
      <c r="B1232">
        <v>0.18</v>
      </c>
      <c r="C1232">
        <v>0.34</v>
      </c>
      <c r="D1232">
        <v>2.7</v>
      </c>
      <c r="E1232">
        <v>6.6000000000000003E-2</v>
      </c>
      <c r="F1232">
        <v>15</v>
      </c>
      <c r="G1232">
        <v>58</v>
      </c>
      <c r="H1232">
        <v>0.99470000000000003</v>
      </c>
      <c r="I1232">
        <v>3.37</v>
      </c>
      <c r="J1232">
        <v>0.78</v>
      </c>
      <c r="K1232">
        <v>11.8</v>
      </c>
      <c r="L1232">
        <v>6</v>
      </c>
      <c r="M1232" t="str">
        <f t="shared" si="152"/>
        <v>Medium</v>
      </c>
      <c r="N1232">
        <f>(winequality_red[[#This Row],[Updated Quality &amp; Alcohol Analysis]]+winequality_red[[#This Row],[volatile acidity]]+winequality_red[[#This Row],[citric acid]])</f>
        <v>8.2200000000000006</v>
      </c>
      <c r="O1232">
        <f t="shared" si="153"/>
        <v>1.1898305084745762E-2</v>
      </c>
      <c r="S1232" t="e">
        <f t="shared" si="154"/>
        <v>#N/A</v>
      </c>
      <c r="T1232" t="e">
        <f t="shared" si="155"/>
        <v>#N/A</v>
      </c>
      <c r="U1232">
        <f t="shared" si="156"/>
        <v>11.8</v>
      </c>
      <c r="V1232">
        <f t="shared" si="157"/>
        <v>6</v>
      </c>
      <c r="W1232" t="e">
        <f t="shared" si="158"/>
        <v>#N/A</v>
      </c>
      <c r="X1232" t="e">
        <f t="shared" si="159"/>
        <v>#N/A</v>
      </c>
    </row>
    <row r="1233" spans="1:24" x14ac:dyDescent="0.3">
      <c r="A1233">
        <v>7.8</v>
      </c>
      <c r="B1233">
        <v>0.81499999999999995</v>
      </c>
      <c r="C1233">
        <v>0.01</v>
      </c>
      <c r="D1233">
        <v>2.6</v>
      </c>
      <c r="E1233">
        <v>7.400000000000001E-2</v>
      </c>
      <c r="F1233">
        <v>48</v>
      </c>
      <c r="G1233">
        <v>90</v>
      </c>
      <c r="H1233">
        <v>0.99621000000000004</v>
      </c>
      <c r="I1233">
        <v>3.38</v>
      </c>
      <c r="J1233">
        <v>0.62</v>
      </c>
      <c r="K1233">
        <v>10.8</v>
      </c>
      <c r="L1233">
        <v>5</v>
      </c>
      <c r="M1233" t="str">
        <f t="shared" si="152"/>
        <v>Medium</v>
      </c>
      <c r="N1233">
        <f>(winequality_red[[#This Row],[Updated Quality &amp; Alcohol Analysis]]+winequality_red[[#This Row],[volatile acidity]]+winequality_red[[#This Row],[citric acid]])</f>
        <v>8.625</v>
      </c>
      <c r="O1233">
        <f t="shared" si="153"/>
        <v>4.678703703703703E-2</v>
      </c>
      <c r="S1233" t="e">
        <f t="shared" si="154"/>
        <v>#N/A</v>
      </c>
      <c r="T1233" t="e">
        <f t="shared" si="155"/>
        <v>#N/A</v>
      </c>
      <c r="U1233">
        <f t="shared" si="156"/>
        <v>10.8</v>
      </c>
      <c r="V1233">
        <f t="shared" si="157"/>
        <v>5</v>
      </c>
      <c r="W1233" t="e">
        <f t="shared" si="158"/>
        <v>#N/A</v>
      </c>
      <c r="X1233" t="e">
        <f t="shared" si="159"/>
        <v>#N/A</v>
      </c>
    </row>
    <row r="1234" spans="1:24" x14ac:dyDescent="0.3">
      <c r="A1234">
        <v>7.6</v>
      </c>
      <c r="B1234">
        <v>0.43</v>
      </c>
      <c r="C1234">
        <v>0.28999999999999998</v>
      </c>
      <c r="D1234">
        <v>2.1</v>
      </c>
      <c r="E1234">
        <v>7.4999999999999997E-2</v>
      </c>
      <c r="F1234">
        <v>19</v>
      </c>
      <c r="G1234">
        <v>66</v>
      </c>
      <c r="H1234">
        <v>0.99717999999999996</v>
      </c>
      <c r="I1234">
        <v>3.4</v>
      </c>
      <c r="J1234">
        <v>0.64</v>
      </c>
      <c r="K1234">
        <v>9.5</v>
      </c>
      <c r="L1234">
        <v>5</v>
      </c>
      <c r="M1234" t="str">
        <f t="shared" si="152"/>
        <v>Medium</v>
      </c>
      <c r="N1234">
        <f>(winequality_red[[#This Row],[Updated Quality &amp; Alcohol Analysis]]+winequality_red[[#This Row],[volatile acidity]]+winequality_red[[#This Row],[citric acid]])</f>
        <v>8.3199999999999985</v>
      </c>
      <c r="O1234">
        <f t="shared" si="153"/>
        <v>2.8968421052631577E-2</v>
      </c>
      <c r="S1234" t="e">
        <f t="shared" si="154"/>
        <v>#N/A</v>
      </c>
      <c r="T1234" t="e">
        <f t="shared" si="155"/>
        <v>#N/A</v>
      </c>
      <c r="U1234">
        <f t="shared" si="156"/>
        <v>9.5</v>
      </c>
      <c r="V1234">
        <f t="shared" si="157"/>
        <v>5</v>
      </c>
      <c r="W1234" t="e">
        <f t="shared" si="158"/>
        <v>#N/A</v>
      </c>
      <c r="X1234" t="e">
        <f t="shared" si="159"/>
        <v>#N/A</v>
      </c>
    </row>
    <row r="1235" spans="1:24" x14ac:dyDescent="0.3">
      <c r="A1235">
        <v>10.199999999999999</v>
      </c>
      <c r="B1235">
        <v>0.23</v>
      </c>
      <c r="C1235">
        <v>0.37</v>
      </c>
      <c r="D1235">
        <v>2.2000000000000002</v>
      </c>
      <c r="E1235">
        <v>5.7000000000000002E-2</v>
      </c>
      <c r="F1235">
        <v>14</v>
      </c>
      <c r="G1235">
        <v>36</v>
      </c>
      <c r="H1235">
        <v>0.99613999999999991</v>
      </c>
      <c r="I1235">
        <v>3.23</v>
      </c>
      <c r="J1235">
        <v>0.49</v>
      </c>
      <c r="K1235">
        <v>9.3000000000000007</v>
      </c>
      <c r="L1235">
        <v>4</v>
      </c>
      <c r="M1235" t="str">
        <f t="shared" si="152"/>
        <v>Low</v>
      </c>
      <c r="N1235">
        <f>(winequality_red[[#This Row],[Updated Quality &amp; Alcohol Analysis]]+winequality_red[[#This Row],[volatile acidity]]+winequality_red[[#This Row],[citric acid]])</f>
        <v>10.799999999999999</v>
      </c>
      <c r="O1235">
        <f t="shared" si="153"/>
        <v>1.2118279569892473E-2</v>
      </c>
      <c r="S1235">
        <f t="shared" si="154"/>
        <v>9.3000000000000007</v>
      </c>
      <c r="T1235">
        <f t="shared" si="155"/>
        <v>4</v>
      </c>
      <c r="U1235" t="e">
        <f t="shared" si="156"/>
        <v>#N/A</v>
      </c>
      <c r="V1235" t="e">
        <f t="shared" si="157"/>
        <v>#N/A</v>
      </c>
      <c r="W1235" t="e">
        <f t="shared" si="158"/>
        <v>#N/A</v>
      </c>
      <c r="X1235" t="e">
        <f t="shared" si="159"/>
        <v>#N/A</v>
      </c>
    </row>
    <row r="1236" spans="1:24" x14ac:dyDescent="0.3">
      <c r="A1236">
        <v>7.1</v>
      </c>
      <c r="B1236">
        <v>0.75</v>
      </c>
      <c r="C1236">
        <v>0.01</v>
      </c>
      <c r="D1236">
        <v>2.2000000000000002</v>
      </c>
      <c r="E1236">
        <v>5.9000000000000004E-2</v>
      </c>
      <c r="F1236">
        <v>11</v>
      </c>
      <c r="G1236">
        <v>18</v>
      </c>
      <c r="H1236">
        <v>0.99242000000000008</v>
      </c>
      <c r="I1236">
        <v>3.39</v>
      </c>
      <c r="J1236">
        <v>0.4</v>
      </c>
      <c r="K1236">
        <v>12.8</v>
      </c>
      <c r="L1236">
        <v>6</v>
      </c>
      <c r="M1236" t="str">
        <f t="shared" si="152"/>
        <v>Medium</v>
      </c>
      <c r="N1236">
        <f>(winequality_red[[#This Row],[Updated Quality &amp; Alcohol Analysis]]+winequality_red[[#This Row],[volatile acidity]]+winequality_red[[#This Row],[citric acid]])</f>
        <v>7.8599999999999994</v>
      </c>
      <c r="O1236">
        <f t="shared" si="153"/>
        <v>2.3437500000000003E-2</v>
      </c>
      <c r="S1236" t="e">
        <f t="shared" si="154"/>
        <v>#N/A</v>
      </c>
      <c r="T1236" t="e">
        <f t="shared" si="155"/>
        <v>#N/A</v>
      </c>
      <c r="U1236">
        <f t="shared" si="156"/>
        <v>12.8</v>
      </c>
      <c r="V1236">
        <f t="shared" si="157"/>
        <v>6</v>
      </c>
      <c r="W1236" t="e">
        <f t="shared" si="158"/>
        <v>#N/A</v>
      </c>
      <c r="X1236" t="e">
        <f t="shared" si="159"/>
        <v>#N/A</v>
      </c>
    </row>
    <row r="1237" spans="1:24" x14ac:dyDescent="0.3">
      <c r="A1237">
        <v>6</v>
      </c>
      <c r="B1237">
        <v>0.33</v>
      </c>
      <c r="C1237">
        <v>0.32</v>
      </c>
      <c r="D1237">
        <v>12.9</v>
      </c>
      <c r="E1237">
        <v>5.4000000000000006E-2</v>
      </c>
      <c r="F1237">
        <v>6</v>
      </c>
      <c r="G1237">
        <v>113</v>
      </c>
      <c r="H1237">
        <v>0.99572000000000005</v>
      </c>
      <c r="I1237">
        <v>3.3</v>
      </c>
      <c r="J1237">
        <v>0.56000000000000005</v>
      </c>
      <c r="K1237">
        <v>11.5</v>
      </c>
      <c r="L1237">
        <v>4</v>
      </c>
      <c r="M1237" t="str">
        <f t="shared" si="152"/>
        <v>Low</v>
      </c>
      <c r="N1237">
        <f>(winequality_red[[#This Row],[Updated Quality &amp; Alcohol Analysis]]+winequality_red[[#This Row],[volatile acidity]]+winequality_red[[#This Row],[citric acid]])</f>
        <v>6.65</v>
      </c>
      <c r="O1237">
        <f t="shared" si="153"/>
        <v>1.6069565217391307E-2</v>
      </c>
      <c r="S1237">
        <f t="shared" si="154"/>
        <v>11.5</v>
      </c>
      <c r="T1237">
        <f t="shared" si="155"/>
        <v>4</v>
      </c>
      <c r="U1237" t="e">
        <f t="shared" si="156"/>
        <v>#N/A</v>
      </c>
      <c r="V1237" t="e">
        <f t="shared" si="157"/>
        <v>#N/A</v>
      </c>
      <c r="W1237" t="e">
        <f t="shared" si="158"/>
        <v>#N/A</v>
      </c>
      <c r="X1237" t="e">
        <f t="shared" si="159"/>
        <v>#N/A</v>
      </c>
    </row>
    <row r="1238" spans="1:24" x14ac:dyDescent="0.3">
      <c r="A1238">
        <v>7.8</v>
      </c>
      <c r="B1238">
        <v>0.55000000000000004</v>
      </c>
      <c r="C1238">
        <v>0</v>
      </c>
      <c r="D1238">
        <v>1.7</v>
      </c>
      <c r="E1238">
        <v>7.0000000000000007E-2</v>
      </c>
      <c r="F1238">
        <v>7</v>
      </c>
      <c r="G1238">
        <v>17</v>
      </c>
      <c r="H1238">
        <v>0.99658999999999998</v>
      </c>
      <c r="I1238">
        <v>3.26</v>
      </c>
      <c r="J1238">
        <v>0.64</v>
      </c>
      <c r="K1238">
        <v>9.4</v>
      </c>
      <c r="L1238">
        <v>6</v>
      </c>
      <c r="M1238" t="str">
        <f t="shared" si="152"/>
        <v>Medium</v>
      </c>
      <c r="N1238">
        <f>(winequality_red[[#This Row],[Updated Quality &amp; Alcohol Analysis]]+winequality_red[[#This Row],[volatile acidity]]+winequality_red[[#This Row],[citric acid]])</f>
        <v>8.35</v>
      </c>
      <c r="O1238">
        <f t="shared" si="153"/>
        <v>3.7446808510638301E-2</v>
      </c>
      <c r="S1238" t="e">
        <f t="shared" si="154"/>
        <v>#N/A</v>
      </c>
      <c r="T1238" t="e">
        <f t="shared" si="155"/>
        <v>#N/A</v>
      </c>
      <c r="U1238">
        <f t="shared" si="156"/>
        <v>9.4</v>
      </c>
      <c r="V1238">
        <f t="shared" si="157"/>
        <v>6</v>
      </c>
      <c r="W1238" t="e">
        <f t="shared" si="158"/>
        <v>#N/A</v>
      </c>
      <c r="X1238" t="e">
        <f t="shared" si="159"/>
        <v>#N/A</v>
      </c>
    </row>
    <row r="1239" spans="1:24" x14ac:dyDescent="0.3">
      <c r="A1239">
        <v>7.1</v>
      </c>
      <c r="B1239">
        <v>0.75</v>
      </c>
      <c r="C1239">
        <v>0.01</v>
      </c>
      <c r="D1239">
        <v>2.2000000000000002</v>
      </c>
      <c r="E1239">
        <v>5.9000000000000004E-2</v>
      </c>
      <c r="F1239">
        <v>11</v>
      </c>
      <c r="G1239">
        <v>18</v>
      </c>
      <c r="H1239">
        <v>0.99242000000000008</v>
      </c>
      <c r="I1239">
        <v>3.39</v>
      </c>
      <c r="J1239">
        <v>0.4</v>
      </c>
      <c r="K1239">
        <v>12.8</v>
      </c>
      <c r="L1239">
        <v>6</v>
      </c>
      <c r="M1239" t="str">
        <f t="shared" si="152"/>
        <v>Medium</v>
      </c>
      <c r="N1239">
        <f>(winequality_red[[#This Row],[Updated Quality &amp; Alcohol Analysis]]+winequality_red[[#This Row],[volatile acidity]]+winequality_red[[#This Row],[citric acid]])</f>
        <v>7.8599999999999994</v>
      </c>
      <c r="O1239">
        <f t="shared" si="153"/>
        <v>2.3437500000000003E-2</v>
      </c>
      <c r="S1239" t="e">
        <f t="shared" si="154"/>
        <v>#N/A</v>
      </c>
      <c r="T1239" t="e">
        <f t="shared" si="155"/>
        <v>#N/A</v>
      </c>
      <c r="U1239">
        <f t="shared" si="156"/>
        <v>12.8</v>
      </c>
      <c r="V1239">
        <f t="shared" si="157"/>
        <v>6</v>
      </c>
      <c r="W1239" t="e">
        <f t="shared" si="158"/>
        <v>#N/A</v>
      </c>
      <c r="X1239" t="e">
        <f t="shared" si="159"/>
        <v>#N/A</v>
      </c>
    </row>
    <row r="1240" spans="1:24" x14ac:dyDescent="0.3">
      <c r="A1240">
        <v>8.1</v>
      </c>
      <c r="B1240">
        <v>0.73</v>
      </c>
      <c r="C1240">
        <v>0</v>
      </c>
      <c r="D1240">
        <v>2.5</v>
      </c>
      <c r="E1240">
        <v>8.1000000000000003E-2</v>
      </c>
      <c r="F1240">
        <v>12</v>
      </c>
      <c r="G1240">
        <v>24</v>
      </c>
      <c r="H1240">
        <v>0.99797999999999998</v>
      </c>
      <c r="I1240">
        <v>3.38</v>
      </c>
      <c r="J1240">
        <v>0.46</v>
      </c>
      <c r="K1240">
        <v>9.6</v>
      </c>
      <c r="L1240">
        <v>4</v>
      </c>
      <c r="M1240" t="str">
        <f t="shared" si="152"/>
        <v>Low</v>
      </c>
      <c r="N1240">
        <f>(winequality_red[[#This Row],[Updated Quality &amp; Alcohol Analysis]]+winequality_red[[#This Row],[volatile acidity]]+winequality_red[[#This Row],[citric acid]])</f>
        <v>8.83</v>
      </c>
      <c r="O1240">
        <f t="shared" si="153"/>
        <v>3.4979166666666665E-2</v>
      </c>
      <c r="S1240">
        <f t="shared" si="154"/>
        <v>9.6</v>
      </c>
      <c r="T1240">
        <f t="shared" si="155"/>
        <v>4</v>
      </c>
      <c r="U1240" t="e">
        <f t="shared" si="156"/>
        <v>#N/A</v>
      </c>
      <c r="V1240" t="e">
        <f t="shared" si="157"/>
        <v>#N/A</v>
      </c>
      <c r="W1240" t="e">
        <f t="shared" si="158"/>
        <v>#N/A</v>
      </c>
      <c r="X1240" t="e">
        <f t="shared" si="159"/>
        <v>#N/A</v>
      </c>
    </row>
    <row r="1241" spans="1:24" x14ac:dyDescent="0.3">
      <c r="A1241">
        <v>6.5</v>
      </c>
      <c r="B1241">
        <v>0.67</v>
      </c>
      <c r="C1241">
        <v>0</v>
      </c>
      <c r="D1241">
        <v>4.3</v>
      </c>
      <c r="E1241">
        <v>5.7000000000000002E-2</v>
      </c>
      <c r="F1241">
        <v>11</v>
      </c>
      <c r="G1241">
        <v>20</v>
      </c>
      <c r="H1241">
        <v>0.99487999999999988</v>
      </c>
      <c r="I1241">
        <v>3.45</v>
      </c>
      <c r="J1241">
        <v>0.56000000000000005</v>
      </c>
      <c r="K1241">
        <v>11.8</v>
      </c>
      <c r="L1241">
        <v>4</v>
      </c>
      <c r="M1241" t="str">
        <f t="shared" si="152"/>
        <v>Low</v>
      </c>
      <c r="N1241">
        <f>(winequality_red[[#This Row],[Updated Quality &amp; Alcohol Analysis]]+winequality_red[[#This Row],[volatile acidity]]+winequality_red[[#This Row],[citric acid]])</f>
        <v>7.17</v>
      </c>
      <c r="O1241">
        <f t="shared" si="153"/>
        <v>3.1796610169491528E-2</v>
      </c>
      <c r="S1241">
        <f t="shared" si="154"/>
        <v>11.8</v>
      </c>
      <c r="T1241">
        <f t="shared" si="155"/>
        <v>4</v>
      </c>
      <c r="U1241" t="e">
        <f t="shared" si="156"/>
        <v>#N/A</v>
      </c>
      <c r="V1241" t="e">
        <f t="shared" si="157"/>
        <v>#N/A</v>
      </c>
      <c r="W1241" t="e">
        <f t="shared" si="158"/>
        <v>#N/A</v>
      </c>
      <c r="X1241" t="e">
        <f t="shared" si="159"/>
        <v>#N/A</v>
      </c>
    </row>
    <row r="1242" spans="1:24" x14ac:dyDescent="0.3">
      <c r="A1242">
        <v>7.5</v>
      </c>
      <c r="B1242">
        <v>0.61</v>
      </c>
      <c r="C1242">
        <v>0.2</v>
      </c>
      <c r="D1242">
        <v>1.7</v>
      </c>
      <c r="E1242">
        <v>7.5999999999999998E-2</v>
      </c>
      <c r="F1242">
        <v>36</v>
      </c>
      <c r="G1242">
        <v>60</v>
      </c>
      <c r="H1242">
        <v>0.99493999999999994</v>
      </c>
      <c r="I1242">
        <v>3.1</v>
      </c>
      <c r="J1242">
        <v>0.4</v>
      </c>
      <c r="K1242">
        <v>9.3000000000000007</v>
      </c>
      <c r="L1242">
        <v>5</v>
      </c>
      <c r="M1242" t="str">
        <f t="shared" si="152"/>
        <v>Medium</v>
      </c>
      <c r="N1242">
        <f>(winequality_red[[#This Row],[Updated Quality &amp; Alcohol Analysis]]+winequality_red[[#This Row],[volatile acidity]]+winequality_red[[#This Row],[citric acid]])</f>
        <v>8.3099999999999987</v>
      </c>
      <c r="O1242">
        <f t="shared" si="153"/>
        <v>2.6236559139784944E-2</v>
      </c>
      <c r="S1242" t="e">
        <f t="shared" si="154"/>
        <v>#N/A</v>
      </c>
      <c r="T1242" t="e">
        <f t="shared" si="155"/>
        <v>#N/A</v>
      </c>
      <c r="U1242">
        <f t="shared" si="156"/>
        <v>9.3000000000000007</v>
      </c>
      <c r="V1242">
        <f t="shared" si="157"/>
        <v>5</v>
      </c>
      <c r="W1242" t="e">
        <f t="shared" si="158"/>
        <v>#N/A</v>
      </c>
      <c r="X1242" t="e">
        <f t="shared" si="159"/>
        <v>#N/A</v>
      </c>
    </row>
    <row r="1243" spans="1:24" x14ac:dyDescent="0.3">
      <c r="A1243">
        <v>9.8000000000000007</v>
      </c>
      <c r="B1243">
        <v>0.37</v>
      </c>
      <c r="C1243">
        <v>0.39</v>
      </c>
      <c r="D1243">
        <v>2.5</v>
      </c>
      <c r="E1243">
        <v>7.9000000000000001E-2</v>
      </c>
      <c r="F1243">
        <v>28</v>
      </c>
      <c r="G1243">
        <v>65</v>
      </c>
      <c r="H1243">
        <v>0.99729000000000001</v>
      </c>
      <c r="I1243">
        <v>3.16</v>
      </c>
      <c r="J1243">
        <v>0.59</v>
      </c>
      <c r="K1243">
        <v>9.8000000000000007</v>
      </c>
      <c r="L1243">
        <v>5</v>
      </c>
      <c r="M1243" t="str">
        <f t="shared" si="152"/>
        <v>Medium</v>
      </c>
      <c r="N1243">
        <f>(winequality_red[[#This Row],[Updated Quality &amp; Alcohol Analysis]]+winequality_red[[#This Row],[volatile acidity]]+winequality_red[[#This Row],[citric acid]])</f>
        <v>10.56</v>
      </c>
      <c r="O1243">
        <f t="shared" si="153"/>
        <v>2.2275510204081632E-2</v>
      </c>
      <c r="S1243" t="e">
        <f t="shared" si="154"/>
        <v>#N/A</v>
      </c>
      <c r="T1243" t="e">
        <f t="shared" si="155"/>
        <v>#N/A</v>
      </c>
      <c r="U1243">
        <f t="shared" si="156"/>
        <v>9.8000000000000007</v>
      </c>
      <c r="V1243">
        <f t="shared" si="157"/>
        <v>5</v>
      </c>
      <c r="W1243" t="e">
        <f t="shared" si="158"/>
        <v>#N/A</v>
      </c>
      <c r="X1243" t="e">
        <f t="shared" si="159"/>
        <v>#N/A</v>
      </c>
    </row>
    <row r="1244" spans="1:24" x14ac:dyDescent="0.3">
      <c r="A1244">
        <v>9</v>
      </c>
      <c r="B1244">
        <v>0.4</v>
      </c>
      <c r="C1244">
        <v>0.41</v>
      </c>
      <c r="D1244">
        <v>2</v>
      </c>
      <c r="E1244">
        <v>5.7999999999999996E-2</v>
      </c>
      <c r="F1244">
        <v>15</v>
      </c>
      <c r="G1244">
        <v>40</v>
      </c>
      <c r="H1244">
        <v>0.99413999999999991</v>
      </c>
      <c r="I1244">
        <v>3.22</v>
      </c>
      <c r="J1244">
        <v>0.6</v>
      </c>
      <c r="K1244">
        <v>12.2</v>
      </c>
      <c r="L1244">
        <v>6</v>
      </c>
      <c r="M1244" t="str">
        <f t="shared" si="152"/>
        <v>Medium</v>
      </c>
      <c r="N1244">
        <f>(winequality_red[[#This Row],[Updated Quality &amp; Alcohol Analysis]]+winequality_red[[#This Row],[volatile acidity]]+winequality_red[[#This Row],[citric acid]])</f>
        <v>9.81</v>
      </c>
      <c r="O1244">
        <f t="shared" si="153"/>
        <v>1.9672131147540985E-2</v>
      </c>
      <c r="S1244" t="e">
        <f t="shared" si="154"/>
        <v>#N/A</v>
      </c>
      <c r="T1244" t="e">
        <f t="shared" si="155"/>
        <v>#N/A</v>
      </c>
      <c r="U1244">
        <f t="shared" si="156"/>
        <v>12.2</v>
      </c>
      <c r="V1244">
        <f t="shared" si="157"/>
        <v>6</v>
      </c>
      <c r="W1244" t="e">
        <f t="shared" si="158"/>
        <v>#N/A</v>
      </c>
      <c r="X1244" t="e">
        <f t="shared" si="159"/>
        <v>#N/A</v>
      </c>
    </row>
    <row r="1245" spans="1:24" x14ac:dyDescent="0.3">
      <c r="A1245">
        <v>8.3000000000000007</v>
      </c>
      <c r="B1245">
        <v>0.56000000000000005</v>
      </c>
      <c r="C1245">
        <v>0.22</v>
      </c>
      <c r="D1245">
        <v>2.4</v>
      </c>
      <c r="E1245">
        <v>8.199999999999999E-2</v>
      </c>
      <c r="F1245">
        <v>10</v>
      </c>
      <c r="G1245">
        <v>86</v>
      </c>
      <c r="H1245">
        <v>0.99829999999999997</v>
      </c>
      <c r="I1245">
        <v>3.37</v>
      </c>
      <c r="J1245">
        <v>0.62</v>
      </c>
      <c r="K1245">
        <v>9.5</v>
      </c>
      <c r="L1245">
        <v>5</v>
      </c>
      <c r="M1245" t="str">
        <f t="shared" si="152"/>
        <v>Medium</v>
      </c>
      <c r="N1245">
        <f>(winequality_red[[#This Row],[Updated Quality &amp; Alcohol Analysis]]+winequality_red[[#This Row],[volatile acidity]]+winequality_red[[#This Row],[citric acid]])</f>
        <v>9.0800000000000018</v>
      </c>
      <c r="O1245">
        <f t="shared" si="153"/>
        <v>3.6547368421052634E-2</v>
      </c>
      <c r="S1245" t="e">
        <f t="shared" si="154"/>
        <v>#N/A</v>
      </c>
      <c r="T1245" t="e">
        <f t="shared" si="155"/>
        <v>#N/A</v>
      </c>
      <c r="U1245">
        <f t="shared" si="156"/>
        <v>9.5</v>
      </c>
      <c r="V1245">
        <f t="shared" si="157"/>
        <v>5</v>
      </c>
      <c r="W1245" t="e">
        <f t="shared" si="158"/>
        <v>#N/A</v>
      </c>
      <c r="X1245" t="e">
        <f t="shared" si="159"/>
        <v>#N/A</v>
      </c>
    </row>
    <row r="1246" spans="1:24" x14ac:dyDescent="0.3">
      <c r="A1246">
        <v>5.9</v>
      </c>
      <c r="B1246">
        <v>0.28999999999999998</v>
      </c>
      <c r="C1246">
        <v>0.25</v>
      </c>
      <c r="D1246">
        <v>13.4</v>
      </c>
      <c r="E1246">
        <v>6.7000000000000004E-2</v>
      </c>
      <c r="F1246">
        <v>72</v>
      </c>
      <c r="G1246">
        <v>160</v>
      </c>
      <c r="H1246">
        <v>0.99721000000000004</v>
      </c>
      <c r="I1246">
        <v>3.33</v>
      </c>
      <c r="J1246">
        <v>0.54</v>
      </c>
      <c r="K1246">
        <v>10.3</v>
      </c>
      <c r="L1246">
        <v>6</v>
      </c>
      <c r="M1246" t="str">
        <f t="shared" si="152"/>
        <v>Medium</v>
      </c>
      <c r="N1246">
        <f>(winequality_red[[#This Row],[Updated Quality &amp; Alcohol Analysis]]+winequality_red[[#This Row],[volatile acidity]]+winequality_red[[#This Row],[citric acid]])</f>
        <v>6.44</v>
      </c>
      <c r="O1246">
        <f t="shared" si="153"/>
        <v>1.5203883495145629E-2</v>
      </c>
      <c r="S1246" t="e">
        <f t="shared" si="154"/>
        <v>#N/A</v>
      </c>
      <c r="T1246" t="e">
        <f t="shared" si="155"/>
        <v>#N/A</v>
      </c>
      <c r="U1246">
        <f t="shared" si="156"/>
        <v>10.3</v>
      </c>
      <c r="V1246">
        <f t="shared" si="157"/>
        <v>6</v>
      </c>
      <c r="W1246" t="e">
        <f t="shared" si="158"/>
        <v>#N/A</v>
      </c>
      <c r="X1246" t="e">
        <f t="shared" si="159"/>
        <v>#N/A</v>
      </c>
    </row>
    <row r="1247" spans="1:24" x14ac:dyDescent="0.3">
      <c r="A1247">
        <v>7.4</v>
      </c>
      <c r="B1247">
        <v>0.55000000000000004</v>
      </c>
      <c r="C1247">
        <v>0.19</v>
      </c>
      <c r="D1247">
        <v>1.8</v>
      </c>
      <c r="E1247">
        <v>8.199999999999999E-2</v>
      </c>
      <c r="F1247">
        <v>15</v>
      </c>
      <c r="G1247">
        <v>34</v>
      </c>
      <c r="H1247">
        <v>0.99655000000000005</v>
      </c>
      <c r="I1247">
        <v>3.49</v>
      </c>
      <c r="J1247">
        <v>0.68</v>
      </c>
      <c r="K1247">
        <v>10.5</v>
      </c>
      <c r="L1247">
        <v>5</v>
      </c>
      <c r="M1247" t="str">
        <f t="shared" si="152"/>
        <v>Medium</v>
      </c>
      <c r="N1247">
        <f>(winequality_red[[#This Row],[Updated Quality &amp; Alcohol Analysis]]+winequality_red[[#This Row],[volatile acidity]]+winequality_red[[#This Row],[citric acid]])</f>
        <v>8.14</v>
      </c>
      <c r="O1247">
        <f t="shared" si="153"/>
        <v>3.5619047619047627E-2</v>
      </c>
      <c r="S1247" t="e">
        <f t="shared" si="154"/>
        <v>#N/A</v>
      </c>
      <c r="T1247" t="e">
        <f t="shared" si="155"/>
        <v>#N/A</v>
      </c>
      <c r="U1247">
        <f t="shared" si="156"/>
        <v>10.5</v>
      </c>
      <c r="V1247">
        <f t="shared" si="157"/>
        <v>5</v>
      </c>
      <c r="W1247" t="e">
        <f t="shared" si="158"/>
        <v>#N/A</v>
      </c>
      <c r="X1247" t="e">
        <f t="shared" si="159"/>
        <v>#N/A</v>
      </c>
    </row>
    <row r="1248" spans="1:24" x14ac:dyDescent="0.3">
      <c r="A1248">
        <v>7.4</v>
      </c>
      <c r="B1248">
        <v>0.74</v>
      </c>
      <c r="C1248">
        <v>7.0000000000000007E-2</v>
      </c>
      <c r="D1248">
        <v>1.7</v>
      </c>
      <c r="E1248">
        <v>8.5999999999999993E-2</v>
      </c>
      <c r="F1248">
        <v>15</v>
      </c>
      <c r="G1248">
        <v>48</v>
      </c>
      <c r="H1248">
        <v>0.99502000000000013</v>
      </c>
      <c r="I1248">
        <v>3.12</v>
      </c>
      <c r="J1248">
        <v>0.48</v>
      </c>
      <c r="K1248">
        <v>10</v>
      </c>
      <c r="L1248">
        <v>5</v>
      </c>
      <c r="M1248" t="str">
        <f t="shared" si="152"/>
        <v>Medium</v>
      </c>
      <c r="N1248">
        <f>(winequality_red[[#This Row],[Updated Quality &amp; Alcohol Analysis]]+winequality_red[[#This Row],[volatile acidity]]+winequality_red[[#This Row],[citric acid]])</f>
        <v>8.2100000000000009</v>
      </c>
      <c r="O1248">
        <f t="shared" si="153"/>
        <v>3.5519999999999996E-2</v>
      </c>
      <c r="S1248" t="e">
        <f t="shared" si="154"/>
        <v>#N/A</v>
      </c>
      <c r="T1248" t="e">
        <f t="shared" si="155"/>
        <v>#N/A</v>
      </c>
      <c r="U1248">
        <f t="shared" si="156"/>
        <v>10</v>
      </c>
      <c r="V1248">
        <f t="shared" si="157"/>
        <v>5</v>
      </c>
      <c r="W1248" t="e">
        <f t="shared" si="158"/>
        <v>#N/A</v>
      </c>
      <c r="X1248" t="e">
        <f t="shared" si="159"/>
        <v>#N/A</v>
      </c>
    </row>
    <row r="1249" spans="1:24" x14ac:dyDescent="0.3">
      <c r="A1249">
        <v>7.4</v>
      </c>
      <c r="B1249">
        <v>0.55000000000000004</v>
      </c>
      <c r="C1249">
        <v>0.19</v>
      </c>
      <c r="D1249">
        <v>1.8</v>
      </c>
      <c r="E1249">
        <v>8.199999999999999E-2</v>
      </c>
      <c r="F1249">
        <v>15</v>
      </c>
      <c r="G1249">
        <v>34</v>
      </c>
      <c r="H1249">
        <v>0.99655000000000005</v>
      </c>
      <c r="I1249">
        <v>3.49</v>
      </c>
      <c r="J1249">
        <v>0.68</v>
      </c>
      <c r="K1249">
        <v>10.5</v>
      </c>
      <c r="L1249">
        <v>5</v>
      </c>
      <c r="M1249" t="str">
        <f t="shared" si="152"/>
        <v>Medium</v>
      </c>
      <c r="N1249">
        <f>(winequality_red[[#This Row],[Updated Quality &amp; Alcohol Analysis]]+winequality_red[[#This Row],[volatile acidity]]+winequality_red[[#This Row],[citric acid]])</f>
        <v>8.14</v>
      </c>
      <c r="O1249">
        <f t="shared" si="153"/>
        <v>3.5619047619047627E-2</v>
      </c>
      <c r="S1249" t="e">
        <f t="shared" si="154"/>
        <v>#N/A</v>
      </c>
      <c r="T1249" t="e">
        <f t="shared" si="155"/>
        <v>#N/A</v>
      </c>
      <c r="U1249">
        <f t="shared" si="156"/>
        <v>10.5</v>
      </c>
      <c r="V1249">
        <f t="shared" si="157"/>
        <v>5</v>
      </c>
      <c r="W1249" t="e">
        <f t="shared" si="158"/>
        <v>#N/A</v>
      </c>
      <c r="X1249" t="e">
        <f t="shared" si="159"/>
        <v>#N/A</v>
      </c>
    </row>
    <row r="1250" spans="1:24" x14ac:dyDescent="0.3">
      <c r="A1250">
        <v>6.9</v>
      </c>
      <c r="B1250">
        <v>0.41</v>
      </c>
      <c r="C1250">
        <v>0.33</v>
      </c>
      <c r="D1250">
        <v>2.2000000000000002</v>
      </c>
      <c r="E1250">
        <v>8.1000000000000003E-2</v>
      </c>
      <c r="F1250">
        <v>22</v>
      </c>
      <c r="G1250">
        <v>36</v>
      </c>
      <c r="H1250">
        <v>0.99490000000000001</v>
      </c>
      <c r="I1250">
        <v>3.41</v>
      </c>
      <c r="J1250">
        <v>0.75</v>
      </c>
      <c r="K1250">
        <v>11.1</v>
      </c>
      <c r="L1250">
        <v>6</v>
      </c>
      <c r="M1250" t="str">
        <f t="shared" si="152"/>
        <v>Medium</v>
      </c>
      <c r="N1250">
        <f>(winequality_red[[#This Row],[Updated Quality &amp; Alcohol Analysis]]+winequality_red[[#This Row],[volatile acidity]]+winequality_red[[#This Row],[citric acid]])</f>
        <v>7.6400000000000006</v>
      </c>
      <c r="O1250">
        <f t="shared" si="153"/>
        <v>2.7702702702702704E-2</v>
      </c>
      <c r="S1250" t="e">
        <f t="shared" si="154"/>
        <v>#N/A</v>
      </c>
      <c r="T1250" t="e">
        <f t="shared" si="155"/>
        <v>#N/A</v>
      </c>
      <c r="U1250">
        <f t="shared" si="156"/>
        <v>11.1</v>
      </c>
      <c r="V1250">
        <f t="shared" si="157"/>
        <v>6</v>
      </c>
      <c r="W1250" t="e">
        <f t="shared" si="158"/>
        <v>#N/A</v>
      </c>
      <c r="X1250" t="e">
        <f t="shared" si="159"/>
        <v>#N/A</v>
      </c>
    </row>
    <row r="1251" spans="1:24" x14ac:dyDescent="0.3">
      <c r="A1251">
        <v>7.1</v>
      </c>
      <c r="B1251">
        <v>0.6</v>
      </c>
      <c r="C1251">
        <v>0.01</v>
      </c>
      <c r="D1251">
        <v>2.2999999999999998</v>
      </c>
      <c r="E1251">
        <v>7.9000000000000001E-2</v>
      </c>
      <c r="F1251">
        <v>24</v>
      </c>
      <c r="G1251">
        <v>37</v>
      </c>
      <c r="H1251">
        <v>0.99513999999999991</v>
      </c>
      <c r="I1251">
        <v>3.4</v>
      </c>
      <c r="J1251">
        <v>0.61</v>
      </c>
      <c r="K1251">
        <v>10.9</v>
      </c>
      <c r="L1251">
        <v>6</v>
      </c>
      <c r="M1251" t="str">
        <f t="shared" si="152"/>
        <v>Medium</v>
      </c>
      <c r="N1251">
        <f>(winequality_red[[#This Row],[Updated Quality &amp; Alcohol Analysis]]+winequality_red[[#This Row],[volatile acidity]]+winequality_red[[#This Row],[citric acid]])</f>
        <v>7.7099999999999991</v>
      </c>
      <c r="O1251">
        <f t="shared" si="153"/>
        <v>3.3577981651376147E-2</v>
      </c>
      <c r="S1251" t="e">
        <f t="shared" si="154"/>
        <v>#N/A</v>
      </c>
      <c r="T1251" t="e">
        <f t="shared" si="155"/>
        <v>#N/A</v>
      </c>
      <c r="U1251">
        <f t="shared" si="156"/>
        <v>10.9</v>
      </c>
      <c r="V1251">
        <f t="shared" si="157"/>
        <v>6</v>
      </c>
      <c r="W1251" t="e">
        <f t="shared" si="158"/>
        <v>#N/A</v>
      </c>
      <c r="X1251" t="e">
        <f t="shared" si="159"/>
        <v>#N/A</v>
      </c>
    </row>
    <row r="1252" spans="1:24" x14ac:dyDescent="0.3">
      <c r="A1252">
        <v>7.1</v>
      </c>
      <c r="B1252">
        <v>0.6</v>
      </c>
      <c r="C1252">
        <v>0.01</v>
      </c>
      <c r="D1252">
        <v>2.2999999999999998</v>
      </c>
      <c r="E1252">
        <v>7.9000000000000001E-2</v>
      </c>
      <c r="F1252">
        <v>24</v>
      </c>
      <c r="G1252">
        <v>37</v>
      </c>
      <c r="H1252">
        <v>0.99513999999999991</v>
      </c>
      <c r="I1252">
        <v>3.4</v>
      </c>
      <c r="J1252">
        <v>0.61</v>
      </c>
      <c r="K1252">
        <v>10.9</v>
      </c>
      <c r="L1252">
        <v>6</v>
      </c>
      <c r="M1252" t="str">
        <f t="shared" si="152"/>
        <v>Medium</v>
      </c>
      <c r="N1252">
        <f>(winequality_red[[#This Row],[Updated Quality &amp; Alcohol Analysis]]+winequality_red[[#This Row],[volatile acidity]]+winequality_red[[#This Row],[citric acid]])</f>
        <v>7.7099999999999991</v>
      </c>
      <c r="O1252">
        <f t="shared" si="153"/>
        <v>3.3577981651376147E-2</v>
      </c>
      <c r="S1252" t="e">
        <f t="shared" si="154"/>
        <v>#N/A</v>
      </c>
      <c r="T1252" t="e">
        <f t="shared" si="155"/>
        <v>#N/A</v>
      </c>
      <c r="U1252">
        <f t="shared" si="156"/>
        <v>10.9</v>
      </c>
      <c r="V1252">
        <f t="shared" si="157"/>
        <v>6</v>
      </c>
      <c r="W1252" t="e">
        <f t="shared" si="158"/>
        <v>#N/A</v>
      </c>
      <c r="X1252" t="e">
        <f t="shared" si="159"/>
        <v>#N/A</v>
      </c>
    </row>
    <row r="1253" spans="1:24" x14ac:dyDescent="0.3">
      <c r="A1253">
        <v>7.5</v>
      </c>
      <c r="B1253">
        <v>0.57999999999999996</v>
      </c>
      <c r="C1253">
        <v>0.14000000000000001</v>
      </c>
      <c r="D1253">
        <v>2.2000000000000002</v>
      </c>
      <c r="E1253">
        <v>7.6999999999999999E-2</v>
      </c>
      <c r="F1253">
        <v>27</v>
      </c>
      <c r="G1253">
        <v>60</v>
      </c>
      <c r="H1253">
        <v>0.99629999999999996</v>
      </c>
      <c r="I1253">
        <v>3.28</v>
      </c>
      <c r="J1253">
        <v>0.59</v>
      </c>
      <c r="K1253">
        <v>9.8000000000000007</v>
      </c>
      <c r="L1253">
        <v>5</v>
      </c>
      <c r="M1253" t="str">
        <f t="shared" si="152"/>
        <v>Medium</v>
      </c>
      <c r="N1253">
        <f>(winequality_red[[#This Row],[Updated Quality &amp; Alcohol Analysis]]+winequality_red[[#This Row],[volatile acidity]]+winequality_red[[#This Row],[citric acid]])</f>
        <v>8.2200000000000006</v>
      </c>
      <c r="O1253">
        <f t="shared" si="153"/>
        <v>3.4918367346938768E-2</v>
      </c>
      <c r="S1253" t="e">
        <f t="shared" si="154"/>
        <v>#N/A</v>
      </c>
      <c r="T1253" t="e">
        <f t="shared" si="155"/>
        <v>#N/A</v>
      </c>
      <c r="U1253">
        <f t="shared" si="156"/>
        <v>9.8000000000000007</v>
      </c>
      <c r="V1253">
        <f t="shared" si="157"/>
        <v>5</v>
      </c>
      <c r="W1253" t="e">
        <f t="shared" si="158"/>
        <v>#N/A</v>
      </c>
      <c r="X1253" t="e">
        <f t="shared" si="159"/>
        <v>#N/A</v>
      </c>
    </row>
    <row r="1254" spans="1:24" x14ac:dyDescent="0.3">
      <c r="A1254">
        <v>7.1</v>
      </c>
      <c r="B1254">
        <v>0.72</v>
      </c>
      <c r="C1254">
        <v>0</v>
      </c>
      <c r="D1254">
        <v>1.8</v>
      </c>
      <c r="E1254">
        <v>0.12300000000000001</v>
      </c>
      <c r="F1254">
        <v>6</v>
      </c>
      <c r="G1254">
        <v>14</v>
      </c>
      <c r="H1254">
        <v>0.9962700000000001</v>
      </c>
      <c r="I1254">
        <v>3.45</v>
      </c>
      <c r="J1254">
        <v>0.57999999999999996</v>
      </c>
      <c r="K1254">
        <v>9.8000000000000007</v>
      </c>
      <c r="L1254">
        <v>5</v>
      </c>
      <c r="M1254" t="str">
        <f t="shared" si="152"/>
        <v>Medium</v>
      </c>
      <c r="N1254">
        <f>(winequality_red[[#This Row],[Updated Quality &amp; Alcohol Analysis]]+winequality_red[[#This Row],[volatile acidity]]+winequality_red[[#This Row],[citric acid]])</f>
        <v>7.8199999999999994</v>
      </c>
      <c r="O1254">
        <f t="shared" si="153"/>
        <v>4.261224489795918E-2</v>
      </c>
      <c r="S1254" t="e">
        <f t="shared" si="154"/>
        <v>#N/A</v>
      </c>
      <c r="T1254" t="e">
        <f t="shared" si="155"/>
        <v>#N/A</v>
      </c>
      <c r="U1254">
        <f t="shared" si="156"/>
        <v>9.8000000000000007</v>
      </c>
      <c r="V1254">
        <f t="shared" si="157"/>
        <v>5</v>
      </c>
      <c r="W1254" t="e">
        <f t="shared" si="158"/>
        <v>#N/A</v>
      </c>
      <c r="X1254" t="e">
        <f t="shared" si="159"/>
        <v>#N/A</v>
      </c>
    </row>
    <row r="1255" spans="1:24" x14ac:dyDescent="0.3">
      <c r="A1255">
        <v>7.9</v>
      </c>
      <c r="B1255">
        <v>0.66</v>
      </c>
      <c r="C1255">
        <v>0</v>
      </c>
      <c r="D1255">
        <v>1.4</v>
      </c>
      <c r="E1255">
        <v>9.6000000000000002E-2</v>
      </c>
      <c r="F1255">
        <v>6</v>
      </c>
      <c r="G1255">
        <v>13</v>
      </c>
      <c r="H1255">
        <v>0.99568999999999996</v>
      </c>
      <c r="I1255">
        <v>3.43</v>
      </c>
      <c r="J1255">
        <v>0.57999999999999996</v>
      </c>
      <c r="K1255">
        <v>9.5</v>
      </c>
      <c r="L1255">
        <v>5</v>
      </c>
      <c r="M1255" t="str">
        <f t="shared" si="152"/>
        <v>Medium</v>
      </c>
      <c r="N1255">
        <f>(winequality_red[[#This Row],[Updated Quality &amp; Alcohol Analysis]]+winequality_red[[#This Row],[volatile acidity]]+winequality_red[[#This Row],[citric acid]])</f>
        <v>8.56</v>
      </c>
      <c r="O1255">
        <f t="shared" si="153"/>
        <v>4.0294736842105258E-2</v>
      </c>
      <c r="S1255" t="e">
        <f t="shared" si="154"/>
        <v>#N/A</v>
      </c>
      <c r="T1255" t="e">
        <f t="shared" si="155"/>
        <v>#N/A</v>
      </c>
      <c r="U1255">
        <f t="shared" si="156"/>
        <v>9.5</v>
      </c>
      <c r="V1255">
        <f t="shared" si="157"/>
        <v>5</v>
      </c>
      <c r="W1255" t="e">
        <f t="shared" si="158"/>
        <v>#N/A</v>
      </c>
      <c r="X1255" t="e">
        <f t="shared" si="159"/>
        <v>#N/A</v>
      </c>
    </row>
    <row r="1256" spans="1:24" x14ac:dyDescent="0.3">
      <c r="A1256">
        <v>7.8</v>
      </c>
      <c r="B1256">
        <v>0.7</v>
      </c>
      <c r="C1256">
        <v>0.06</v>
      </c>
      <c r="D1256">
        <v>1.9</v>
      </c>
      <c r="E1256">
        <v>7.9000000000000001E-2</v>
      </c>
      <c r="F1256">
        <v>20</v>
      </c>
      <c r="G1256">
        <v>35</v>
      </c>
      <c r="H1256">
        <v>0.99627999999999994</v>
      </c>
      <c r="I1256">
        <v>3.4</v>
      </c>
      <c r="J1256">
        <v>0.69</v>
      </c>
      <c r="K1256">
        <v>10.9</v>
      </c>
      <c r="L1256">
        <v>5</v>
      </c>
      <c r="M1256" t="str">
        <f t="shared" si="152"/>
        <v>Medium</v>
      </c>
      <c r="N1256">
        <f>(winequality_red[[#This Row],[Updated Quality &amp; Alcohol Analysis]]+winequality_red[[#This Row],[volatile acidity]]+winequality_red[[#This Row],[citric acid]])</f>
        <v>8.56</v>
      </c>
      <c r="O1256">
        <f t="shared" si="153"/>
        <v>4.4311926605504579E-2</v>
      </c>
      <c r="S1256" t="e">
        <f t="shared" si="154"/>
        <v>#N/A</v>
      </c>
      <c r="T1256" t="e">
        <f t="shared" si="155"/>
        <v>#N/A</v>
      </c>
      <c r="U1256">
        <f t="shared" si="156"/>
        <v>10.9</v>
      </c>
      <c r="V1256">
        <f t="shared" si="157"/>
        <v>5</v>
      </c>
      <c r="W1256" t="e">
        <f t="shared" si="158"/>
        <v>#N/A</v>
      </c>
      <c r="X1256" t="e">
        <f t="shared" si="159"/>
        <v>#N/A</v>
      </c>
    </row>
    <row r="1257" spans="1:24" x14ac:dyDescent="0.3">
      <c r="A1257">
        <v>6.1</v>
      </c>
      <c r="B1257">
        <v>0.64</v>
      </c>
      <c r="C1257">
        <v>0.02</v>
      </c>
      <c r="D1257">
        <v>2.4</v>
      </c>
      <c r="E1257">
        <v>6.9000000000000006E-2</v>
      </c>
      <c r="F1257">
        <v>26</v>
      </c>
      <c r="G1257">
        <v>46</v>
      </c>
      <c r="H1257">
        <v>0.99357999999999991</v>
      </c>
      <c r="I1257">
        <v>3.47</v>
      </c>
      <c r="J1257">
        <v>0.45</v>
      </c>
      <c r="K1257">
        <v>11</v>
      </c>
      <c r="L1257">
        <v>5</v>
      </c>
      <c r="M1257" t="str">
        <f t="shared" si="152"/>
        <v>Medium</v>
      </c>
      <c r="N1257">
        <f>(winequality_red[[#This Row],[Updated Quality &amp; Alcohol Analysis]]+winequality_red[[#This Row],[volatile acidity]]+winequality_red[[#This Row],[citric acid]])</f>
        <v>6.7599999999999989</v>
      </c>
      <c r="O1257">
        <f t="shared" si="153"/>
        <v>2.6181818181818185E-2</v>
      </c>
      <c r="S1257" t="e">
        <f t="shared" si="154"/>
        <v>#N/A</v>
      </c>
      <c r="T1257" t="e">
        <f t="shared" si="155"/>
        <v>#N/A</v>
      </c>
      <c r="U1257">
        <f t="shared" si="156"/>
        <v>11</v>
      </c>
      <c r="V1257">
        <f t="shared" si="157"/>
        <v>5</v>
      </c>
      <c r="W1257" t="e">
        <f t="shared" si="158"/>
        <v>#N/A</v>
      </c>
      <c r="X1257" t="e">
        <f t="shared" si="159"/>
        <v>#N/A</v>
      </c>
    </row>
    <row r="1258" spans="1:24" x14ac:dyDescent="0.3">
      <c r="A1258">
        <v>7.5</v>
      </c>
      <c r="B1258">
        <v>0.59</v>
      </c>
      <c r="C1258">
        <v>0.22</v>
      </c>
      <c r="D1258">
        <v>1.8</v>
      </c>
      <c r="E1258">
        <v>8.199999999999999E-2</v>
      </c>
      <c r="F1258">
        <v>43</v>
      </c>
      <c r="G1258">
        <v>60</v>
      </c>
      <c r="H1258">
        <v>0.99498999999999993</v>
      </c>
      <c r="I1258">
        <v>3.1</v>
      </c>
      <c r="J1258">
        <v>0.42</v>
      </c>
      <c r="K1258">
        <v>9.1999999999999993</v>
      </c>
      <c r="L1258">
        <v>5</v>
      </c>
      <c r="M1258" t="str">
        <f t="shared" si="152"/>
        <v>Medium</v>
      </c>
      <c r="N1258">
        <f>(winequality_red[[#This Row],[Updated Quality &amp; Alcohol Analysis]]+winequality_red[[#This Row],[volatile acidity]]+winequality_red[[#This Row],[citric acid]])</f>
        <v>8.31</v>
      </c>
      <c r="O1258">
        <f t="shared" si="153"/>
        <v>2.693478260869565E-2</v>
      </c>
      <c r="S1258" t="e">
        <f t="shared" si="154"/>
        <v>#N/A</v>
      </c>
      <c r="T1258" t="e">
        <f t="shared" si="155"/>
        <v>#N/A</v>
      </c>
      <c r="U1258">
        <f t="shared" si="156"/>
        <v>9.1999999999999993</v>
      </c>
      <c r="V1258">
        <f t="shared" si="157"/>
        <v>5</v>
      </c>
      <c r="W1258" t="e">
        <f t="shared" si="158"/>
        <v>#N/A</v>
      </c>
      <c r="X1258" t="e">
        <f t="shared" si="159"/>
        <v>#N/A</v>
      </c>
    </row>
    <row r="1259" spans="1:24" x14ac:dyDescent="0.3">
      <c r="A1259">
        <v>7</v>
      </c>
      <c r="B1259">
        <v>0.57999999999999996</v>
      </c>
      <c r="C1259">
        <v>0.28000000000000003</v>
      </c>
      <c r="D1259">
        <v>4.8</v>
      </c>
      <c r="E1259">
        <v>8.5000000000000006E-2</v>
      </c>
      <c r="F1259">
        <v>12</v>
      </c>
      <c r="G1259">
        <v>69</v>
      </c>
      <c r="H1259">
        <v>0.99632999999999994</v>
      </c>
      <c r="I1259">
        <v>3.32</v>
      </c>
      <c r="J1259">
        <v>0.7</v>
      </c>
      <c r="K1259">
        <v>11</v>
      </c>
      <c r="L1259">
        <v>6</v>
      </c>
      <c r="M1259" t="str">
        <f t="shared" si="152"/>
        <v>Medium</v>
      </c>
      <c r="N1259">
        <f>(winequality_red[[#This Row],[Updated Quality &amp; Alcohol Analysis]]+winequality_red[[#This Row],[volatile acidity]]+winequality_red[[#This Row],[citric acid]])</f>
        <v>7.86</v>
      </c>
      <c r="O1259">
        <f t="shared" si="153"/>
        <v>3.6909090909090905E-2</v>
      </c>
      <c r="S1259" t="e">
        <f t="shared" si="154"/>
        <v>#N/A</v>
      </c>
      <c r="T1259" t="e">
        <f t="shared" si="155"/>
        <v>#N/A</v>
      </c>
      <c r="U1259">
        <f t="shared" si="156"/>
        <v>11</v>
      </c>
      <c r="V1259">
        <f t="shared" si="157"/>
        <v>6</v>
      </c>
      <c r="W1259" t="e">
        <f t="shared" si="158"/>
        <v>#N/A</v>
      </c>
      <c r="X1259" t="e">
        <f t="shared" si="159"/>
        <v>#N/A</v>
      </c>
    </row>
    <row r="1260" spans="1:24" x14ac:dyDescent="0.3">
      <c r="A1260">
        <v>6.8</v>
      </c>
      <c r="B1260">
        <v>0.64</v>
      </c>
      <c r="C1260">
        <v>0</v>
      </c>
      <c r="D1260">
        <v>2.7</v>
      </c>
      <c r="E1260">
        <v>0.12300000000000001</v>
      </c>
      <c r="F1260">
        <v>15</v>
      </c>
      <c r="G1260">
        <v>33</v>
      </c>
      <c r="H1260">
        <v>0.99537999999999993</v>
      </c>
      <c r="I1260">
        <v>3.44</v>
      </c>
      <c r="J1260">
        <v>0.63</v>
      </c>
      <c r="K1260">
        <v>11.3</v>
      </c>
      <c r="L1260">
        <v>6</v>
      </c>
      <c r="M1260" t="str">
        <f t="shared" si="152"/>
        <v>Medium</v>
      </c>
      <c r="N1260">
        <f>(winequality_red[[#This Row],[Updated Quality &amp; Alcohol Analysis]]+winequality_red[[#This Row],[volatile acidity]]+winequality_red[[#This Row],[citric acid]])</f>
        <v>7.4399999999999995</v>
      </c>
      <c r="O1260">
        <f t="shared" si="153"/>
        <v>3.5681415929203535E-2</v>
      </c>
      <c r="S1260" t="e">
        <f t="shared" si="154"/>
        <v>#N/A</v>
      </c>
      <c r="T1260" t="e">
        <f t="shared" si="155"/>
        <v>#N/A</v>
      </c>
      <c r="U1260">
        <f t="shared" si="156"/>
        <v>11.3</v>
      </c>
      <c r="V1260">
        <f t="shared" si="157"/>
        <v>6</v>
      </c>
      <c r="W1260" t="e">
        <f t="shared" si="158"/>
        <v>#N/A</v>
      </c>
      <c r="X1260" t="e">
        <f t="shared" si="159"/>
        <v>#N/A</v>
      </c>
    </row>
    <row r="1261" spans="1:24" x14ac:dyDescent="0.3">
      <c r="A1261">
        <v>6.8</v>
      </c>
      <c r="B1261">
        <v>0.64</v>
      </c>
      <c r="C1261">
        <v>0</v>
      </c>
      <c r="D1261">
        <v>2.7</v>
      </c>
      <c r="E1261">
        <v>0.12300000000000001</v>
      </c>
      <c r="F1261">
        <v>15</v>
      </c>
      <c r="G1261">
        <v>33</v>
      </c>
      <c r="H1261">
        <v>0.99537999999999993</v>
      </c>
      <c r="I1261">
        <v>3.44</v>
      </c>
      <c r="J1261">
        <v>0.63</v>
      </c>
      <c r="K1261">
        <v>11.3</v>
      </c>
      <c r="L1261">
        <v>6</v>
      </c>
      <c r="M1261" t="str">
        <f t="shared" si="152"/>
        <v>Medium</v>
      </c>
      <c r="N1261">
        <f>(winequality_red[[#This Row],[Updated Quality &amp; Alcohol Analysis]]+winequality_red[[#This Row],[volatile acidity]]+winequality_red[[#This Row],[citric acid]])</f>
        <v>7.4399999999999995</v>
      </c>
      <c r="O1261">
        <f t="shared" si="153"/>
        <v>3.5681415929203535E-2</v>
      </c>
      <c r="S1261" t="e">
        <f t="shared" si="154"/>
        <v>#N/A</v>
      </c>
      <c r="T1261" t="e">
        <f t="shared" si="155"/>
        <v>#N/A</v>
      </c>
      <c r="U1261">
        <f t="shared" si="156"/>
        <v>11.3</v>
      </c>
      <c r="V1261">
        <f t="shared" si="157"/>
        <v>6</v>
      </c>
      <c r="W1261" t="e">
        <f t="shared" si="158"/>
        <v>#N/A</v>
      </c>
      <c r="X1261" t="e">
        <f t="shared" si="159"/>
        <v>#N/A</v>
      </c>
    </row>
    <row r="1262" spans="1:24" x14ac:dyDescent="0.3">
      <c r="A1262">
        <v>8.6</v>
      </c>
      <c r="B1262">
        <v>0.63500000000000001</v>
      </c>
      <c r="C1262">
        <v>0.68</v>
      </c>
      <c r="D1262">
        <v>1.8</v>
      </c>
      <c r="E1262">
        <v>0.40299999999999997</v>
      </c>
      <c r="F1262">
        <v>19</v>
      </c>
      <c r="G1262">
        <v>56</v>
      </c>
      <c r="H1262">
        <v>0.99632000000000009</v>
      </c>
      <c r="I1262">
        <v>3.02</v>
      </c>
      <c r="J1262">
        <v>1.1499999999999999</v>
      </c>
      <c r="K1262">
        <v>9.3000000000000007</v>
      </c>
      <c r="L1262">
        <v>5</v>
      </c>
      <c r="M1262" t="str">
        <f t="shared" si="152"/>
        <v>Medium</v>
      </c>
      <c r="N1262">
        <f>(winequality_red[[#This Row],[Updated Quality &amp; Alcohol Analysis]]+winequality_red[[#This Row],[volatile acidity]]+winequality_red[[#This Row],[citric acid]])</f>
        <v>9.9149999999999991</v>
      </c>
      <c r="O1262">
        <f t="shared" si="153"/>
        <v>7.8521505376344072E-2</v>
      </c>
      <c r="S1262" t="e">
        <f t="shared" si="154"/>
        <v>#N/A</v>
      </c>
      <c r="T1262" t="e">
        <f t="shared" si="155"/>
        <v>#N/A</v>
      </c>
      <c r="U1262">
        <f t="shared" si="156"/>
        <v>9.3000000000000007</v>
      </c>
      <c r="V1262">
        <f t="shared" si="157"/>
        <v>5</v>
      </c>
      <c r="W1262" t="e">
        <f t="shared" si="158"/>
        <v>#N/A</v>
      </c>
      <c r="X1262" t="e">
        <f t="shared" si="159"/>
        <v>#N/A</v>
      </c>
    </row>
    <row r="1263" spans="1:24" x14ac:dyDescent="0.3">
      <c r="A1263">
        <v>6.3</v>
      </c>
      <c r="B1263">
        <v>1.02</v>
      </c>
      <c r="C1263">
        <v>0</v>
      </c>
      <c r="D1263">
        <v>2</v>
      </c>
      <c r="E1263">
        <v>8.3000000000000004E-2</v>
      </c>
      <c r="F1263">
        <v>17</v>
      </c>
      <c r="G1263">
        <v>24</v>
      </c>
      <c r="H1263">
        <v>0.99437000000000009</v>
      </c>
      <c r="I1263">
        <v>3.59</v>
      </c>
      <c r="J1263">
        <v>0.55000000000000004</v>
      </c>
      <c r="K1263">
        <v>11.2</v>
      </c>
      <c r="L1263">
        <v>4</v>
      </c>
      <c r="M1263" t="str">
        <f t="shared" si="152"/>
        <v>Low</v>
      </c>
      <c r="N1263">
        <f>(winequality_red[[#This Row],[Updated Quality &amp; Alcohol Analysis]]+winequality_red[[#This Row],[volatile acidity]]+winequality_red[[#This Row],[citric acid]])</f>
        <v>7.32</v>
      </c>
      <c r="O1263">
        <f t="shared" si="153"/>
        <v>5.0089285714285725E-2</v>
      </c>
      <c r="S1263">
        <f t="shared" si="154"/>
        <v>11.2</v>
      </c>
      <c r="T1263">
        <f t="shared" si="155"/>
        <v>4</v>
      </c>
      <c r="U1263" t="e">
        <f t="shared" si="156"/>
        <v>#N/A</v>
      </c>
      <c r="V1263" t="e">
        <f t="shared" si="157"/>
        <v>#N/A</v>
      </c>
      <c r="W1263" t="e">
        <f t="shared" si="158"/>
        <v>#N/A</v>
      </c>
      <c r="X1263" t="e">
        <f t="shared" si="159"/>
        <v>#N/A</v>
      </c>
    </row>
    <row r="1264" spans="1:24" x14ac:dyDescent="0.3">
      <c r="A1264">
        <v>9.8000000000000007</v>
      </c>
      <c r="B1264">
        <v>0.45</v>
      </c>
      <c r="C1264">
        <v>0.38</v>
      </c>
      <c r="D1264">
        <v>2.5</v>
      </c>
      <c r="E1264">
        <v>8.1000000000000003E-2</v>
      </c>
      <c r="F1264">
        <v>34</v>
      </c>
      <c r="G1264">
        <v>66</v>
      </c>
      <c r="H1264">
        <v>0.99726000000000004</v>
      </c>
      <c r="I1264">
        <v>3.15</v>
      </c>
      <c r="J1264">
        <v>0.57999999999999996</v>
      </c>
      <c r="K1264">
        <v>9.8000000000000007</v>
      </c>
      <c r="L1264">
        <v>5</v>
      </c>
      <c r="M1264" t="str">
        <f t="shared" si="152"/>
        <v>Medium</v>
      </c>
      <c r="N1264">
        <f>(winequality_red[[#This Row],[Updated Quality &amp; Alcohol Analysis]]+winequality_red[[#This Row],[volatile acidity]]+winequality_red[[#This Row],[citric acid]])</f>
        <v>10.63</v>
      </c>
      <c r="O1264">
        <f t="shared" si="153"/>
        <v>2.663265306122449E-2</v>
      </c>
      <c r="S1264" t="e">
        <f t="shared" si="154"/>
        <v>#N/A</v>
      </c>
      <c r="T1264" t="e">
        <f t="shared" si="155"/>
        <v>#N/A</v>
      </c>
      <c r="U1264">
        <f t="shared" si="156"/>
        <v>9.8000000000000007</v>
      </c>
      <c r="V1264">
        <f t="shared" si="157"/>
        <v>5</v>
      </c>
      <c r="W1264" t="e">
        <f t="shared" si="158"/>
        <v>#N/A</v>
      </c>
      <c r="X1264" t="e">
        <f t="shared" si="159"/>
        <v>#N/A</v>
      </c>
    </row>
    <row r="1265" spans="1:24" x14ac:dyDescent="0.3">
      <c r="A1265">
        <v>8.1999999999999993</v>
      </c>
      <c r="B1265">
        <v>0.78</v>
      </c>
      <c r="C1265">
        <v>0</v>
      </c>
      <c r="D1265">
        <v>2.2000000000000002</v>
      </c>
      <c r="E1265">
        <v>8.900000000000001E-2</v>
      </c>
      <c r="F1265">
        <v>13</v>
      </c>
      <c r="G1265">
        <v>26</v>
      </c>
      <c r="H1265">
        <v>0.99780000000000002</v>
      </c>
      <c r="I1265">
        <v>3.37</v>
      </c>
      <c r="J1265">
        <v>0.46</v>
      </c>
      <c r="K1265">
        <v>9.6</v>
      </c>
      <c r="L1265">
        <v>4</v>
      </c>
      <c r="M1265" t="str">
        <f t="shared" si="152"/>
        <v>Low</v>
      </c>
      <c r="N1265">
        <f>(winequality_red[[#This Row],[Updated Quality &amp; Alcohol Analysis]]+winequality_red[[#This Row],[volatile acidity]]+winequality_red[[#This Row],[citric acid]])</f>
        <v>8.9799999999999986</v>
      </c>
      <c r="O1265">
        <f t="shared" si="153"/>
        <v>3.7375000000000005E-2</v>
      </c>
      <c r="S1265">
        <f t="shared" si="154"/>
        <v>9.6</v>
      </c>
      <c r="T1265">
        <f t="shared" si="155"/>
        <v>4</v>
      </c>
      <c r="U1265" t="e">
        <f t="shared" si="156"/>
        <v>#N/A</v>
      </c>
      <c r="V1265" t="e">
        <f t="shared" si="157"/>
        <v>#N/A</v>
      </c>
      <c r="W1265" t="e">
        <f t="shared" si="158"/>
        <v>#N/A</v>
      </c>
      <c r="X1265" t="e">
        <f t="shared" si="159"/>
        <v>#N/A</v>
      </c>
    </row>
    <row r="1266" spans="1:24" x14ac:dyDescent="0.3">
      <c r="A1266">
        <v>8.5</v>
      </c>
      <c r="B1266">
        <v>0.37</v>
      </c>
      <c r="C1266">
        <v>0.32</v>
      </c>
      <c r="D1266">
        <v>1.8</v>
      </c>
      <c r="E1266">
        <v>6.6000000000000003E-2</v>
      </c>
      <c r="F1266">
        <v>26</v>
      </c>
      <c r="G1266">
        <v>51</v>
      </c>
      <c r="H1266">
        <v>0.99456</v>
      </c>
      <c r="I1266">
        <v>3.38</v>
      </c>
      <c r="J1266">
        <v>0.72</v>
      </c>
      <c r="K1266">
        <v>11.8</v>
      </c>
      <c r="L1266">
        <v>6</v>
      </c>
      <c r="M1266" t="str">
        <f t="shared" si="152"/>
        <v>Medium</v>
      </c>
      <c r="N1266">
        <f>(winequality_red[[#This Row],[Updated Quality &amp; Alcohol Analysis]]+winequality_red[[#This Row],[volatile acidity]]+winequality_red[[#This Row],[citric acid]])</f>
        <v>9.19</v>
      </c>
      <c r="O1266">
        <f t="shared" si="153"/>
        <v>2.2576271186440674E-2</v>
      </c>
      <c r="S1266" t="e">
        <f t="shared" si="154"/>
        <v>#N/A</v>
      </c>
      <c r="T1266" t="e">
        <f t="shared" si="155"/>
        <v>#N/A</v>
      </c>
      <c r="U1266">
        <f t="shared" si="156"/>
        <v>11.8</v>
      </c>
      <c r="V1266">
        <f t="shared" si="157"/>
        <v>6</v>
      </c>
      <c r="W1266" t="e">
        <f t="shared" si="158"/>
        <v>#N/A</v>
      </c>
      <c r="X1266" t="e">
        <f t="shared" si="159"/>
        <v>#N/A</v>
      </c>
    </row>
    <row r="1267" spans="1:24" x14ac:dyDescent="0.3">
      <c r="A1267">
        <v>7.2</v>
      </c>
      <c r="B1267">
        <v>0.56999999999999995</v>
      </c>
      <c r="C1267">
        <v>0.05</v>
      </c>
      <c r="D1267">
        <v>2.2999999999999998</v>
      </c>
      <c r="E1267">
        <v>8.1000000000000003E-2</v>
      </c>
      <c r="F1267">
        <v>16</v>
      </c>
      <c r="G1267">
        <v>36</v>
      </c>
      <c r="H1267">
        <v>0.99563999999999997</v>
      </c>
      <c r="I1267">
        <v>3.38</v>
      </c>
      <c r="J1267">
        <v>0.6</v>
      </c>
      <c r="K1267">
        <v>10.3</v>
      </c>
      <c r="L1267">
        <v>6</v>
      </c>
      <c r="M1267" t="str">
        <f t="shared" si="152"/>
        <v>Medium</v>
      </c>
      <c r="N1267">
        <f>(winequality_red[[#This Row],[Updated Quality &amp; Alcohol Analysis]]+winequality_red[[#This Row],[volatile acidity]]+winequality_red[[#This Row],[citric acid]])</f>
        <v>7.82</v>
      </c>
      <c r="O1267">
        <f t="shared" si="153"/>
        <v>3.3203883495145629E-2</v>
      </c>
      <c r="S1267" t="e">
        <f t="shared" si="154"/>
        <v>#N/A</v>
      </c>
      <c r="T1267" t="e">
        <f t="shared" si="155"/>
        <v>#N/A</v>
      </c>
      <c r="U1267">
        <f t="shared" si="156"/>
        <v>10.3</v>
      </c>
      <c r="V1267">
        <f t="shared" si="157"/>
        <v>6</v>
      </c>
      <c r="W1267" t="e">
        <f t="shared" si="158"/>
        <v>#N/A</v>
      </c>
      <c r="X1267" t="e">
        <f t="shared" si="159"/>
        <v>#N/A</v>
      </c>
    </row>
    <row r="1268" spans="1:24" x14ac:dyDescent="0.3">
      <c r="A1268">
        <v>7.2</v>
      </c>
      <c r="B1268">
        <v>0.56999999999999995</v>
      </c>
      <c r="C1268">
        <v>0.05</v>
      </c>
      <c r="D1268">
        <v>2.2999999999999998</v>
      </c>
      <c r="E1268">
        <v>8.1000000000000003E-2</v>
      </c>
      <c r="F1268">
        <v>16</v>
      </c>
      <c r="G1268">
        <v>36</v>
      </c>
      <c r="H1268">
        <v>0.99563999999999997</v>
      </c>
      <c r="I1268">
        <v>3.38</v>
      </c>
      <c r="J1268">
        <v>0.6</v>
      </c>
      <c r="K1268">
        <v>10.3</v>
      </c>
      <c r="L1268">
        <v>6</v>
      </c>
      <c r="M1268" t="str">
        <f t="shared" si="152"/>
        <v>Medium</v>
      </c>
      <c r="N1268">
        <f>(winequality_red[[#This Row],[Updated Quality &amp; Alcohol Analysis]]+winequality_red[[#This Row],[volatile acidity]]+winequality_red[[#This Row],[citric acid]])</f>
        <v>7.82</v>
      </c>
      <c r="O1268">
        <f t="shared" si="153"/>
        <v>3.3203883495145629E-2</v>
      </c>
      <c r="S1268" t="e">
        <f t="shared" si="154"/>
        <v>#N/A</v>
      </c>
      <c r="T1268" t="e">
        <f t="shared" si="155"/>
        <v>#N/A</v>
      </c>
      <c r="U1268">
        <f t="shared" si="156"/>
        <v>10.3</v>
      </c>
      <c r="V1268">
        <f t="shared" si="157"/>
        <v>6</v>
      </c>
      <c r="W1268" t="e">
        <f t="shared" si="158"/>
        <v>#N/A</v>
      </c>
      <c r="X1268" t="e">
        <f t="shared" si="159"/>
        <v>#N/A</v>
      </c>
    </row>
    <row r="1269" spans="1:24" x14ac:dyDescent="0.3">
      <c r="A1269">
        <v>10.4</v>
      </c>
      <c r="B1269">
        <v>0.43</v>
      </c>
      <c r="C1269">
        <v>0.5</v>
      </c>
      <c r="D1269">
        <v>2.2999999999999998</v>
      </c>
      <c r="E1269">
        <v>6.8000000000000005E-2</v>
      </c>
      <c r="F1269">
        <v>13</v>
      </c>
      <c r="G1269">
        <v>19</v>
      </c>
      <c r="H1269">
        <v>0.996</v>
      </c>
      <c r="I1269">
        <v>3.1</v>
      </c>
      <c r="J1269">
        <v>0.87</v>
      </c>
      <c r="K1269">
        <v>11.4</v>
      </c>
      <c r="L1269">
        <v>6</v>
      </c>
      <c r="M1269" t="str">
        <f t="shared" si="152"/>
        <v>Medium</v>
      </c>
      <c r="N1269">
        <f>(winequality_red[[#This Row],[Updated Quality &amp; Alcohol Analysis]]+winequality_red[[#This Row],[volatile acidity]]+winequality_red[[#This Row],[citric acid]])</f>
        <v>11.33</v>
      </c>
      <c r="O1269">
        <f t="shared" si="153"/>
        <v>3.2815789473684208E-2</v>
      </c>
      <c r="S1269" t="e">
        <f t="shared" si="154"/>
        <v>#N/A</v>
      </c>
      <c r="T1269" t="e">
        <f t="shared" si="155"/>
        <v>#N/A</v>
      </c>
      <c r="U1269">
        <f t="shared" si="156"/>
        <v>11.4</v>
      </c>
      <c r="V1269">
        <f t="shared" si="157"/>
        <v>6</v>
      </c>
      <c r="W1269" t="e">
        <f t="shared" si="158"/>
        <v>#N/A</v>
      </c>
      <c r="X1269" t="e">
        <f t="shared" si="159"/>
        <v>#N/A</v>
      </c>
    </row>
    <row r="1270" spans="1:24" x14ac:dyDescent="0.3">
      <c r="A1270">
        <v>6.9</v>
      </c>
      <c r="B1270">
        <v>0.41</v>
      </c>
      <c r="C1270">
        <v>0.31</v>
      </c>
      <c r="D1270">
        <v>2</v>
      </c>
      <c r="E1270">
        <v>7.9000000000000001E-2</v>
      </c>
      <c r="F1270">
        <v>21</v>
      </c>
      <c r="G1270">
        <v>51</v>
      </c>
      <c r="H1270">
        <v>0.9966799999999999</v>
      </c>
      <c r="I1270">
        <v>3.47</v>
      </c>
      <c r="J1270">
        <v>0.55000000000000004</v>
      </c>
      <c r="K1270">
        <v>9.5</v>
      </c>
      <c r="L1270">
        <v>6</v>
      </c>
      <c r="M1270" t="str">
        <f t="shared" si="152"/>
        <v>Medium</v>
      </c>
      <c r="N1270">
        <f>(winequality_red[[#This Row],[Updated Quality &amp; Alcohol Analysis]]+winequality_red[[#This Row],[volatile acidity]]+winequality_red[[#This Row],[citric acid]])</f>
        <v>7.62</v>
      </c>
      <c r="O1270">
        <f t="shared" si="153"/>
        <v>2.3736842105263157E-2</v>
      </c>
      <c r="S1270" t="e">
        <f t="shared" si="154"/>
        <v>#N/A</v>
      </c>
      <c r="T1270" t="e">
        <f t="shared" si="155"/>
        <v>#N/A</v>
      </c>
      <c r="U1270">
        <f t="shared" si="156"/>
        <v>9.5</v>
      </c>
      <c r="V1270">
        <f t="shared" si="157"/>
        <v>6</v>
      </c>
      <c r="W1270" t="e">
        <f t="shared" si="158"/>
        <v>#N/A</v>
      </c>
      <c r="X1270" t="e">
        <f t="shared" si="159"/>
        <v>#N/A</v>
      </c>
    </row>
    <row r="1271" spans="1:24" x14ac:dyDescent="0.3">
      <c r="A1271">
        <v>5.5</v>
      </c>
      <c r="B1271">
        <v>0.49</v>
      </c>
      <c r="C1271">
        <v>0.03</v>
      </c>
      <c r="D1271">
        <v>1.8</v>
      </c>
      <c r="E1271">
        <v>4.4000000000000004E-2</v>
      </c>
      <c r="F1271">
        <v>28</v>
      </c>
      <c r="G1271">
        <v>87</v>
      </c>
      <c r="H1271">
        <v>0.99080000000000001</v>
      </c>
      <c r="I1271">
        <v>3.5</v>
      </c>
      <c r="J1271">
        <v>0.82</v>
      </c>
      <c r="K1271">
        <v>14</v>
      </c>
      <c r="L1271">
        <v>8</v>
      </c>
      <c r="M1271" t="str">
        <f t="shared" si="152"/>
        <v>High</v>
      </c>
      <c r="N1271">
        <f>(winequality_red[[#This Row],[Updated Quality &amp; Alcohol Analysis]]+winequality_red[[#This Row],[volatile acidity]]+winequality_red[[#This Row],[citric acid]])</f>
        <v>6.0200000000000005</v>
      </c>
      <c r="O1271">
        <f t="shared" si="153"/>
        <v>2.87E-2</v>
      </c>
      <c r="S1271" t="e">
        <f t="shared" si="154"/>
        <v>#N/A</v>
      </c>
      <c r="T1271" t="e">
        <f t="shared" si="155"/>
        <v>#N/A</v>
      </c>
      <c r="U1271" t="e">
        <f t="shared" si="156"/>
        <v>#N/A</v>
      </c>
      <c r="V1271" t="e">
        <f t="shared" si="157"/>
        <v>#N/A</v>
      </c>
      <c r="W1271">
        <f t="shared" si="158"/>
        <v>14</v>
      </c>
      <c r="X1271">
        <f t="shared" si="159"/>
        <v>8</v>
      </c>
    </row>
    <row r="1272" spans="1:24" x14ac:dyDescent="0.3">
      <c r="A1272">
        <v>5</v>
      </c>
      <c r="B1272">
        <v>0.38</v>
      </c>
      <c r="C1272">
        <v>0.01</v>
      </c>
      <c r="D1272">
        <v>1.6</v>
      </c>
      <c r="E1272">
        <v>4.8000000000000001E-2</v>
      </c>
      <c r="F1272">
        <v>26</v>
      </c>
      <c r="G1272">
        <v>60</v>
      </c>
      <c r="H1272">
        <v>0.99083999999999994</v>
      </c>
      <c r="I1272">
        <v>3.7</v>
      </c>
      <c r="J1272">
        <v>0.75</v>
      </c>
      <c r="K1272">
        <v>14</v>
      </c>
      <c r="L1272">
        <v>6</v>
      </c>
      <c r="M1272" t="str">
        <f t="shared" si="152"/>
        <v>Medium</v>
      </c>
      <c r="N1272">
        <f>(winequality_red[[#This Row],[Updated Quality &amp; Alcohol Analysis]]+winequality_red[[#This Row],[volatile acidity]]+winequality_red[[#This Row],[citric acid]])</f>
        <v>5.39</v>
      </c>
      <c r="O1272">
        <f t="shared" si="153"/>
        <v>2.0357142857142858E-2</v>
      </c>
      <c r="S1272" t="e">
        <f t="shared" si="154"/>
        <v>#N/A</v>
      </c>
      <c r="T1272" t="e">
        <f t="shared" si="155"/>
        <v>#N/A</v>
      </c>
      <c r="U1272">
        <f t="shared" si="156"/>
        <v>14</v>
      </c>
      <c r="V1272">
        <f t="shared" si="157"/>
        <v>6</v>
      </c>
      <c r="W1272" t="e">
        <f t="shared" si="158"/>
        <v>#N/A</v>
      </c>
      <c r="X1272" t="e">
        <f t="shared" si="159"/>
        <v>#N/A</v>
      </c>
    </row>
    <row r="1273" spans="1:24" x14ac:dyDescent="0.3">
      <c r="A1273">
        <v>7.3</v>
      </c>
      <c r="B1273">
        <v>0.44</v>
      </c>
      <c r="C1273">
        <v>0.2</v>
      </c>
      <c r="D1273">
        <v>1.6</v>
      </c>
      <c r="E1273">
        <v>4.9000000000000002E-2</v>
      </c>
      <c r="F1273">
        <v>24</v>
      </c>
      <c r="G1273">
        <v>64</v>
      </c>
      <c r="H1273">
        <v>0.99350000000000005</v>
      </c>
      <c r="I1273">
        <v>3.38</v>
      </c>
      <c r="J1273">
        <v>0.56999999999999995</v>
      </c>
      <c r="K1273">
        <v>11.7</v>
      </c>
      <c r="L1273">
        <v>6</v>
      </c>
      <c r="M1273" t="str">
        <f t="shared" si="152"/>
        <v>Medium</v>
      </c>
      <c r="N1273">
        <f>(winequality_red[[#This Row],[Updated Quality &amp; Alcohol Analysis]]+winequality_red[[#This Row],[volatile acidity]]+winequality_red[[#This Row],[citric acid]])</f>
        <v>7.94</v>
      </c>
      <c r="O1273">
        <f t="shared" si="153"/>
        <v>2.1435897435897435E-2</v>
      </c>
      <c r="S1273" t="e">
        <f t="shared" si="154"/>
        <v>#N/A</v>
      </c>
      <c r="T1273" t="e">
        <f t="shared" si="155"/>
        <v>#N/A</v>
      </c>
      <c r="U1273">
        <f t="shared" si="156"/>
        <v>11.7</v>
      </c>
      <c r="V1273">
        <f t="shared" si="157"/>
        <v>6</v>
      </c>
      <c r="W1273" t="e">
        <f t="shared" si="158"/>
        <v>#N/A</v>
      </c>
      <c r="X1273" t="e">
        <f t="shared" si="159"/>
        <v>#N/A</v>
      </c>
    </row>
    <row r="1274" spans="1:24" x14ac:dyDescent="0.3">
      <c r="A1274">
        <v>5.9</v>
      </c>
      <c r="B1274">
        <v>0.46</v>
      </c>
      <c r="C1274">
        <v>0</v>
      </c>
      <c r="D1274">
        <v>1.9</v>
      </c>
      <c r="E1274">
        <v>7.6999999999999999E-2</v>
      </c>
      <c r="F1274">
        <v>25</v>
      </c>
      <c r="G1274">
        <v>44</v>
      </c>
      <c r="H1274">
        <v>0.99385000000000001</v>
      </c>
      <c r="I1274">
        <v>3.5</v>
      </c>
      <c r="J1274">
        <v>0.53</v>
      </c>
      <c r="K1274">
        <v>11.2</v>
      </c>
      <c r="L1274">
        <v>5</v>
      </c>
      <c r="M1274" t="str">
        <f t="shared" si="152"/>
        <v>Medium</v>
      </c>
      <c r="N1274">
        <f>(winequality_red[[#This Row],[Updated Quality &amp; Alcohol Analysis]]+winequality_red[[#This Row],[volatile acidity]]+winequality_red[[#This Row],[citric acid]])</f>
        <v>6.36</v>
      </c>
      <c r="O1274">
        <f t="shared" si="153"/>
        <v>2.1767857142857144E-2</v>
      </c>
      <c r="S1274" t="e">
        <f t="shared" si="154"/>
        <v>#N/A</v>
      </c>
      <c r="T1274" t="e">
        <f t="shared" si="155"/>
        <v>#N/A</v>
      </c>
      <c r="U1274">
        <f t="shared" si="156"/>
        <v>11.2</v>
      </c>
      <c r="V1274">
        <f t="shared" si="157"/>
        <v>5</v>
      </c>
      <c r="W1274" t="e">
        <f t="shared" si="158"/>
        <v>#N/A</v>
      </c>
      <c r="X1274" t="e">
        <f t="shared" si="159"/>
        <v>#N/A</v>
      </c>
    </row>
    <row r="1275" spans="1:24" x14ac:dyDescent="0.3">
      <c r="A1275">
        <v>7.5</v>
      </c>
      <c r="B1275">
        <v>0.57999999999999996</v>
      </c>
      <c r="C1275">
        <v>0.2</v>
      </c>
      <c r="D1275">
        <v>2</v>
      </c>
      <c r="E1275">
        <v>7.2999999999999995E-2</v>
      </c>
      <c r="F1275">
        <v>34</v>
      </c>
      <c r="G1275">
        <v>44</v>
      </c>
      <c r="H1275">
        <v>0.99493999999999994</v>
      </c>
      <c r="I1275">
        <v>3.1</v>
      </c>
      <c r="J1275">
        <v>0.43</v>
      </c>
      <c r="K1275">
        <v>9.3000000000000007</v>
      </c>
      <c r="L1275">
        <v>5</v>
      </c>
      <c r="M1275" t="str">
        <f t="shared" si="152"/>
        <v>Medium</v>
      </c>
      <c r="N1275">
        <f>(winequality_red[[#This Row],[Updated Quality &amp; Alcohol Analysis]]+winequality_red[[#This Row],[volatile acidity]]+winequality_red[[#This Row],[citric acid]])</f>
        <v>8.2799999999999994</v>
      </c>
      <c r="O1275">
        <f t="shared" si="153"/>
        <v>2.6817204301075266E-2</v>
      </c>
      <c r="S1275" t="e">
        <f t="shared" si="154"/>
        <v>#N/A</v>
      </c>
      <c r="T1275" t="e">
        <f t="shared" si="155"/>
        <v>#N/A</v>
      </c>
      <c r="U1275">
        <f t="shared" si="156"/>
        <v>9.3000000000000007</v>
      </c>
      <c r="V1275">
        <f t="shared" si="157"/>
        <v>5</v>
      </c>
      <c r="W1275" t="e">
        <f t="shared" si="158"/>
        <v>#N/A</v>
      </c>
      <c r="X1275" t="e">
        <f t="shared" si="159"/>
        <v>#N/A</v>
      </c>
    </row>
    <row r="1276" spans="1:24" x14ac:dyDescent="0.3">
      <c r="A1276">
        <v>7.8</v>
      </c>
      <c r="B1276">
        <v>0.57999999999999996</v>
      </c>
      <c r="C1276">
        <v>0.13</v>
      </c>
      <c r="D1276">
        <v>2.1</v>
      </c>
      <c r="E1276">
        <v>0.10199999999999999</v>
      </c>
      <c r="F1276">
        <v>17</v>
      </c>
      <c r="G1276">
        <v>36</v>
      </c>
      <c r="H1276">
        <v>0.99439999999999995</v>
      </c>
      <c r="I1276">
        <v>3.24</v>
      </c>
      <c r="J1276">
        <v>0.53</v>
      </c>
      <c r="K1276">
        <v>11.2</v>
      </c>
      <c r="L1276">
        <v>6</v>
      </c>
      <c r="M1276" t="str">
        <f t="shared" si="152"/>
        <v>Medium</v>
      </c>
      <c r="N1276">
        <f>(winequality_red[[#This Row],[Updated Quality &amp; Alcohol Analysis]]+winequality_red[[#This Row],[volatile acidity]]+winequality_red[[#This Row],[citric acid]])</f>
        <v>8.51</v>
      </c>
      <c r="O1276">
        <f t="shared" si="153"/>
        <v>2.7446428571428573E-2</v>
      </c>
      <c r="S1276" t="e">
        <f t="shared" si="154"/>
        <v>#N/A</v>
      </c>
      <c r="T1276" t="e">
        <f t="shared" si="155"/>
        <v>#N/A</v>
      </c>
      <c r="U1276">
        <f t="shared" si="156"/>
        <v>11.2</v>
      </c>
      <c r="V1276">
        <f t="shared" si="157"/>
        <v>6</v>
      </c>
      <c r="W1276" t="e">
        <f t="shared" si="158"/>
        <v>#N/A</v>
      </c>
      <c r="X1276" t="e">
        <f t="shared" si="159"/>
        <v>#N/A</v>
      </c>
    </row>
    <row r="1277" spans="1:24" x14ac:dyDescent="0.3">
      <c r="A1277">
        <v>8</v>
      </c>
      <c r="B1277">
        <v>0.71499999999999997</v>
      </c>
      <c r="C1277">
        <v>0.22</v>
      </c>
      <c r="D1277">
        <v>2.2999999999999998</v>
      </c>
      <c r="E1277">
        <v>7.4999999999999997E-2</v>
      </c>
      <c r="F1277">
        <v>13</v>
      </c>
      <c r="G1277">
        <v>81</v>
      </c>
      <c r="H1277">
        <v>0.99687999999999988</v>
      </c>
      <c r="I1277">
        <v>3.24</v>
      </c>
      <c r="J1277">
        <v>0.54</v>
      </c>
      <c r="K1277">
        <v>9.5</v>
      </c>
      <c r="L1277">
        <v>6</v>
      </c>
      <c r="M1277" t="str">
        <f t="shared" si="152"/>
        <v>Medium</v>
      </c>
      <c r="N1277">
        <f>(winequality_red[[#This Row],[Updated Quality &amp; Alcohol Analysis]]+winequality_red[[#This Row],[volatile acidity]]+winequality_red[[#This Row],[citric acid]])</f>
        <v>8.9350000000000005</v>
      </c>
      <c r="O1277">
        <f t="shared" si="153"/>
        <v>4.0642105263157896E-2</v>
      </c>
      <c r="S1277" t="e">
        <f t="shared" si="154"/>
        <v>#N/A</v>
      </c>
      <c r="T1277" t="e">
        <f t="shared" si="155"/>
        <v>#N/A</v>
      </c>
      <c r="U1277">
        <f t="shared" si="156"/>
        <v>9.5</v>
      </c>
      <c r="V1277">
        <f t="shared" si="157"/>
        <v>6</v>
      </c>
      <c r="W1277" t="e">
        <f t="shared" si="158"/>
        <v>#N/A</v>
      </c>
      <c r="X1277" t="e">
        <f t="shared" si="159"/>
        <v>#N/A</v>
      </c>
    </row>
    <row r="1278" spans="1:24" x14ac:dyDescent="0.3">
      <c r="A1278">
        <v>8.5</v>
      </c>
      <c r="B1278">
        <v>0.4</v>
      </c>
      <c r="C1278">
        <v>0.4</v>
      </c>
      <c r="D1278">
        <v>6.3</v>
      </c>
      <c r="E1278">
        <v>0.05</v>
      </c>
      <c r="F1278">
        <v>3</v>
      </c>
      <c r="G1278">
        <v>10</v>
      </c>
      <c r="H1278">
        <v>0.99565999999999999</v>
      </c>
      <c r="I1278">
        <v>3.28</v>
      </c>
      <c r="J1278">
        <v>0.56000000000000005</v>
      </c>
      <c r="K1278">
        <v>12</v>
      </c>
      <c r="L1278">
        <v>4</v>
      </c>
      <c r="M1278" t="str">
        <f t="shared" si="152"/>
        <v>Low</v>
      </c>
      <c r="N1278">
        <f>(winequality_red[[#This Row],[Updated Quality &amp; Alcohol Analysis]]+winequality_red[[#This Row],[volatile acidity]]+winequality_red[[#This Row],[citric acid]])</f>
        <v>9.3000000000000007</v>
      </c>
      <c r="O1278">
        <f t="shared" si="153"/>
        <v>1.8666666666666668E-2</v>
      </c>
      <c r="S1278">
        <f t="shared" si="154"/>
        <v>12</v>
      </c>
      <c r="T1278">
        <f t="shared" si="155"/>
        <v>4</v>
      </c>
      <c r="U1278" t="e">
        <f t="shared" si="156"/>
        <v>#N/A</v>
      </c>
      <c r="V1278" t="e">
        <f t="shared" si="157"/>
        <v>#N/A</v>
      </c>
      <c r="W1278" t="e">
        <f t="shared" si="158"/>
        <v>#N/A</v>
      </c>
      <c r="X1278" t="e">
        <f t="shared" si="159"/>
        <v>#N/A</v>
      </c>
    </row>
    <row r="1279" spans="1:24" x14ac:dyDescent="0.3">
      <c r="A1279">
        <v>7</v>
      </c>
      <c r="B1279">
        <v>0.69</v>
      </c>
      <c r="C1279">
        <v>0</v>
      </c>
      <c r="D1279">
        <v>1.9</v>
      </c>
      <c r="E1279">
        <v>0.114</v>
      </c>
      <c r="F1279">
        <v>3</v>
      </c>
      <c r="G1279">
        <v>10</v>
      </c>
      <c r="H1279">
        <v>0.99636000000000002</v>
      </c>
      <c r="I1279">
        <v>3.35</v>
      </c>
      <c r="J1279">
        <v>0.6</v>
      </c>
      <c r="K1279">
        <v>9.6999999999999993</v>
      </c>
      <c r="L1279">
        <v>6</v>
      </c>
      <c r="M1279" t="str">
        <f t="shared" si="152"/>
        <v>Medium</v>
      </c>
      <c r="N1279">
        <f>(winequality_red[[#This Row],[Updated Quality &amp; Alcohol Analysis]]+winequality_red[[#This Row],[volatile acidity]]+winequality_red[[#This Row],[citric acid]])</f>
        <v>7.6899999999999995</v>
      </c>
      <c r="O1279">
        <f t="shared" si="153"/>
        <v>4.268041237113402E-2</v>
      </c>
      <c r="S1279" t="e">
        <f t="shared" si="154"/>
        <v>#N/A</v>
      </c>
      <c r="T1279" t="e">
        <f t="shared" si="155"/>
        <v>#N/A</v>
      </c>
      <c r="U1279">
        <f t="shared" si="156"/>
        <v>9.6999999999999993</v>
      </c>
      <c r="V1279">
        <f t="shared" si="157"/>
        <v>6</v>
      </c>
      <c r="W1279" t="e">
        <f t="shared" si="158"/>
        <v>#N/A</v>
      </c>
      <c r="X1279" t="e">
        <f t="shared" si="159"/>
        <v>#N/A</v>
      </c>
    </row>
    <row r="1280" spans="1:24" x14ac:dyDescent="0.3">
      <c r="A1280">
        <v>8</v>
      </c>
      <c r="B1280">
        <v>0.71499999999999997</v>
      </c>
      <c r="C1280">
        <v>0.22</v>
      </c>
      <c r="D1280">
        <v>2.2999999999999998</v>
      </c>
      <c r="E1280">
        <v>7.4999999999999997E-2</v>
      </c>
      <c r="F1280">
        <v>13</v>
      </c>
      <c r="G1280">
        <v>81</v>
      </c>
      <c r="H1280">
        <v>0.99687999999999988</v>
      </c>
      <c r="I1280">
        <v>3.24</v>
      </c>
      <c r="J1280">
        <v>0.54</v>
      </c>
      <c r="K1280">
        <v>9.5</v>
      </c>
      <c r="L1280">
        <v>6</v>
      </c>
      <c r="M1280" t="str">
        <f t="shared" si="152"/>
        <v>Medium</v>
      </c>
      <c r="N1280">
        <f>(winequality_red[[#This Row],[Updated Quality &amp; Alcohol Analysis]]+winequality_red[[#This Row],[volatile acidity]]+winequality_red[[#This Row],[citric acid]])</f>
        <v>8.9350000000000005</v>
      </c>
      <c r="O1280">
        <f t="shared" si="153"/>
        <v>4.0642105263157896E-2</v>
      </c>
      <c r="S1280" t="e">
        <f t="shared" si="154"/>
        <v>#N/A</v>
      </c>
      <c r="T1280" t="e">
        <f t="shared" si="155"/>
        <v>#N/A</v>
      </c>
      <c r="U1280">
        <f t="shared" si="156"/>
        <v>9.5</v>
      </c>
      <c r="V1280">
        <f t="shared" si="157"/>
        <v>6</v>
      </c>
      <c r="W1280" t="e">
        <f t="shared" si="158"/>
        <v>#N/A</v>
      </c>
      <c r="X1280" t="e">
        <f t="shared" si="159"/>
        <v>#N/A</v>
      </c>
    </row>
    <row r="1281" spans="1:24" x14ac:dyDescent="0.3">
      <c r="A1281">
        <v>9.8000000000000007</v>
      </c>
      <c r="B1281">
        <v>0.3</v>
      </c>
      <c r="C1281">
        <v>0.39</v>
      </c>
      <c r="D1281">
        <v>1.7</v>
      </c>
      <c r="E1281">
        <v>6.2E-2</v>
      </c>
      <c r="F1281">
        <v>3</v>
      </c>
      <c r="G1281">
        <v>9</v>
      </c>
      <c r="H1281">
        <v>0.99480000000000002</v>
      </c>
      <c r="I1281">
        <v>3.14</v>
      </c>
      <c r="J1281">
        <v>0.56999999999999995</v>
      </c>
      <c r="K1281">
        <v>11.5</v>
      </c>
      <c r="L1281">
        <v>7</v>
      </c>
      <c r="M1281" t="str">
        <f t="shared" si="152"/>
        <v>High</v>
      </c>
      <c r="N1281">
        <f>(winequality_red[[#This Row],[Updated Quality &amp; Alcohol Analysis]]+winequality_red[[#This Row],[volatile acidity]]+winequality_red[[#This Row],[citric acid]])</f>
        <v>10.490000000000002</v>
      </c>
      <c r="O1281">
        <f t="shared" si="153"/>
        <v>1.4869565217391302E-2</v>
      </c>
      <c r="S1281" t="e">
        <f t="shared" si="154"/>
        <v>#N/A</v>
      </c>
      <c r="T1281" t="e">
        <f t="shared" si="155"/>
        <v>#N/A</v>
      </c>
      <c r="U1281" t="e">
        <f t="shared" si="156"/>
        <v>#N/A</v>
      </c>
      <c r="V1281" t="e">
        <f t="shared" si="157"/>
        <v>#N/A</v>
      </c>
      <c r="W1281">
        <f t="shared" si="158"/>
        <v>11.5</v>
      </c>
      <c r="X1281">
        <f t="shared" si="159"/>
        <v>7</v>
      </c>
    </row>
    <row r="1282" spans="1:24" x14ac:dyDescent="0.3">
      <c r="A1282">
        <v>7.1</v>
      </c>
      <c r="B1282">
        <v>0.46</v>
      </c>
      <c r="C1282">
        <v>0.2</v>
      </c>
      <c r="D1282">
        <v>1.9</v>
      </c>
      <c r="E1282">
        <v>7.6999999999999999E-2</v>
      </c>
      <c r="F1282">
        <v>28</v>
      </c>
      <c r="G1282">
        <v>54</v>
      </c>
      <c r="H1282">
        <v>0.99560000000000004</v>
      </c>
      <c r="I1282">
        <v>3.37</v>
      </c>
      <c r="J1282">
        <v>0.64</v>
      </c>
      <c r="K1282">
        <v>10.4</v>
      </c>
      <c r="L1282">
        <v>6</v>
      </c>
      <c r="M1282" t="str">
        <f t="shared" ref="M1282:M1345" si="160">IF($L1282&gt;=7,"High",IF($L1282&gt;=5,"Medium","Low"))</f>
        <v>Medium</v>
      </c>
      <c r="N1282">
        <f>(winequality_red[[#This Row],[Updated Quality &amp; Alcohol Analysis]]+winequality_red[[#This Row],[volatile acidity]]+winequality_red[[#This Row],[citric acid]])</f>
        <v>7.76</v>
      </c>
      <c r="O1282">
        <f t="shared" ref="O1282:O1345" si="161">($B1282*$J1282)/$K1282</f>
        <v>2.8307692307692305E-2</v>
      </c>
      <c r="S1282" t="e">
        <f t="shared" si="154"/>
        <v>#N/A</v>
      </c>
      <c r="T1282" t="e">
        <f t="shared" si="155"/>
        <v>#N/A</v>
      </c>
      <c r="U1282">
        <f t="shared" si="156"/>
        <v>10.4</v>
      </c>
      <c r="V1282">
        <f t="shared" si="157"/>
        <v>6</v>
      </c>
      <c r="W1282" t="e">
        <f t="shared" si="158"/>
        <v>#N/A</v>
      </c>
      <c r="X1282" t="e">
        <f t="shared" si="159"/>
        <v>#N/A</v>
      </c>
    </row>
    <row r="1283" spans="1:24" x14ac:dyDescent="0.3">
      <c r="A1283">
        <v>7.1</v>
      </c>
      <c r="B1283">
        <v>0.46</v>
      </c>
      <c r="C1283">
        <v>0.2</v>
      </c>
      <c r="D1283">
        <v>1.9</v>
      </c>
      <c r="E1283">
        <v>7.6999999999999999E-2</v>
      </c>
      <c r="F1283">
        <v>28</v>
      </c>
      <c r="G1283">
        <v>54</v>
      </c>
      <c r="H1283">
        <v>0.99560000000000004</v>
      </c>
      <c r="I1283">
        <v>3.37</v>
      </c>
      <c r="J1283">
        <v>0.64</v>
      </c>
      <c r="K1283">
        <v>10.4</v>
      </c>
      <c r="L1283">
        <v>6</v>
      </c>
      <c r="M1283" t="str">
        <f t="shared" si="160"/>
        <v>Medium</v>
      </c>
      <c r="N1283">
        <f>(winequality_red[[#This Row],[Updated Quality &amp; Alcohol Analysis]]+winequality_red[[#This Row],[volatile acidity]]+winequality_red[[#This Row],[citric acid]])</f>
        <v>7.76</v>
      </c>
      <c r="O1283">
        <f t="shared" si="161"/>
        <v>2.8307692307692305E-2</v>
      </c>
      <c r="S1283" t="e">
        <f t="shared" ref="S1283:S1346" si="162">IF($M1283="Low",$K1283,NA())</f>
        <v>#N/A</v>
      </c>
      <c r="T1283" t="e">
        <f t="shared" ref="T1283:T1346" si="163">IF($M1283="Low",$L1283,NA())</f>
        <v>#N/A</v>
      </c>
      <c r="U1283">
        <f t="shared" ref="U1283:U1346" si="164">IF($M1283="Medium",$K1283,NA())</f>
        <v>10.4</v>
      </c>
      <c r="V1283">
        <f t="shared" ref="V1283:V1346" si="165">IF($M1283="Medium",$L1283,NA())</f>
        <v>6</v>
      </c>
      <c r="W1283" t="e">
        <f t="shared" ref="W1283:W1346" si="166">IF($M1283="High",$K1283,NA())</f>
        <v>#N/A</v>
      </c>
      <c r="X1283" t="e">
        <f t="shared" ref="X1283:X1346" si="167">IF($M1283="High",$L1283,NA())</f>
        <v>#N/A</v>
      </c>
    </row>
    <row r="1284" spans="1:24" x14ac:dyDescent="0.3">
      <c r="A1284">
        <v>7.9</v>
      </c>
      <c r="B1284">
        <v>0.76500000000000001</v>
      </c>
      <c r="C1284">
        <v>0</v>
      </c>
      <c r="D1284">
        <v>2</v>
      </c>
      <c r="E1284">
        <v>8.4000000000000005E-2</v>
      </c>
      <c r="F1284">
        <v>9</v>
      </c>
      <c r="G1284">
        <v>22</v>
      </c>
      <c r="H1284">
        <v>0.99618999999999991</v>
      </c>
      <c r="I1284">
        <v>3.33</v>
      </c>
      <c r="J1284">
        <v>0.68</v>
      </c>
      <c r="K1284">
        <v>10.9</v>
      </c>
      <c r="L1284">
        <v>6</v>
      </c>
      <c r="M1284" t="str">
        <f t="shared" si="160"/>
        <v>Medium</v>
      </c>
      <c r="N1284">
        <f>(winequality_red[[#This Row],[Updated Quality &amp; Alcohol Analysis]]+winequality_red[[#This Row],[volatile acidity]]+winequality_red[[#This Row],[citric acid]])</f>
        <v>8.6650000000000009</v>
      </c>
      <c r="O1284">
        <f t="shared" si="161"/>
        <v>4.7724770642201833E-2</v>
      </c>
      <c r="S1284" t="e">
        <f t="shared" si="162"/>
        <v>#N/A</v>
      </c>
      <c r="T1284" t="e">
        <f t="shared" si="163"/>
        <v>#N/A</v>
      </c>
      <c r="U1284">
        <f t="shared" si="164"/>
        <v>10.9</v>
      </c>
      <c r="V1284">
        <f t="shared" si="165"/>
        <v>6</v>
      </c>
      <c r="W1284" t="e">
        <f t="shared" si="166"/>
        <v>#N/A</v>
      </c>
      <c r="X1284" t="e">
        <f t="shared" si="167"/>
        <v>#N/A</v>
      </c>
    </row>
    <row r="1285" spans="1:24" x14ac:dyDescent="0.3">
      <c r="A1285">
        <v>8.6999999999999993</v>
      </c>
      <c r="B1285">
        <v>0.63</v>
      </c>
      <c r="C1285">
        <v>0.28000000000000003</v>
      </c>
      <c r="D1285">
        <v>2.7</v>
      </c>
      <c r="E1285">
        <v>9.6000000000000002E-2</v>
      </c>
      <c r="F1285">
        <v>17</v>
      </c>
      <c r="G1285">
        <v>69</v>
      </c>
      <c r="H1285">
        <v>0.99734</v>
      </c>
      <c r="I1285">
        <v>3.26</v>
      </c>
      <c r="J1285">
        <v>0.63</v>
      </c>
      <c r="K1285">
        <v>10.199999999999999</v>
      </c>
      <c r="L1285">
        <v>6</v>
      </c>
      <c r="M1285" t="str">
        <f t="shared" si="160"/>
        <v>Medium</v>
      </c>
      <c r="N1285">
        <f>(winequality_red[[#This Row],[Updated Quality &amp; Alcohol Analysis]]+winequality_red[[#This Row],[volatile acidity]]+winequality_red[[#This Row],[citric acid]])</f>
        <v>9.61</v>
      </c>
      <c r="O1285">
        <f t="shared" si="161"/>
        <v>3.8911764705882361E-2</v>
      </c>
      <c r="S1285" t="e">
        <f t="shared" si="162"/>
        <v>#N/A</v>
      </c>
      <c r="T1285" t="e">
        <f t="shared" si="163"/>
        <v>#N/A</v>
      </c>
      <c r="U1285">
        <f t="shared" si="164"/>
        <v>10.199999999999999</v>
      </c>
      <c r="V1285">
        <f t="shared" si="165"/>
        <v>6</v>
      </c>
      <c r="W1285" t="e">
        <f t="shared" si="166"/>
        <v>#N/A</v>
      </c>
      <c r="X1285" t="e">
        <f t="shared" si="167"/>
        <v>#N/A</v>
      </c>
    </row>
    <row r="1286" spans="1:24" x14ac:dyDescent="0.3">
      <c r="A1286">
        <v>7</v>
      </c>
      <c r="B1286">
        <v>0.42</v>
      </c>
      <c r="C1286">
        <v>0.19</v>
      </c>
      <c r="D1286">
        <v>2.2999999999999998</v>
      </c>
      <c r="E1286">
        <v>7.0999999999999994E-2</v>
      </c>
      <c r="F1286">
        <v>18</v>
      </c>
      <c r="G1286">
        <v>36</v>
      </c>
      <c r="H1286">
        <v>0.99476000000000009</v>
      </c>
      <c r="I1286">
        <v>3.39</v>
      </c>
      <c r="J1286">
        <v>0.56000000000000005</v>
      </c>
      <c r="K1286">
        <v>10.9</v>
      </c>
      <c r="L1286">
        <v>5</v>
      </c>
      <c r="M1286" t="str">
        <f t="shared" si="160"/>
        <v>Medium</v>
      </c>
      <c r="N1286">
        <f>(winequality_red[[#This Row],[Updated Quality &amp; Alcohol Analysis]]+winequality_red[[#This Row],[volatile acidity]]+winequality_red[[#This Row],[citric acid]])</f>
        <v>7.61</v>
      </c>
      <c r="O1286">
        <f t="shared" si="161"/>
        <v>2.1577981651376147E-2</v>
      </c>
      <c r="S1286" t="e">
        <f t="shared" si="162"/>
        <v>#N/A</v>
      </c>
      <c r="T1286" t="e">
        <f t="shared" si="163"/>
        <v>#N/A</v>
      </c>
      <c r="U1286">
        <f t="shared" si="164"/>
        <v>10.9</v>
      </c>
      <c r="V1286">
        <f t="shared" si="165"/>
        <v>5</v>
      </c>
      <c r="W1286" t="e">
        <f t="shared" si="166"/>
        <v>#N/A</v>
      </c>
      <c r="X1286" t="e">
        <f t="shared" si="167"/>
        <v>#N/A</v>
      </c>
    </row>
    <row r="1287" spans="1:24" x14ac:dyDescent="0.3">
      <c r="A1287">
        <v>11.3</v>
      </c>
      <c r="B1287">
        <v>0.37</v>
      </c>
      <c r="C1287">
        <v>0.5</v>
      </c>
      <c r="D1287">
        <v>1.8</v>
      </c>
      <c r="E1287">
        <v>0.09</v>
      </c>
      <c r="F1287">
        <v>20</v>
      </c>
      <c r="G1287">
        <v>47</v>
      </c>
      <c r="H1287">
        <v>0.99734</v>
      </c>
      <c r="I1287">
        <v>3.15</v>
      </c>
      <c r="J1287">
        <v>0.56999999999999995</v>
      </c>
      <c r="K1287">
        <v>10.5</v>
      </c>
      <c r="L1287">
        <v>5</v>
      </c>
      <c r="M1287" t="str">
        <f t="shared" si="160"/>
        <v>Medium</v>
      </c>
      <c r="N1287">
        <f>(winequality_red[[#This Row],[Updated Quality &amp; Alcohol Analysis]]+winequality_red[[#This Row],[volatile acidity]]+winequality_red[[#This Row],[citric acid]])</f>
        <v>12.17</v>
      </c>
      <c r="O1287">
        <f t="shared" si="161"/>
        <v>2.0085714285714283E-2</v>
      </c>
      <c r="S1287" t="e">
        <f t="shared" si="162"/>
        <v>#N/A</v>
      </c>
      <c r="T1287" t="e">
        <f t="shared" si="163"/>
        <v>#N/A</v>
      </c>
      <c r="U1287">
        <f t="shared" si="164"/>
        <v>10.5</v>
      </c>
      <c r="V1287">
        <f t="shared" si="165"/>
        <v>5</v>
      </c>
      <c r="W1287" t="e">
        <f t="shared" si="166"/>
        <v>#N/A</v>
      </c>
      <c r="X1287" t="e">
        <f t="shared" si="167"/>
        <v>#N/A</v>
      </c>
    </row>
    <row r="1288" spans="1:24" x14ac:dyDescent="0.3">
      <c r="A1288">
        <v>7.1</v>
      </c>
      <c r="B1288">
        <v>0.16</v>
      </c>
      <c r="C1288">
        <v>0.44</v>
      </c>
      <c r="D1288">
        <v>2.5</v>
      </c>
      <c r="E1288">
        <v>6.8000000000000005E-2</v>
      </c>
      <c r="F1288">
        <v>17</v>
      </c>
      <c r="G1288">
        <v>31</v>
      </c>
      <c r="H1288">
        <v>0.99327999999999994</v>
      </c>
      <c r="I1288">
        <v>3.35</v>
      </c>
      <c r="J1288">
        <v>0.54</v>
      </c>
      <c r="K1288">
        <v>12.4</v>
      </c>
      <c r="L1288">
        <v>6</v>
      </c>
      <c r="M1288" t="str">
        <f t="shared" si="160"/>
        <v>Medium</v>
      </c>
      <c r="N1288">
        <f>(winequality_red[[#This Row],[Updated Quality &amp; Alcohol Analysis]]+winequality_red[[#This Row],[volatile acidity]]+winequality_red[[#This Row],[citric acid]])</f>
        <v>7.7</v>
      </c>
      <c r="O1288">
        <f t="shared" si="161"/>
        <v>6.9677419354838713E-3</v>
      </c>
      <c r="S1288" t="e">
        <f t="shared" si="162"/>
        <v>#N/A</v>
      </c>
      <c r="T1288" t="e">
        <f t="shared" si="163"/>
        <v>#N/A</v>
      </c>
      <c r="U1288">
        <f t="shared" si="164"/>
        <v>12.4</v>
      </c>
      <c r="V1288">
        <f t="shared" si="165"/>
        <v>6</v>
      </c>
      <c r="W1288" t="e">
        <f t="shared" si="166"/>
        <v>#N/A</v>
      </c>
      <c r="X1288" t="e">
        <f t="shared" si="167"/>
        <v>#N/A</v>
      </c>
    </row>
    <row r="1289" spans="1:24" x14ac:dyDescent="0.3">
      <c r="A1289">
        <v>8</v>
      </c>
      <c r="B1289">
        <v>0.6</v>
      </c>
      <c r="C1289">
        <v>0.08</v>
      </c>
      <c r="D1289">
        <v>2.6</v>
      </c>
      <c r="E1289">
        <v>5.5999999999999994E-2</v>
      </c>
      <c r="F1289">
        <v>3</v>
      </c>
      <c r="G1289">
        <v>7</v>
      </c>
      <c r="H1289">
        <v>0.99286000000000008</v>
      </c>
      <c r="I1289">
        <v>3.22</v>
      </c>
      <c r="J1289">
        <v>0.37</v>
      </c>
      <c r="K1289">
        <v>13</v>
      </c>
      <c r="L1289">
        <v>5</v>
      </c>
      <c r="M1289" t="str">
        <f t="shared" si="160"/>
        <v>Medium</v>
      </c>
      <c r="N1289">
        <f>(winequality_red[[#This Row],[Updated Quality &amp; Alcohol Analysis]]+winequality_red[[#This Row],[volatile acidity]]+winequality_red[[#This Row],[citric acid]])</f>
        <v>8.68</v>
      </c>
      <c r="O1289">
        <f t="shared" si="161"/>
        <v>1.7076923076923076E-2</v>
      </c>
      <c r="S1289" t="e">
        <f t="shared" si="162"/>
        <v>#N/A</v>
      </c>
      <c r="T1289" t="e">
        <f t="shared" si="163"/>
        <v>#N/A</v>
      </c>
      <c r="U1289">
        <f t="shared" si="164"/>
        <v>13</v>
      </c>
      <c r="V1289">
        <f t="shared" si="165"/>
        <v>5</v>
      </c>
      <c r="W1289" t="e">
        <f t="shared" si="166"/>
        <v>#N/A</v>
      </c>
      <c r="X1289" t="e">
        <f t="shared" si="167"/>
        <v>#N/A</v>
      </c>
    </row>
    <row r="1290" spans="1:24" x14ac:dyDescent="0.3">
      <c r="A1290">
        <v>7</v>
      </c>
      <c r="B1290">
        <v>0.6</v>
      </c>
      <c r="C1290">
        <v>0.3</v>
      </c>
      <c r="D1290">
        <v>4.5</v>
      </c>
      <c r="E1290">
        <v>6.8000000000000005E-2</v>
      </c>
      <c r="F1290">
        <v>20</v>
      </c>
      <c r="G1290">
        <v>110</v>
      </c>
      <c r="H1290">
        <v>0.99913999999999992</v>
      </c>
      <c r="I1290">
        <v>3.3</v>
      </c>
      <c r="J1290">
        <v>1.17</v>
      </c>
      <c r="K1290">
        <v>10.199999999999999</v>
      </c>
      <c r="L1290">
        <v>5</v>
      </c>
      <c r="M1290" t="str">
        <f t="shared" si="160"/>
        <v>Medium</v>
      </c>
      <c r="N1290">
        <f>(winequality_red[[#This Row],[Updated Quality &amp; Alcohol Analysis]]+winequality_red[[#This Row],[volatile acidity]]+winequality_red[[#This Row],[citric acid]])</f>
        <v>7.8999999999999995</v>
      </c>
      <c r="O1290">
        <f t="shared" si="161"/>
        <v>6.88235294117647E-2</v>
      </c>
      <c r="S1290" t="e">
        <f t="shared" si="162"/>
        <v>#N/A</v>
      </c>
      <c r="T1290" t="e">
        <f t="shared" si="163"/>
        <v>#N/A</v>
      </c>
      <c r="U1290">
        <f t="shared" si="164"/>
        <v>10.199999999999999</v>
      </c>
      <c r="V1290">
        <f t="shared" si="165"/>
        <v>5</v>
      </c>
      <c r="W1290" t="e">
        <f t="shared" si="166"/>
        <v>#N/A</v>
      </c>
      <c r="X1290" t="e">
        <f t="shared" si="167"/>
        <v>#N/A</v>
      </c>
    </row>
    <row r="1291" spans="1:24" x14ac:dyDescent="0.3">
      <c r="A1291">
        <v>7</v>
      </c>
      <c r="B1291">
        <v>0.6</v>
      </c>
      <c r="C1291">
        <v>0.3</v>
      </c>
      <c r="D1291">
        <v>4.5</v>
      </c>
      <c r="E1291">
        <v>6.8000000000000005E-2</v>
      </c>
      <c r="F1291">
        <v>20</v>
      </c>
      <c r="G1291">
        <v>110</v>
      </c>
      <c r="H1291">
        <v>0.99913999999999992</v>
      </c>
      <c r="I1291">
        <v>3.3</v>
      </c>
      <c r="J1291">
        <v>1.17</v>
      </c>
      <c r="K1291">
        <v>10.199999999999999</v>
      </c>
      <c r="L1291">
        <v>5</v>
      </c>
      <c r="M1291" t="str">
        <f t="shared" si="160"/>
        <v>Medium</v>
      </c>
      <c r="N1291">
        <f>(winequality_red[[#This Row],[Updated Quality &amp; Alcohol Analysis]]+winequality_red[[#This Row],[volatile acidity]]+winequality_red[[#This Row],[citric acid]])</f>
        <v>7.8999999999999995</v>
      </c>
      <c r="O1291">
        <f t="shared" si="161"/>
        <v>6.88235294117647E-2</v>
      </c>
      <c r="S1291" t="e">
        <f t="shared" si="162"/>
        <v>#N/A</v>
      </c>
      <c r="T1291" t="e">
        <f t="shared" si="163"/>
        <v>#N/A</v>
      </c>
      <c r="U1291">
        <f t="shared" si="164"/>
        <v>10.199999999999999</v>
      </c>
      <c r="V1291">
        <f t="shared" si="165"/>
        <v>5</v>
      </c>
      <c r="W1291" t="e">
        <f t="shared" si="166"/>
        <v>#N/A</v>
      </c>
      <c r="X1291" t="e">
        <f t="shared" si="167"/>
        <v>#N/A</v>
      </c>
    </row>
    <row r="1292" spans="1:24" x14ac:dyDescent="0.3">
      <c r="A1292">
        <v>7.6</v>
      </c>
      <c r="B1292">
        <v>0.74</v>
      </c>
      <c r="C1292">
        <v>0</v>
      </c>
      <c r="D1292">
        <v>1.9</v>
      </c>
      <c r="E1292">
        <v>0.1</v>
      </c>
      <c r="F1292">
        <v>6</v>
      </c>
      <c r="G1292">
        <v>12</v>
      </c>
      <c r="H1292">
        <v>0.99521000000000004</v>
      </c>
      <c r="I1292">
        <v>3.36</v>
      </c>
      <c r="J1292">
        <v>0.59</v>
      </c>
      <c r="K1292">
        <v>11</v>
      </c>
      <c r="L1292">
        <v>5</v>
      </c>
      <c r="M1292" t="str">
        <f t="shared" si="160"/>
        <v>Medium</v>
      </c>
      <c r="N1292">
        <f>(winequality_red[[#This Row],[Updated Quality &amp; Alcohol Analysis]]+winequality_red[[#This Row],[volatile acidity]]+winequality_red[[#This Row],[citric acid]])</f>
        <v>8.34</v>
      </c>
      <c r="O1292">
        <f t="shared" si="161"/>
        <v>3.9690909090909089E-2</v>
      </c>
      <c r="S1292" t="e">
        <f t="shared" si="162"/>
        <v>#N/A</v>
      </c>
      <c r="T1292" t="e">
        <f t="shared" si="163"/>
        <v>#N/A</v>
      </c>
      <c r="U1292">
        <f t="shared" si="164"/>
        <v>11</v>
      </c>
      <c r="V1292">
        <f t="shared" si="165"/>
        <v>5</v>
      </c>
      <c r="W1292" t="e">
        <f t="shared" si="166"/>
        <v>#N/A</v>
      </c>
      <c r="X1292" t="e">
        <f t="shared" si="167"/>
        <v>#N/A</v>
      </c>
    </row>
    <row r="1293" spans="1:24" x14ac:dyDescent="0.3">
      <c r="A1293">
        <v>8.1999999999999993</v>
      </c>
      <c r="B1293">
        <v>0.63500000000000001</v>
      </c>
      <c r="C1293">
        <v>0.1</v>
      </c>
      <c r="D1293">
        <v>2.1</v>
      </c>
      <c r="E1293">
        <v>7.2999999999999995E-2</v>
      </c>
      <c r="F1293">
        <v>25</v>
      </c>
      <c r="G1293">
        <v>60</v>
      </c>
      <c r="H1293">
        <v>0.99637999999999993</v>
      </c>
      <c r="I1293">
        <v>3.29</v>
      </c>
      <c r="J1293">
        <v>0.75</v>
      </c>
      <c r="K1293">
        <v>10.9</v>
      </c>
      <c r="L1293">
        <v>6</v>
      </c>
      <c r="M1293" t="str">
        <f t="shared" si="160"/>
        <v>Medium</v>
      </c>
      <c r="N1293">
        <f>(winequality_red[[#This Row],[Updated Quality &amp; Alcohol Analysis]]+winequality_red[[#This Row],[volatile acidity]]+winequality_red[[#This Row],[citric acid]])</f>
        <v>8.9349999999999987</v>
      </c>
      <c r="O1293">
        <f t="shared" si="161"/>
        <v>4.3692660550458715E-2</v>
      </c>
      <c r="S1293" t="e">
        <f t="shared" si="162"/>
        <v>#N/A</v>
      </c>
      <c r="T1293" t="e">
        <f t="shared" si="163"/>
        <v>#N/A</v>
      </c>
      <c r="U1293">
        <f t="shared" si="164"/>
        <v>10.9</v>
      </c>
      <c r="V1293">
        <f t="shared" si="165"/>
        <v>6</v>
      </c>
      <c r="W1293" t="e">
        <f t="shared" si="166"/>
        <v>#N/A</v>
      </c>
      <c r="X1293" t="e">
        <f t="shared" si="167"/>
        <v>#N/A</v>
      </c>
    </row>
    <row r="1294" spans="1:24" x14ac:dyDescent="0.3">
      <c r="A1294">
        <v>5.9</v>
      </c>
      <c r="B1294">
        <v>0.39500000000000002</v>
      </c>
      <c r="C1294">
        <v>0.13</v>
      </c>
      <c r="D1294">
        <v>2.4</v>
      </c>
      <c r="E1294">
        <v>5.5999999999999994E-2</v>
      </c>
      <c r="F1294">
        <v>14</v>
      </c>
      <c r="G1294">
        <v>28</v>
      </c>
      <c r="H1294">
        <v>0.99362000000000006</v>
      </c>
      <c r="I1294">
        <v>3.62</v>
      </c>
      <c r="J1294">
        <v>0.67</v>
      </c>
      <c r="K1294">
        <v>12.4</v>
      </c>
      <c r="L1294">
        <v>6</v>
      </c>
      <c r="M1294" t="str">
        <f t="shared" si="160"/>
        <v>Medium</v>
      </c>
      <c r="N1294">
        <f>(winequality_red[[#This Row],[Updated Quality &amp; Alcohol Analysis]]+winequality_red[[#This Row],[volatile acidity]]+winequality_red[[#This Row],[citric acid]])</f>
        <v>6.4249999999999998</v>
      </c>
      <c r="O1294">
        <f t="shared" si="161"/>
        <v>2.1342741935483876E-2</v>
      </c>
      <c r="S1294" t="e">
        <f t="shared" si="162"/>
        <v>#N/A</v>
      </c>
      <c r="T1294" t="e">
        <f t="shared" si="163"/>
        <v>#N/A</v>
      </c>
      <c r="U1294">
        <f t="shared" si="164"/>
        <v>12.4</v>
      </c>
      <c r="V1294">
        <f t="shared" si="165"/>
        <v>6</v>
      </c>
      <c r="W1294" t="e">
        <f t="shared" si="166"/>
        <v>#N/A</v>
      </c>
      <c r="X1294" t="e">
        <f t="shared" si="167"/>
        <v>#N/A</v>
      </c>
    </row>
    <row r="1295" spans="1:24" x14ac:dyDescent="0.3">
      <c r="A1295">
        <v>7.5</v>
      </c>
      <c r="B1295">
        <v>0.755</v>
      </c>
      <c r="C1295">
        <v>0</v>
      </c>
      <c r="D1295">
        <v>1.9</v>
      </c>
      <c r="E1295">
        <v>8.4000000000000005E-2</v>
      </c>
      <c r="F1295">
        <v>6</v>
      </c>
      <c r="G1295">
        <v>12</v>
      </c>
      <c r="H1295">
        <v>0.99672000000000005</v>
      </c>
      <c r="I1295">
        <v>3.34</v>
      </c>
      <c r="J1295">
        <v>0.49</v>
      </c>
      <c r="K1295">
        <v>9.6999999999999993</v>
      </c>
      <c r="L1295">
        <v>4</v>
      </c>
      <c r="M1295" t="str">
        <f t="shared" si="160"/>
        <v>Low</v>
      </c>
      <c r="N1295">
        <f>(winequality_red[[#This Row],[Updated Quality &amp; Alcohol Analysis]]+winequality_red[[#This Row],[volatile acidity]]+winequality_red[[#This Row],[citric acid]])</f>
        <v>8.2550000000000008</v>
      </c>
      <c r="O1295">
        <f t="shared" si="161"/>
        <v>3.8139175257731965E-2</v>
      </c>
      <c r="S1295">
        <f t="shared" si="162"/>
        <v>9.6999999999999993</v>
      </c>
      <c r="T1295">
        <f t="shared" si="163"/>
        <v>4</v>
      </c>
      <c r="U1295" t="e">
        <f t="shared" si="164"/>
        <v>#N/A</v>
      </c>
      <c r="V1295" t="e">
        <f t="shared" si="165"/>
        <v>#N/A</v>
      </c>
      <c r="W1295" t="e">
        <f t="shared" si="166"/>
        <v>#N/A</v>
      </c>
      <c r="X1295" t="e">
        <f t="shared" si="167"/>
        <v>#N/A</v>
      </c>
    </row>
    <row r="1296" spans="1:24" x14ac:dyDescent="0.3">
      <c r="A1296">
        <v>8.1999999999999993</v>
      </c>
      <c r="B1296">
        <v>0.63500000000000001</v>
      </c>
      <c r="C1296">
        <v>0.1</v>
      </c>
      <c r="D1296">
        <v>2.1</v>
      </c>
      <c r="E1296">
        <v>7.2999999999999995E-2</v>
      </c>
      <c r="F1296">
        <v>25</v>
      </c>
      <c r="G1296">
        <v>60</v>
      </c>
      <c r="H1296">
        <v>0.99637999999999993</v>
      </c>
      <c r="I1296">
        <v>3.29</v>
      </c>
      <c r="J1296">
        <v>0.75</v>
      </c>
      <c r="K1296">
        <v>10.9</v>
      </c>
      <c r="L1296">
        <v>6</v>
      </c>
      <c r="M1296" t="str">
        <f t="shared" si="160"/>
        <v>Medium</v>
      </c>
      <c r="N1296">
        <f>(winequality_red[[#This Row],[Updated Quality &amp; Alcohol Analysis]]+winequality_red[[#This Row],[volatile acidity]]+winequality_red[[#This Row],[citric acid]])</f>
        <v>8.9349999999999987</v>
      </c>
      <c r="O1296">
        <f t="shared" si="161"/>
        <v>4.3692660550458715E-2</v>
      </c>
      <c r="S1296" t="e">
        <f t="shared" si="162"/>
        <v>#N/A</v>
      </c>
      <c r="T1296" t="e">
        <f t="shared" si="163"/>
        <v>#N/A</v>
      </c>
      <c r="U1296">
        <f t="shared" si="164"/>
        <v>10.9</v>
      </c>
      <c r="V1296">
        <f t="shared" si="165"/>
        <v>6</v>
      </c>
      <c r="W1296" t="e">
        <f t="shared" si="166"/>
        <v>#N/A</v>
      </c>
      <c r="X1296" t="e">
        <f t="shared" si="167"/>
        <v>#N/A</v>
      </c>
    </row>
    <row r="1297" spans="1:24" x14ac:dyDescent="0.3">
      <c r="A1297">
        <v>6.6</v>
      </c>
      <c r="B1297">
        <v>0.63</v>
      </c>
      <c r="C1297">
        <v>0</v>
      </c>
      <c r="D1297">
        <v>4.3</v>
      </c>
      <c r="E1297">
        <v>9.3000000000000013E-2</v>
      </c>
      <c r="F1297">
        <v>51</v>
      </c>
      <c r="G1297">
        <v>78</v>
      </c>
      <c r="H1297">
        <v>0.99557999999999991</v>
      </c>
      <c r="I1297">
        <v>3.2</v>
      </c>
      <c r="J1297">
        <v>0.45</v>
      </c>
      <c r="K1297">
        <v>9.5</v>
      </c>
      <c r="L1297">
        <v>5</v>
      </c>
      <c r="M1297" t="str">
        <f t="shared" si="160"/>
        <v>Medium</v>
      </c>
      <c r="N1297">
        <f>(winequality_red[[#This Row],[Updated Quality &amp; Alcohol Analysis]]+winequality_red[[#This Row],[volatile acidity]]+winequality_red[[#This Row],[citric acid]])</f>
        <v>7.2299999999999995</v>
      </c>
      <c r="O1297">
        <f t="shared" si="161"/>
        <v>2.9842105263157899E-2</v>
      </c>
      <c r="S1297" t="e">
        <f t="shared" si="162"/>
        <v>#N/A</v>
      </c>
      <c r="T1297" t="e">
        <f t="shared" si="163"/>
        <v>#N/A</v>
      </c>
      <c r="U1297">
        <f t="shared" si="164"/>
        <v>9.5</v>
      </c>
      <c r="V1297">
        <f t="shared" si="165"/>
        <v>5</v>
      </c>
      <c r="W1297" t="e">
        <f t="shared" si="166"/>
        <v>#N/A</v>
      </c>
      <c r="X1297" t="e">
        <f t="shared" si="167"/>
        <v>#N/A</v>
      </c>
    </row>
    <row r="1298" spans="1:24" x14ac:dyDescent="0.3">
      <c r="A1298">
        <v>6.6</v>
      </c>
      <c r="B1298">
        <v>0.63</v>
      </c>
      <c r="C1298">
        <v>0</v>
      </c>
      <c r="D1298">
        <v>4.3</v>
      </c>
      <c r="E1298">
        <v>9.3000000000000013E-2</v>
      </c>
      <c r="F1298">
        <v>51</v>
      </c>
      <c r="G1298">
        <v>78</v>
      </c>
      <c r="H1298">
        <v>0.99557999999999991</v>
      </c>
      <c r="I1298">
        <v>3.2</v>
      </c>
      <c r="J1298">
        <v>0.45</v>
      </c>
      <c r="K1298">
        <v>9.5</v>
      </c>
      <c r="L1298">
        <v>5</v>
      </c>
      <c r="M1298" t="str">
        <f t="shared" si="160"/>
        <v>Medium</v>
      </c>
      <c r="N1298">
        <f>(winequality_red[[#This Row],[Updated Quality &amp; Alcohol Analysis]]+winequality_red[[#This Row],[volatile acidity]]+winequality_red[[#This Row],[citric acid]])</f>
        <v>7.2299999999999995</v>
      </c>
      <c r="O1298">
        <f t="shared" si="161"/>
        <v>2.9842105263157899E-2</v>
      </c>
      <c r="S1298" t="e">
        <f t="shared" si="162"/>
        <v>#N/A</v>
      </c>
      <c r="T1298" t="e">
        <f t="shared" si="163"/>
        <v>#N/A</v>
      </c>
      <c r="U1298">
        <f t="shared" si="164"/>
        <v>9.5</v>
      </c>
      <c r="V1298">
        <f t="shared" si="165"/>
        <v>5</v>
      </c>
      <c r="W1298" t="e">
        <f t="shared" si="166"/>
        <v>#N/A</v>
      </c>
      <c r="X1298" t="e">
        <f t="shared" si="167"/>
        <v>#N/A</v>
      </c>
    </row>
    <row r="1299" spans="1:24" x14ac:dyDescent="0.3">
      <c r="A1299">
        <v>7.2</v>
      </c>
      <c r="B1299">
        <v>0.53</v>
      </c>
      <c r="C1299">
        <v>0.14000000000000001</v>
      </c>
      <c r="D1299">
        <v>2.1</v>
      </c>
      <c r="E1299">
        <v>6.4000000000000001E-2</v>
      </c>
      <c r="F1299">
        <v>15</v>
      </c>
      <c r="G1299">
        <v>29</v>
      </c>
      <c r="H1299">
        <v>0.99322999999999995</v>
      </c>
      <c r="I1299">
        <v>3.35</v>
      </c>
      <c r="J1299">
        <v>0.61</v>
      </c>
      <c r="K1299">
        <v>12.1</v>
      </c>
      <c r="L1299">
        <v>6</v>
      </c>
      <c r="M1299" t="str">
        <f t="shared" si="160"/>
        <v>Medium</v>
      </c>
      <c r="N1299">
        <f>(winequality_red[[#This Row],[Updated Quality &amp; Alcohol Analysis]]+winequality_red[[#This Row],[volatile acidity]]+winequality_red[[#This Row],[citric acid]])</f>
        <v>7.87</v>
      </c>
      <c r="O1299">
        <f t="shared" si="161"/>
        <v>2.6719008264462812E-2</v>
      </c>
      <c r="S1299" t="e">
        <f t="shared" si="162"/>
        <v>#N/A</v>
      </c>
      <c r="T1299" t="e">
        <f t="shared" si="163"/>
        <v>#N/A</v>
      </c>
      <c r="U1299">
        <f t="shared" si="164"/>
        <v>12.1</v>
      </c>
      <c r="V1299">
        <f t="shared" si="165"/>
        <v>6</v>
      </c>
      <c r="W1299" t="e">
        <f t="shared" si="166"/>
        <v>#N/A</v>
      </c>
      <c r="X1299" t="e">
        <f t="shared" si="167"/>
        <v>#N/A</v>
      </c>
    </row>
    <row r="1300" spans="1:24" x14ac:dyDescent="0.3">
      <c r="A1300">
        <v>5.7</v>
      </c>
      <c r="B1300">
        <v>0.6</v>
      </c>
      <c r="C1300">
        <v>0</v>
      </c>
      <c r="D1300">
        <v>1.4</v>
      </c>
      <c r="E1300">
        <v>6.3E-2</v>
      </c>
      <c r="F1300">
        <v>11</v>
      </c>
      <c r="G1300">
        <v>18</v>
      </c>
      <c r="H1300">
        <v>0.99191000000000007</v>
      </c>
      <c r="I1300">
        <v>3.45</v>
      </c>
      <c r="J1300">
        <v>0.56000000000000005</v>
      </c>
      <c r="K1300">
        <v>12.2</v>
      </c>
      <c r="L1300">
        <v>6</v>
      </c>
      <c r="M1300" t="str">
        <f t="shared" si="160"/>
        <v>Medium</v>
      </c>
      <c r="N1300">
        <f>(winequality_red[[#This Row],[Updated Quality &amp; Alcohol Analysis]]+winequality_red[[#This Row],[volatile acidity]]+winequality_red[[#This Row],[citric acid]])</f>
        <v>6.3</v>
      </c>
      <c r="O1300">
        <f t="shared" si="161"/>
        <v>2.7540983606557379E-2</v>
      </c>
      <c r="S1300" t="e">
        <f t="shared" si="162"/>
        <v>#N/A</v>
      </c>
      <c r="T1300" t="e">
        <f t="shared" si="163"/>
        <v>#N/A</v>
      </c>
      <c r="U1300">
        <f t="shared" si="164"/>
        <v>12.2</v>
      </c>
      <c r="V1300">
        <f t="shared" si="165"/>
        <v>6</v>
      </c>
      <c r="W1300" t="e">
        <f t="shared" si="166"/>
        <v>#N/A</v>
      </c>
      <c r="X1300" t="e">
        <f t="shared" si="167"/>
        <v>#N/A</v>
      </c>
    </row>
    <row r="1301" spans="1:24" x14ac:dyDescent="0.3">
      <c r="A1301">
        <v>7.6</v>
      </c>
      <c r="B1301">
        <v>1.58</v>
      </c>
      <c r="C1301">
        <v>0</v>
      </c>
      <c r="D1301">
        <v>2.1</v>
      </c>
      <c r="E1301">
        <v>0.13699999999999998</v>
      </c>
      <c r="F1301">
        <v>5</v>
      </c>
      <c r="G1301">
        <v>9</v>
      </c>
      <c r="H1301">
        <v>0.99476000000000009</v>
      </c>
      <c r="I1301">
        <v>3.5</v>
      </c>
      <c r="J1301">
        <v>0.4</v>
      </c>
      <c r="K1301">
        <v>10.9</v>
      </c>
      <c r="L1301">
        <v>3</v>
      </c>
      <c r="M1301" t="str">
        <f t="shared" si="160"/>
        <v>Low</v>
      </c>
      <c r="N1301">
        <f>(winequality_red[[#This Row],[Updated Quality &amp; Alcohol Analysis]]+winequality_red[[#This Row],[volatile acidity]]+winequality_red[[#This Row],[citric acid]])</f>
        <v>9.18</v>
      </c>
      <c r="O1301">
        <f t="shared" si="161"/>
        <v>5.7981651376146796E-2</v>
      </c>
      <c r="S1301">
        <f t="shared" si="162"/>
        <v>10.9</v>
      </c>
      <c r="T1301">
        <f t="shared" si="163"/>
        <v>3</v>
      </c>
      <c r="U1301" t="e">
        <f t="shared" si="164"/>
        <v>#N/A</v>
      </c>
      <c r="V1301" t="e">
        <f t="shared" si="165"/>
        <v>#N/A</v>
      </c>
      <c r="W1301" t="e">
        <f t="shared" si="166"/>
        <v>#N/A</v>
      </c>
      <c r="X1301" t="e">
        <f t="shared" si="167"/>
        <v>#N/A</v>
      </c>
    </row>
    <row r="1302" spans="1:24" x14ac:dyDescent="0.3">
      <c r="A1302">
        <v>5.2</v>
      </c>
      <c r="B1302">
        <v>0.64500000000000002</v>
      </c>
      <c r="C1302">
        <v>0</v>
      </c>
      <c r="D1302">
        <v>2.15</v>
      </c>
      <c r="E1302">
        <v>0.08</v>
      </c>
      <c r="F1302">
        <v>15</v>
      </c>
      <c r="G1302">
        <v>28</v>
      </c>
      <c r="H1302">
        <v>0.99443999999999999</v>
      </c>
      <c r="I1302">
        <v>3.78</v>
      </c>
      <c r="J1302">
        <v>0.61</v>
      </c>
      <c r="K1302">
        <v>12.5</v>
      </c>
      <c r="L1302">
        <v>6</v>
      </c>
      <c r="M1302" t="str">
        <f t="shared" si="160"/>
        <v>Medium</v>
      </c>
      <c r="N1302">
        <f>(winequality_red[[#This Row],[Updated Quality &amp; Alcohol Analysis]]+winequality_red[[#This Row],[volatile acidity]]+winequality_red[[#This Row],[citric acid]])</f>
        <v>5.8450000000000006</v>
      </c>
      <c r="O1302">
        <f t="shared" si="161"/>
        <v>3.1476000000000004E-2</v>
      </c>
      <c r="S1302" t="e">
        <f t="shared" si="162"/>
        <v>#N/A</v>
      </c>
      <c r="T1302" t="e">
        <f t="shared" si="163"/>
        <v>#N/A</v>
      </c>
      <c r="U1302">
        <f t="shared" si="164"/>
        <v>12.5</v>
      </c>
      <c r="V1302">
        <f t="shared" si="165"/>
        <v>6</v>
      </c>
      <c r="W1302" t="e">
        <f t="shared" si="166"/>
        <v>#N/A</v>
      </c>
      <c r="X1302" t="e">
        <f t="shared" si="167"/>
        <v>#N/A</v>
      </c>
    </row>
    <row r="1303" spans="1:24" x14ac:dyDescent="0.3">
      <c r="A1303">
        <v>6.7</v>
      </c>
      <c r="B1303">
        <v>0.86</v>
      </c>
      <c r="C1303">
        <v>7.0000000000000007E-2</v>
      </c>
      <c r="D1303">
        <v>2</v>
      </c>
      <c r="E1303">
        <v>0.1</v>
      </c>
      <c r="F1303">
        <v>20</v>
      </c>
      <c r="G1303">
        <v>57</v>
      </c>
      <c r="H1303">
        <v>0.99597999999999998</v>
      </c>
      <c r="I1303">
        <v>3.6</v>
      </c>
      <c r="J1303">
        <v>0.74</v>
      </c>
      <c r="K1303">
        <v>11.7</v>
      </c>
      <c r="L1303">
        <v>6</v>
      </c>
      <c r="M1303" t="str">
        <f t="shared" si="160"/>
        <v>Medium</v>
      </c>
      <c r="N1303">
        <f>(winequality_red[[#This Row],[Updated Quality &amp; Alcohol Analysis]]+winequality_red[[#This Row],[volatile acidity]]+winequality_red[[#This Row],[citric acid]])</f>
        <v>7.6300000000000008</v>
      </c>
      <c r="O1303">
        <f t="shared" si="161"/>
        <v>5.4393162393162393E-2</v>
      </c>
      <c r="S1303" t="e">
        <f t="shared" si="162"/>
        <v>#N/A</v>
      </c>
      <c r="T1303" t="e">
        <f t="shared" si="163"/>
        <v>#N/A</v>
      </c>
      <c r="U1303">
        <f t="shared" si="164"/>
        <v>11.7</v>
      </c>
      <c r="V1303">
        <f t="shared" si="165"/>
        <v>6</v>
      </c>
      <c r="W1303" t="e">
        <f t="shared" si="166"/>
        <v>#N/A</v>
      </c>
      <c r="X1303" t="e">
        <f t="shared" si="167"/>
        <v>#N/A</v>
      </c>
    </row>
    <row r="1304" spans="1:24" x14ac:dyDescent="0.3">
      <c r="A1304">
        <v>9.1</v>
      </c>
      <c r="B1304">
        <v>0.37</v>
      </c>
      <c r="C1304">
        <v>0.32</v>
      </c>
      <c r="D1304">
        <v>2.1</v>
      </c>
      <c r="E1304">
        <v>6.4000000000000001E-2</v>
      </c>
      <c r="F1304">
        <v>4</v>
      </c>
      <c r="G1304">
        <v>15</v>
      </c>
      <c r="H1304">
        <v>0.99576000000000009</v>
      </c>
      <c r="I1304">
        <v>3.3</v>
      </c>
      <c r="J1304">
        <v>0.8</v>
      </c>
      <c r="K1304">
        <v>11.2</v>
      </c>
      <c r="L1304">
        <v>6</v>
      </c>
      <c r="M1304" t="str">
        <f t="shared" si="160"/>
        <v>Medium</v>
      </c>
      <c r="N1304">
        <f>(winequality_red[[#This Row],[Updated Quality &amp; Alcohol Analysis]]+winequality_red[[#This Row],[volatile acidity]]+winequality_red[[#This Row],[citric acid]])</f>
        <v>9.7899999999999991</v>
      </c>
      <c r="O1304">
        <f t="shared" si="161"/>
        <v>2.642857142857143E-2</v>
      </c>
      <c r="S1304" t="e">
        <f t="shared" si="162"/>
        <v>#N/A</v>
      </c>
      <c r="T1304" t="e">
        <f t="shared" si="163"/>
        <v>#N/A</v>
      </c>
      <c r="U1304">
        <f t="shared" si="164"/>
        <v>11.2</v>
      </c>
      <c r="V1304">
        <f t="shared" si="165"/>
        <v>6</v>
      </c>
      <c r="W1304" t="e">
        <f t="shared" si="166"/>
        <v>#N/A</v>
      </c>
      <c r="X1304" t="e">
        <f t="shared" si="167"/>
        <v>#N/A</v>
      </c>
    </row>
    <row r="1305" spans="1:24" x14ac:dyDescent="0.3">
      <c r="A1305">
        <v>8</v>
      </c>
      <c r="B1305">
        <v>0.28000000000000003</v>
      </c>
      <c r="C1305">
        <v>0.44</v>
      </c>
      <c r="D1305">
        <v>1.8</v>
      </c>
      <c r="E1305">
        <v>8.1000000000000003E-2</v>
      </c>
      <c r="F1305">
        <v>28</v>
      </c>
      <c r="G1305">
        <v>68</v>
      </c>
      <c r="H1305">
        <v>0.99501000000000006</v>
      </c>
      <c r="I1305">
        <v>3.36</v>
      </c>
      <c r="J1305">
        <v>0.66</v>
      </c>
      <c r="K1305">
        <v>11.2</v>
      </c>
      <c r="L1305">
        <v>5</v>
      </c>
      <c r="M1305" t="str">
        <f t="shared" si="160"/>
        <v>Medium</v>
      </c>
      <c r="N1305">
        <f>(winequality_red[[#This Row],[Updated Quality &amp; Alcohol Analysis]]+winequality_red[[#This Row],[volatile acidity]]+winequality_red[[#This Row],[citric acid]])</f>
        <v>8.7199999999999989</v>
      </c>
      <c r="O1305">
        <f t="shared" si="161"/>
        <v>1.6500000000000004E-2</v>
      </c>
      <c r="S1305" t="e">
        <f t="shared" si="162"/>
        <v>#N/A</v>
      </c>
      <c r="T1305" t="e">
        <f t="shared" si="163"/>
        <v>#N/A</v>
      </c>
      <c r="U1305">
        <f t="shared" si="164"/>
        <v>11.2</v>
      </c>
      <c r="V1305">
        <f t="shared" si="165"/>
        <v>5</v>
      </c>
      <c r="W1305" t="e">
        <f t="shared" si="166"/>
        <v>#N/A</v>
      </c>
      <c r="X1305" t="e">
        <f t="shared" si="167"/>
        <v>#N/A</v>
      </c>
    </row>
    <row r="1306" spans="1:24" x14ac:dyDescent="0.3">
      <c r="A1306">
        <v>7.6</v>
      </c>
      <c r="B1306">
        <v>0.79</v>
      </c>
      <c r="C1306">
        <v>0.21</v>
      </c>
      <c r="D1306">
        <v>2.2999999999999998</v>
      </c>
      <c r="E1306">
        <v>8.6999999999999994E-2</v>
      </c>
      <c r="F1306">
        <v>21</v>
      </c>
      <c r="G1306">
        <v>68</v>
      </c>
      <c r="H1306">
        <v>0.99550000000000005</v>
      </c>
      <c r="I1306">
        <v>3.12</v>
      </c>
      <c r="J1306">
        <v>0.44</v>
      </c>
      <c r="K1306">
        <v>9.1999999999999993</v>
      </c>
      <c r="L1306">
        <v>5</v>
      </c>
      <c r="M1306" t="str">
        <f t="shared" si="160"/>
        <v>Medium</v>
      </c>
      <c r="N1306">
        <f>(winequality_red[[#This Row],[Updated Quality &amp; Alcohol Analysis]]+winequality_red[[#This Row],[volatile acidity]]+winequality_red[[#This Row],[citric acid]])</f>
        <v>8.6000000000000014</v>
      </c>
      <c r="O1306">
        <f t="shared" si="161"/>
        <v>3.7782608695652177E-2</v>
      </c>
      <c r="S1306" t="e">
        <f t="shared" si="162"/>
        <v>#N/A</v>
      </c>
      <c r="T1306" t="e">
        <f t="shared" si="163"/>
        <v>#N/A</v>
      </c>
      <c r="U1306">
        <f t="shared" si="164"/>
        <v>9.1999999999999993</v>
      </c>
      <c r="V1306">
        <f t="shared" si="165"/>
        <v>5</v>
      </c>
      <c r="W1306" t="e">
        <f t="shared" si="166"/>
        <v>#N/A</v>
      </c>
      <c r="X1306" t="e">
        <f t="shared" si="167"/>
        <v>#N/A</v>
      </c>
    </row>
    <row r="1307" spans="1:24" x14ac:dyDescent="0.3">
      <c r="A1307">
        <v>7.5</v>
      </c>
      <c r="B1307">
        <v>0.61</v>
      </c>
      <c r="C1307">
        <v>0.26</v>
      </c>
      <c r="D1307">
        <v>1.9</v>
      </c>
      <c r="E1307">
        <v>7.2999999999999995E-2</v>
      </c>
      <c r="F1307">
        <v>24</v>
      </c>
      <c r="G1307">
        <v>88</v>
      </c>
      <c r="H1307">
        <v>0.99612000000000012</v>
      </c>
      <c r="I1307">
        <v>3.3</v>
      </c>
      <c r="J1307">
        <v>0.53</v>
      </c>
      <c r="K1307">
        <v>9.8000000000000007</v>
      </c>
      <c r="L1307">
        <v>5</v>
      </c>
      <c r="M1307" t="str">
        <f t="shared" si="160"/>
        <v>Medium</v>
      </c>
      <c r="N1307">
        <f>(winequality_red[[#This Row],[Updated Quality &amp; Alcohol Analysis]]+winequality_red[[#This Row],[volatile acidity]]+winequality_red[[#This Row],[citric acid]])</f>
        <v>8.3699999999999992</v>
      </c>
      <c r="O1307">
        <f t="shared" si="161"/>
        <v>3.298979591836735E-2</v>
      </c>
      <c r="S1307" t="e">
        <f t="shared" si="162"/>
        <v>#N/A</v>
      </c>
      <c r="T1307" t="e">
        <f t="shared" si="163"/>
        <v>#N/A</v>
      </c>
      <c r="U1307">
        <f t="shared" si="164"/>
        <v>9.8000000000000007</v>
      </c>
      <c r="V1307">
        <f t="shared" si="165"/>
        <v>5</v>
      </c>
      <c r="W1307" t="e">
        <f t="shared" si="166"/>
        <v>#N/A</v>
      </c>
      <c r="X1307" t="e">
        <f t="shared" si="167"/>
        <v>#N/A</v>
      </c>
    </row>
    <row r="1308" spans="1:24" x14ac:dyDescent="0.3">
      <c r="A1308">
        <v>9.6999999999999993</v>
      </c>
      <c r="B1308">
        <v>0.69</v>
      </c>
      <c r="C1308">
        <v>0.32</v>
      </c>
      <c r="D1308">
        <v>2.5</v>
      </c>
      <c r="E1308">
        <v>8.8000000000000009E-2</v>
      </c>
      <c r="F1308">
        <v>22</v>
      </c>
      <c r="G1308">
        <v>91</v>
      </c>
      <c r="H1308">
        <v>0.99790000000000001</v>
      </c>
      <c r="I1308">
        <v>3.29</v>
      </c>
      <c r="J1308">
        <v>0.62</v>
      </c>
      <c r="K1308">
        <v>10.1</v>
      </c>
      <c r="L1308">
        <v>5</v>
      </c>
      <c r="M1308" t="str">
        <f t="shared" si="160"/>
        <v>Medium</v>
      </c>
      <c r="N1308">
        <f>(winequality_red[[#This Row],[Updated Quality &amp; Alcohol Analysis]]+winequality_red[[#This Row],[volatile acidity]]+winequality_red[[#This Row],[citric acid]])</f>
        <v>10.709999999999999</v>
      </c>
      <c r="O1308">
        <f t="shared" si="161"/>
        <v>4.2356435643564352E-2</v>
      </c>
      <c r="S1308" t="e">
        <f t="shared" si="162"/>
        <v>#N/A</v>
      </c>
      <c r="T1308" t="e">
        <f t="shared" si="163"/>
        <v>#N/A</v>
      </c>
      <c r="U1308">
        <f t="shared" si="164"/>
        <v>10.1</v>
      </c>
      <c r="V1308">
        <f t="shared" si="165"/>
        <v>5</v>
      </c>
      <c r="W1308" t="e">
        <f t="shared" si="166"/>
        <v>#N/A</v>
      </c>
      <c r="X1308" t="e">
        <f t="shared" si="167"/>
        <v>#N/A</v>
      </c>
    </row>
    <row r="1309" spans="1:24" x14ac:dyDescent="0.3">
      <c r="A1309">
        <v>6.8</v>
      </c>
      <c r="B1309">
        <v>0.68</v>
      </c>
      <c r="C1309">
        <v>0.09</v>
      </c>
      <c r="D1309">
        <v>3.9</v>
      </c>
      <c r="E1309">
        <v>6.8000000000000005E-2</v>
      </c>
      <c r="F1309">
        <v>15</v>
      </c>
      <c r="G1309">
        <v>29</v>
      </c>
      <c r="H1309">
        <v>0.99524000000000001</v>
      </c>
      <c r="I1309">
        <v>3.41</v>
      </c>
      <c r="J1309">
        <v>0.52</v>
      </c>
      <c r="K1309">
        <v>11.1</v>
      </c>
      <c r="L1309">
        <v>4</v>
      </c>
      <c r="M1309" t="str">
        <f t="shared" si="160"/>
        <v>Low</v>
      </c>
      <c r="N1309">
        <f>(winequality_red[[#This Row],[Updated Quality &amp; Alcohol Analysis]]+winequality_red[[#This Row],[volatile acidity]]+winequality_red[[#This Row],[citric acid]])</f>
        <v>7.5699999999999994</v>
      </c>
      <c r="O1309">
        <f t="shared" si="161"/>
        <v>3.1855855855855861E-2</v>
      </c>
      <c r="S1309">
        <f t="shared" si="162"/>
        <v>11.1</v>
      </c>
      <c r="T1309">
        <f t="shared" si="163"/>
        <v>4</v>
      </c>
      <c r="U1309" t="e">
        <f t="shared" si="164"/>
        <v>#N/A</v>
      </c>
      <c r="V1309" t="e">
        <f t="shared" si="165"/>
        <v>#N/A</v>
      </c>
      <c r="W1309" t="e">
        <f t="shared" si="166"/>
        <v>#N/A</v>
      </c>
      <c r="X1309" t="e">
        <f t="shared" si="167"/>
        <v>#N/A</v>
      </c>
    </row>
    <row r="1310" spans="1:24" x14ac:dyDescent="0.3">
      <c r="A1310">
        <v>9.6999999999999993</v>
      </c>
      <c r="B1310">
        <v>0.69</v>
      </c>
      <c r="C1310">
        <v>0.32</v>
      </c>
      <c r="D1310">
        <v>2.5</v>
      </c>
      <c r="E1310">
        <v>8.8000000000000009E-2</v>
      </c>
      <c r="F1310">
        <v>22</v>
      </c>
      <c r="G1310">
        <v>91</v>
      </c>
      <c r="H1310">
        <v>0.99790000000000001</v>
      </c>
      <c r="I1310">
        <v>3.29</v>
      </c>
      <c r="J1310">
        <v>0.62</v>
      </c>
      <c r="K1310">
        <v>10.1</v>
      </c>
      <c r="L1310">
        <v>5</v>
      </c>
      <c r="M1310" t="str">
        <f t="shared" si="160"/>
        <v>Medium</v>
      </c>
      <c r="N1310">
        <f>(winequality_red[[#This Row],[Updated Quality &amp; Alcohol Analysis]]+winequality_red[[#This Row],[volatile acidity]]+winequality_red[[#This Row],[citric acid]])</f>
        <v>10.709999999999999</v>
      </c>
      <c r="O1310">
        <f t="shared" si="161"/>
        <v>4.2356435643564352E-2</v>
      </c>
      <c r="S1310" t="e">
        <f t="shared" si="162"/>
        <v>#N/A</v>
      </c>
      <c r="T1310" t="e">
        <f t="shared" si="163"/>
        <v>#N/A</v>
      </c>
      <c r="U1310">
        <f t="shared" si="164"/>
        <v>10.1</v>
      </c>
      <c r="V1310">
        <f t="shared" si="165"/>
        <v>5</v>
      </c>
      <c r="W1310" t="e">
        <f t="shared" si="166"/>
        <v>#N/A</v>
      </c>
      <c r="X1310" t="e">
        <f t="shared" si="167"/>
        <v>#N/A</v>
      </c>
    </row>
    <row r="1311" spans="1:24" x14ac:dyDescent="0.3">
      <c r="A1311">
        <v>7</v>
      </c>
      <c r="B1311">
        <v>0.62</v>
      </c>
      <c r="C1311">
        <v>0.1</v>
      </c>
      <c r="D1311">
        <v>1.4</v>
      </c>
      <c r="E1311">
        <v>7.0999999999999994E-2</v>
      </c>
      <c r="F1311">
        <v>27</v>
      </c>
      <c r="G1311">
        <v>63</v>
      </c>
      <c r="H1311">
        <v>0.996</v>
      </c>
      <c r="I1311">
        <v>3.28</v>
      </c>
      <c r="J1311">
        <v>0.61</v>
      </c>
      <c r="K1311">
        <v>9.1999999999999993</v>
      </c>
      <c r="L1311">
        <v>5</v>
      </c>
      <c r="M1311" t="str">
        <f t="shared" si="160"/>
        <v>Medium</v>
      </c>
      <c r="N1311">
        <f>(winequality_red[[#This Row],[Updated Quality &amp; Alcohol Analysis]]+winequality_red[[#This Row],[volatile acidity]]+winequality_red[[#This Row],[citric acid]])</f>
        <v>7.72</v>
      </c>
      <c r="O1311">
        <f t="shared" si="161"/>
        <v>4.1108695652173913E-2</v>
      </c>
      <c r="S1311" t="e">
        <f t="shared" si="162"/>
        <v>#N/A</v>
      </c>
      <c r="T1311" t="e">
        <f t="shared" si="163"/>
        <v>#N/A</v>
      </c>
      <c r="U1311">
        <f t="shared" si="164"/>
        <v>9.1999999999999993</v>
      </c>
      <c r="V1311">
        <f t="shared" si="165"/>
        <v>5</v>
      </c>
      <c r="W1311" t="e">
        <f t="shared" si="166"/>
        <v>#N/A</v>
      </c>
      <c r="X1311" t="e">
        <f t="shared" si="167"/>
        <v>#N/A</v>
      </c>
    </row>
    <row r="1312" spans="1:24" x14ac:dyDescent="0.3">
      <c r="A1312">
        <v>7.5</v>
      </c>
      <c r="B1312">
        <v>0.61</v>
      </c>
      <c r="C1312">
        <v>0.26</v>
      </c>
      <c r="D1312">
        <v>1.9</v>
      </c>
      <c r="E1312">
        <v>7.2999999999999995E-2</v>
      </c>
      <c r="F1312">
        <v>24</v>
      </c>
      <c r="G1312">
        <v>88</v>
      </c>
      <c r="H1312">
        <v>0.99612000000000012</v>
      </c>
      <c r="I1312">
        <v>3.3</v>
      </c>
      <c r="J1312">
        <v>0.53</v>
      </c>
      <c r="K1312">
        <v>9.8000000000000007</v>
      </c>
      <c r="L1312">
        <v>5</v>
      </c>
      <c r="M1312" t="str">
        <f t="shared" si="160"/>
        <v>Medium</v>
      </c>
      <c r="N1312">
        <f>(winequality_red[[#This Row],[Updated Quality &amp; Alcohol Analysis]]+winequality_red[[#This Row],[volatile acidity]]+winequality_red[[#This Row],[citric acid]])</f>
        <v>8.3699999999999992</v>
      </c>
      <c r="O1312">
        <f t="shared" si="161"/>
        <v>3.298979591836735E-2</v>
      </c>
      <c r="S1312" t="e">
        <f t="shared" si="162"/>
        <v>#N/A</v>
      </c>
      <c r="T1312" t="e">
        <f t="shared" si="163"/>
        <v>#N/A</v>
      </c>
      <c r="U1312">
        <f t="shared" si="164"/>
        <v>9.8000000000000007</v>
      </c>
      <c r="V1312">
        <f t="shared" si="165"/>
        <v>5</v>
      </c>
      <c r="W1312" t="e">
        <f t="shared" si="166"/>
        <v>#N/A</v>
      </c>
      <c r="X1312" t="e">
        <f t="shared" si="167"/>
        <v>#N/A</v>
      </c>
    </row>
    <row r="1313" spans="1:24" x14ac:dyDescent="0.3">
      <c r="A1313">
        <v>6.5</v>
      </c>
      <c r="B1313">
        <v>0.51</v>
      </c>
      <c r="C1313">
        <v>0.15</v>
      </c>
      <c r="D1313">
        <v>3</v>
      </c>
      <c r="E1313">
        <v>6.4000000000000001E-2</v>
      </c>
      <c r="F1313">
        <v>12</v>
      </c>
      <c r="G1313">
        <v>27</v>
      </c>
      <c r="H1313">
        <v>0.9929</v>
      </c>
      <c r="I1313">
        <v>3.33</v>
      </c>
      <c r="J1313">
        <v>0.59</v>
      </c>
      <c r="K1313">
        <v>12.8</v>
      </c>
      <c r="L1313">
        <v>6</v>
      </c>
      <c r="M1313" t="str">
        <f t="shared" si="160"/>
        <v>Medium</v>
      </c>
      <c r="N1313">
        <f>(winequality_red[[#This Row],[Updated Quality &amp; Alcohol Analysis]]+winequality_red[[#This Row],[volatile acidity]]+winequality_red[[#This Row],[citric acid]])</f>
        <v>7.16</v>
      </c>
      <c r="O1313">
        <f t="shared" si="161"/>
        <v>2.3507812499999999E-2</v>
      </c>
      <c r="S1313" t="e">
        <f t="shared" si="162"/>
        <v>#N/A</v>
      </c>
      <c r="T1313" t="e">
        <f t="shared" si="163"/>
        <v>#N/A</v>
      </c>
      <c r="U1313">
        <f t="shared" si="164"/>
        <v>12.8</v>
      </c>
      <c r="V1313">
        <f t="shared" si="165"/>
        <v>6</v>
      </c>
      <c r="W1313" t="e">
        <f t="shared" si="166"/>
        <v>#N/A</v>
      </c>
      <c r="X1313" t="e">
        <f t="shared" si="167"/>
        <v>#N/A</v>
      </c>
    </row>
    <row r="1314" spans="1:24" x14ac:dyDescent="0.3">
      <c r="A1314">
        <v>8</v>
      </c>
      <c r="B1314">
        <v>1.18</v>
      </c>
      <c r="C1314">
        <v>0.21</v>
      </c>
      <c r="D1314">
        <v>1.9</v>
      </c>
      <c r="E1314">
        <v>8.3000000000000004E-2</v>
      </c>
      <c r="F1314">
        <v>14</v>
      </c>
      <c r="G1314">
        <v>41</v>
      </c>
      <c r="H1314">
        <v>0.99532000000000009</v>
      </c>
      <c r="I1314">
        <v>3.34</v>
      </c>
      <c r="J1314">
        <v>0.47</v>
      </c>
      <c r="K1314">
        <v>10.5</v>
      </c>
      <c r="L1314">
        <v>5</v>
      </c>
      <c r="M1314" t="str">
        <f t="shared" si="160"/>
        <v>Medium</v>
      </c>
      <c r="N1314">
        <f>(winequality_red[[#This Row],[Updated Quality &amp; Alcohol Analysis]]+winequality_red[[#This Row],[volatile acidity]]+winequality_red[[#This Row],[citric acid]])</f>
        <v>9.39</v>
      </c>
      <c r="O1314">
        <f t="shared" si="161"/>
        <v>5.281904761904762E-2</v>
      </c>
      <c r="S1314" t="e">
        <f t="shared" si="162"/>
        <v>#N/A</v>
      </c>
      <c r="T1314" t="e">
        <f t="shared" si="163"/>
        <v>#N/A</v>
      </c>
      <c r="U1314">
        <f t="shared" si="164"/>
        <v>10.5</v>
      </c>
      <c r="V1314">
        <f t="shared" si="165"/>
        <v>5</v>
      </c>
      <c r="W1314" t="e">
        <f t="shared" si="166"/>
        <v>#N/A</v>
      </c>
      <c r="X1314" t="e">
        <f t="shared" si="167"/>
        <v>#N/A</v>
      </c>
    </row>
    <row r="1315" spans="1:24" x14ac:dyDescent="0.3">
      <c r="A1315">
        <v>7</v>
      </c>
      <c r="B1315">
        <v>0.36</v>
      </c>
      <c r="C1315">
        <v>0.21</v>
      </c>
      <c r="D1315">
        <v>2.2999999999999998</v>
      </c>
      <c r="E1315">
        <v>8.5999999999999993E-2</v>
      </c>
      <c r="F1315">
        <v>20</v>
      </c>
      <c r="G1315">
        <v>65</v>
      </c>
      <c r="H1315">
        <v>0.99557999999999991</v>
      </c>
      <c r="I1315">
        <v>3.4</v>
      </c>
      <c r="J1315">
        <v>0.54</v>
      </c>
      <c r="K1315">
        <v>10.1</v>
      </c>
      <c r="L1315">
        <v>6</v>
      </c>
      <c r="M1315" t="str">
        <f t="shared" si="160"/>
        <v>Medium</v>
      </c>
      <c r="N1315">
        <f>(winequality_red[[#This Row],[Updated Quality &amp; Alcohol Analysis]]+winequality_red[[#This Row],[volatile acidity]]+winequality_red[[#This Row],[citric acid]])</f>
        <v>7.57</v>
      </c>
      <c r="O1315">
        <f t="shared" si="161"/>
        <v>1.9247524752475251E-2</v>
      </c>
      <c r="S1315" t="e">
        <f t="shared" si="162"/>
        <v>#N/A</v>
      </c>
      <c r="T1315" t="e">
        <f t="shared" si="163"/>
        <v>#N/A</v>
      </c>
      <c r="U1315">
        <f t="shared" si="164"/>
        <v>10.1</v>
      </c>
      <c r="V1315">
        <f t="shared" si="165"/>
        <v>6</v>
      </c>
      <c r="W1315" t="e">
        <f t="shared" si="166"/>
        <v>#N/A</v>
      </c>
      <c r="X1315" t="e">
        <f t="shared" si="167"/>
        <v>#N/A</v>
      </c>
    </row>
    <row r="1316" spans="1:24" x14ac:dyDescent="0.3">
      <c r="A1316">
        <v>7</v>
      </c>
      <c r="B1316">
        <v>0.36</v>
      </c>
      <c r="C1316">
        <v>0.21</v>
      </c>
      <c r="D1316">
        <v>2.4</v>
      </c>
      <c r="E1316">
        <v>8.5999999999999993E-2</v>
      </c>
      <c r="F1316">
        <v>24</v>
      </c>
      <c r="G1316">
        <v>69</v>
      </c>
      <c r="H1316">
        <v>0.99556</v>
      </c>
      <c r="I1316">
        <v>3.4</v>
      </c>
      <c r="J1316">
        <v>0.53</v>
      </c>
      <c r="K1316">
        <v>10.1</v>
      </c>
      <c r="L1316">
        <v>6</v>
      </c>
      <c r="M1316" t="str">
        <f t="shared" si="160"/>
        <v>Medium</v>
      </c>
      <c r="N1316">
        <f>(winequality_red[[#This Row],[Updated Quality &amp; Alcohol Analysis]]+winequality_red[[#This Row],[volatile acidity]]+winequality_red[[#This Row],[citric acid]])</f>
        <v>7.57</v>
      </c>
      <c r="O1316">
        <f t="shared" si="161"/>
        <v>1.8891089108910891E-2</v>
      </c>
      <c r="S1316" t="e">
        <f t="shared" si="162"/>
        <v>#N/A</v>
      </c>
      <c r="T1316" t="e">
        <f t="shared" si="163"/>
        <v>#N/A</v>
      </c>
      <c r="U1316">
        <f t="shared" si="164"/>
        <v>10.1</v>
      </c>
      <c r="V1316">
        <f t="shared" si="165"/>
        <v>6</v>
      </c>
      <c r="W1316" t="e">
        <f t="shared" si="166"/>
        <v>#N/A</v>
      </c>
      <c r="X1316" t="e">
        <f t="shared" si="167"/>
        <v>#N/A</v>
      </c>
    </row>
    <row r="1317" spans="1:24" x14ac:dyDescent="0.3">
      <c r="A1317">
        <v>7.5</v>
      </c>
      <c r="B1317">
        <v>0.63</v>
      </c>
      <c r="C1317">
        <v>0.27</v>
      </c>
      <c r="D1317">
        <v>2</v>
      </c>
      <c r="E1317">
        <v>8.3000000000000004E-2</v>
      </c>
      <c r="F1317">
        <v>17</v>
      </c>
      <c r="G1317">
        <v>91</v>
      </c>
      <c r="H1317">
        <v>0.99616000000000005</v>
      </c>
      <c r="I1317">
        <v>3.26</v>
      </c>
      <c r="J1317">
        <v>0.57999999999999996</v>
      </c>
      <c r="K1317">
        <v>9.8000000000000007</v>
      </c>
      <c r="L1317">
        <v>6</v>
      </c>
      <c r="M1317" t="str">
        <f t="shared" si="160"/>
        <v>Medium</v>
      </c>
      <c r="N1317">
        <f>(winequality_red[[#This Row],[Updated Quality &amp; Alcohol Analysis]]+winequality_red[[#This Row],[volatile acidity]]+winequality_red[[#This Row],[citric acid]])</f>
        <v>8.4</v>
      </c>
      <c r="O1317">
        <f t="shared" si="161"/>
        <v>3.7285714285714283E-2</v>
      </c>
      <c r="S1317" t="e">
        <f t="shared" si="162"/>
        <v>#N/A</v>
      </c>
      <c r="T1317" t="e">
        <f t="shared" si="163"/>
        <v>#N/A</v>
      </c>
      <c r="U1317">
        <f t="shared" si="164"/>
        <v>9.8000000000000007</v>
      </c>
      <c r="V1317">
        <f t="shared" si="165"/>
        <v>6</v>
      </c>
      <c r="W1317" t="e">
        <f t="shared" si="166"/>
        <v>#N/A</v>
      </c>
      <c r="X1317" t="e">
        <f t="shared" si="167"/>
        <v>#N/A</v>
      </c>
    </row>
    <row r="1318" spans="1:24" x14ac:dyDescent="0.3">
      <c r="A1318">
        <v>5.4</v>
      </c>
      <c r="B1318">
        <v>0.74</v>
      </c>
      <c r="C1318">
        <v>0</v>
      </c>
      <c r="D1318">
        <v>1.2</v>
      </c>
      <c r="E1318">
        <v>4.0999999999999995E-2</v>
      </c>
      <c r="F1318">
        <v>16</v>
      </c>
      <c r="G1318">
        <v>46</v>
      </c>
      <c r="H1318">
        <v>0.99257999999999991</v>
      </c>
      <c r="I1318">
        <v>4.01</v>
      </c>
      <c r="J1318">
        <v>0.59</v>
      </c>
      <c r="K1318">
        <v>12.5</v>
      </c>
      <c r="L1318">
        <v>6</v>
      </c>
      <c r="M1318" t="str">
        <f t="shared" si="160"/>
        <v>Medium</v>
      </c>
      <c r="N1318">
        <f>(winequality_red[[#This Row],[Updated Quality &amp; Alcohol Analysis]]+winequality_red[[#This Row],[volatile acidity]]+winequality_red[[#This Row],[citric acid]])</f>
        <v>6.1400000000000006</v>
      </c>
      <c r="O1318">
        <f t="shared" si="161"/>
        <v>3.4928000000000001E-2</v>
      </c>
      <c r="S1318" t="e">
        <f t="shared" si="162"/>
        <v>#N/A</v>
      </c>
      <c r="T1318" t="e">
        <f t="shared" si="163"/>
        <v>#N/A</v>
      </c>
      <c r="U1318">
        <f t="shared" si="164"/>
        <v>12.5</v>
      </c>
      <c r="V1318">
        <f t="shared" si="165"/>
        <v>6</v>
      </c>
      <c r="W1318" t="e">
        <f t="shared" si="166"/>
        <v>#N/A</v>
      </c>
      <c r="X1318" t="e">
        <f t="shared" si="167"/>
        <v>#N/A</v>
      </c>
    </row>
    <row r="1319" spans="1:24" x14ac:dyDescent="0.3">
      <c r="A1319">
        <v>9.9</v>
      </c>
      <c r="B1319">
        <v>0.44</v>
      </c>
      <c r="C1319">
        <v>0.46</v>
      </c>
      <c r="D1319">
        <v>2.2000000000000002</v>
      </c>
      <c r="E1319">
        <v>9.0999999999999998E-2</v>
      </c>
      <c r="F1319">
        <v>10</v>
      </c>
      <c r="G1319">
        <v>41</v>
      </c>
      <c r="H1319">
        <v>0.99637999999999993</v>
      </c>
      <c r="I1319">
        <v>3.18</v>
      </c>
      <c r="J1319">
        <v>0.69</v>
      </c>
      <c r="K1319">
        <v>11.9</v>
      </c>
      <c r="L1319">
        <v>6</v>
      </c>
      <c r="M1319" t="str">
        <f t="shared" si="160"/>
        <v>Medium</v>
      </c>
      <c r="N1319">
        <f>(winequality_red[[#This Row],[Updated Quality &amp; Alcohol Analysis]]+winequality_red[[#This Row],[volatile acidity]]+winequality_red[[#This Row],[citric acid]])</f>
        <v>10.8</v>
      </c>
      <c r="O1319">
        <f t="shared" si="161"/>
        <v>2.5512605042016804E-2</v>
      </c>
      <c r="S1319" t="e">
        <f t="shared" si="162"/>
        <v>#N/A</v>
      </c>
      <c r="T1319" t="e">
        <f t="shared" si="163"/>
        <v>#N/A</v>
      </c>
      <c r="U1319">
        <f t="shared" si="164"/>
        <v>11.9</v>
      </c>
      <c r="V1319">
        <f t="shared" si="165"/>
        <v>6</v>
      </c>
      <c r="W1319" t="e">
        <f t="shared" si="166"/>
        <v>#N/A</v>
      </c>
      <c r="X1319" t="e">
        <f t="shared" si="167"/>
        <v>#N/A</v>
      </c>
    </row>
    <row r="1320" spans="1:24" x14ac:dyDescent="0.3">
      <c r="A1320">
        <v>7.5</v>
      </c>
      <c r="B1320">
        <v>0.63</v>
      </c>
      <c r="C1320">
        <v>0.27</v>
      </c>
      <c r="D1320">
        <v>2</v>
      </c>
      <c r="E1320">
        <v>8.3000000000000004E-2</v>
      </c>
      <c r="F1320">
        <v>17</v>
      </c>
      <c r="G1320">
        <v>91</v>
      </c>
      <c r="H1320">
        <v>0.99616000000000005</v>
      </c>
      <c r="I1320">
        <v>3.26</v>
      </c>
      <c r="J1320">
        <v>0.57999999999999996</v>
      </c>
      <c r="K1320">
        <v>9.8000000000000007</v>
      </c>
      <c r="L1320">
        <v>6</v>
      </c>
      <c r="M1320" t="str">
        <f t="shared" si="160"/>
        <v>Medium</v>
      </c>
      <c r="N1320">
        <f>(winequality_red[[#This Row],[Updated Quality &amp; Alcohol Analysis]]+winequality_red[[#This Row],[volatile acidity]]+winequality_red[[#This Row],[citric acid]])</f>
        <v>8.4</v>
      </c>
      <c r="O1320">
        <f t="shared" si="161"/>
        <v>3.7285714285714283E-2</v>
      </c>
      <c r="S1320" t="e">
        <f t="shared" si="162"/>
        <v>#N/A</v>
      </c>
      <c r="T1320" t="e">
        <f t="shared" si="163"/>
        <v>#N/A</v>
      </c>
      <c r="U1320">
        <f t="shared" si="164"/>
        <v>9.8000000000000007</v>
      </c>
      <c r="V1320">
        <f t="shared" si="165"/>
        <v>6</v>
      </c>
      <c r="W1320" t="e">
        <f t="shared" si="166"/>
        <v>#N/A</v>
      </c>
      <c r="X1320" t="e">
        <f t="shared" si="167"/>
        <v>#N/A</v>
      </c>
    </row>
    <row r="1321" spans="1:24" x14ac:dyDescent="0.3">
      <c r="A1321">
        <v>9.1</v>
      </c>
      <c r="B1321">
        <v>0.76</v>
      </c>
      <c r="C1321">
        <v>0.68</v>
      </c>
      <c r="D1321">
        <v>1.7</v>
      </c>
      <c r="E1321">
        <v>0.41399999999999998</v>
      </c>
      <c r="F1321">
        <v>18</v>
      </c>
      <c r="G1321">
        <v>64</v>
      </c>
      <c r="H1321">
        <v>0.99652000000000007</v>
      </c>
      <c r="I1321">
        <v>2.9</v>
      </c>
      <c r="J1321">
        <v>1.33</v>
      </c>
      <c r="K1321">
        <v>9.1</v>
      </c>
      <c r="L1321">
        <v>6</v>
      </c>
      <c r="M1321" t="str">
        <f t="shared" si="160"/>
        <v>Medium</v>
      </c>
      <c r="N1321">
        <f>(winequality_red[[#This Row],[Updated Quality &amp; Alcohol Analysis]]+winequality_red[[#This Row],[volatile acidity]]+winequality_red[[#This Row],[citric acid]])</f>
        <v>10.54</v>
      </c>
      <c r="O1321">
        <f t="shared" si="161"/>
        <v>0.1110769230769231</v>
      </c>
      <c r="S1321" t="e">
        <f t="shared" si="162"/>
        <v>#N/A</v>
      </c>
      <c r="T1321" t="e">
        <f t="shared" si="163"/>
        <v>#N/A</v>
      </c>
      <c r="U1321">
        <f t="shared" si="164"/>
        <v>9.1</v>
      </c>
      <c r="V1321">
        <f t="shared" si="165"/>
        <v>6</v>
      </c>
      <c r="W1321" t="e">
        <f t="shared" si="166"/>
        <v>#N/A</v>
      </c>
      <c r="X1321" t="e">
        <f t="shared" si="167"/>
        <v>#N/A</v>
      </c>
    </row>
    <row r="1322" spans="1:24" x14ac:dyDescent="0.3">
      <c r="A1322">
        <v>9.6999999999999993</v>
      </c>
      <c r="B1322">
        <v>0.66</v>
      </c>
      <c r="C1322">
        <v>0.34</v>
      </c>
      <c r="D1322">
        <v>2.6</v>
      </c>
      <c r="E1322">
        <v>9.4E-2</v>
      </c>
      <c r="F1322">
        <v>12</v>
      </c>
      <c r="G1322">
        <v>88</v>
      </c>
      <c r="H1322">
        <v>0.99796000000000007</v>
      </c>
      <c r="I1322">
        <v>3.26</v>
      </c>
      <c r="J1322">
        <v>0.66</v>
      </c>
      <c r="K1322">
        <v>10.1</v>
      </c>
      <c r="L1322">
        <v>5</v>
      </c>
      <c r="M1322" t="str">
        <f t="shared" si="160"/>
        <v>Medium</v>
      </c>
      <c r="N1322">
        <f>(winequality_red[[#This Row],[Updated Quality &amp; Alcohol Analysis]]+winequality_red[[#This Row],[volatile acidity]]+winequality_red[[#This Row],[citric acid]])</f>
        <v>10.7</v>
      </c>
      <c r="O1322">
        <f t="shared" si="161"/>
        <v>4.3128712871287132E-2</v>
      </c>
      <c r="S1322" t="e">
        <f t="shared" si="162"/>
        <v>#N/A</v>
      </c>
      <c r="T1322" t="e">
        <f t="shared" si="163"/>
        <v>#N/A</v>
      </c>
      <c r="U1322">
        <f t="shared" si="164"/>
        <v>10.1</v>
      </c>
      <c r="V1322">
        <f t="shared" si="165"/>
        <v>5</v>
      </c>
      <c r="W1322" t="e">
        <f t="shared" si="166"/>
        <v>#N/A</v>
      </c>
      <c r="X1322" t="e">
        <f t="shared" si="167"/>
        <v>#N/A</v>
      </c>
    </row>
    <row r="1323" spans="1:24" x14ac:dyDescent="0.3">
      <c r="A1323">
        <v>5</v>
      </c>
      <c r="B1323">
        <v>0.74</v>
      </c>
      <c r="C1323">
        <v>0</v>
      </c>
      <c r="D1323">
        <v>1.2</v>
      </c>
      <c r="E1323">
        <v>4.0999999999999995E-2</v>
      </c>
      <c r="F1323">
        <v>16</v>
      </c>
      <c r="G1323">
        <v>46</v>
      </c>
      <c r="H1323">
        <v>0.99257999999999991</v>
      </c>
      <c r="I1323">
        <v>4.01</v>
      </c>
      <c r="J1323">
        <v>0.59</v>
      </c>
      <c r="K1323">
        <v>12.5</v>
      </c>
      <c r="L1323">
        <v>6</v>
      </c>
      <c r="M1323" t="str">
        <f t="shared" si="160"/>
        <v>Medium</v>
      </c>
      <c r="N1323">
        <f>(winequality_red[[#This Row],[Updated Quality &amp; Alcohol Analysis]]+winequality_red[[#This Row],[volatile acidity]]+winequality_red[[#This Row],[citric acid]])</f>
        <v>5.74</v>
      </c>
      <c r="O1323">
        <f t="shared" si="161"/>
        <v>3.4928000000000001E-2</v>
      </c>
      <c r="S1323" t="e">
        <f t="shared" si="162"/>
        <v>#N/A</v>
      </c>
      <c r="T1323" t="e">
        <f t="shared" si="163"/>
        <v>#N/A</v>
      </c>
      <c r="U1323">
        <f t="shared" si="164"/>
        <v>12.5</v>
      </c>
      <c r="V1323">
        <f t="shared" si="165"/>
        <v>6</v>
      </c>
      <c r="W1323" t="e">
        <f t="shared" si="166"/>
        <v>#N/A</v>
      </c>
      <c r="X1323" t="e">
        <f t="shared" si="167"/>
        <v>#N/A</v>
      </c>
    </row>
    <row r="1324" spans="1:24" x14ac:dyDescent="0.3">
      <c r="A1324">
        <v>9.1</v>
      </c>
      <c r="B1324">
        <v>0.34</v>
      </c>
      <c r="C1324">
        <v>0.42</v>
      </c>
      <c r="D1324">
        <v>1.8</v>
      </c>
      <c r="E1324">
        <v>5.7999999999999996E-2</v>
      </c>
      <c r="F1324">
        <v>9</v>
      </c>
      <c r="G1324">
        <v>18</v>
      </c>
      <c r="H1324">
        <v>0.99392000000000003</v>
      </c>
      <c r="I1324">
        <v>3.18</v>
      </c>
      <c r="J1324">
        <v>0.55000000000000004</v>
      </c>
      <c r="K1324">
        <v>11.4</v>
      </c>
      <c r="L1324">
        <v>5</v>
      </c>
      <c r="M1324" t="str">
        <f t="shared" si="160"/>
        <v>Medium</v>
      </c>
      <c r="N1324">
        <f>(winequality_red[[#This Row],[Updated Quality &amp; Alcohol Analysis]]+winequality_red[[#This Row],[volatile acidity]]+winequality_red[[#This Row],[citric acid]])</f>
        <v>9.86</v>
      </c>
      <c r="O1324">
        <f t="shared" si="161"/>
        <v>1.6403508771929826E-2</v>
      </c>
      <c r="S1324" t="e">
        <f t="shared" si="162"/>
        <v>#N/A</v>
      </c>
      <c r="T1324" t="e">
        <f t="shared" si="163"/>
        <v>#N/A</v>
      </c>
      <c r="U1324">
        <f t="shared" si="164"/>
        <v>11.4</v>
      </c>
      <c r="V1324">
        <f t="shared" si="165"/>
        <v>5</v>
      </c>
      <c r="W1324" t="e">
        <f t="shared" si="166"/>
        <v>#N/A</v>
      </c>
      <c r="X1324" t="e">
        <f t="shared" si="167"/>
        <v>#N/A</v>
      </c>
    </row>
    <row r="1325" spans="1:24" x14ac:dyDescent="0.3">
      <c r="A1325">
        <v>9.1</v>
      </c>
      <c r="B1325">
        <v>0.36</v>
      </c>
      <c r="C1325">
        <v>0.39</v>
      </c>
      <c r="D1325">
        <v>1.8</v>
      </c>
      <c r="E1325">
        <v>0.06</v>
      </c>
      <c r="F1325">
        <v>21</v>
      </c>
      <c r="G1325">
        <v>55</v>
      </c>
      <c r="H1325">
        <v>0.99495</v>
      </c>
      <c r="I1325">
        <v>3.18</v>
      </c>
      <c r="J1325">
        <v>0.82</v>
      </c>
      <c r="K1325">
        <v>11</v>
      </c>
      <c r="L1325">
        <v>7</v>
      </c>
      <c r="M1325" t="str">
        <f t="shared" si="160"/>
        <v>High</v>
      </c>
      <c r="N1325">
        <f>(winequality_red[[#This Row],[Updated Quality &amp; Alcohol Analysis]]+winequality_red[[#This Row],[volatile acidity]]+winequality_red[[#This Row],[citric acid]])</f>
        <v>9.85</v>
      </c>
      <c r="O1325">
        <f t="shared" si="161"/>
        <v>2.6836363636363634E-2</v>
      </c>
      <c r="S1325" t="e">
        <f t="shared" si="162"/>
        <v>#N/A</v>
      </c>
      <c r="T1325" t="e">
        <f t="shared" si="163"/>
        <v>#N/A</v>
      </c>
      <c r="U1325" t="e">
        <f t="shared" si="164"/>
        <v>#N/A</v>
      </c>
      <c r="V1325" t="e">
        <f t="shared" si="165"/>
        <v>#N/A</v>
      </c>
      <c r="W1325">
        <f t="shared" si="166"/>
        <v>11</v>
      </c>
      <c r="X1325">
        <f t="shared" si="167"/>
        <v>7</v>
      </c>
    </row>
    <row r="1326" spans="1:24" x14ac:dyDescent="0.3">
      <c r="A1326">
        <v>6.7</v>
      </c>
      <c r="B1326">
        <v>0.46</v>
      </c>
      <c r="C1326">
        <v>0.24</v>
      </c>
      <c r="D1326">
        <v>1.7</v>
      </c>
      <c r="E1326">
        <v>7.6999999999999999E-2</v>
      </c>
      <c r="F1326">
        <v>18</v>
      </c>
      <c r="G1326">
        <v>34</v>
      </c>
      <c r="H1326">
        <v>0.99480000000000002</v>
      </c>
      <c r="I1326">
        <v>3.39</v>
      </c>
      <c r="J1326">
        <v>0.6</v>
      </c>
      <c r="K1326">
        <v>10.6</v>
      </c>
      <c r="L1326">
        <v>6</v>
      </c>
      <c r="M1326" t="str">
        <f t="shared" si="160"/>
        <v>Medium</v>
      </c>
      <c r="N1326">
        <f>(winequality_red[[#This Row],[Updated Quality &amp; Alcohol Analysis]]+winequality_red[[#This Row],[volatile acidity]]+winequality_red[[#This Row],[citric acid]])</f>
        <v>7.4</v>
      </c>
      <c r="O1326">
        <f t="shared" si="161"/>
        <v>2.6037735849056606E-2</v>
      </c>
      <c r="S1326" t="e">
        <f t="shared" si="162"/>
        <v>#N/A</v>
      </c>
      <c r="T1326" t="e">
        <f t="shared" si="163"/>
        <v>#N/A</v>
      </c>
      <c r="U1326">
        <f t="shared" si="164"/>
        <v>10.6</v>
      </c>
      <c r="V1326">
        <f t="shared" si="165"/>
        <v>6</v>
      </c>
      <c r="W1326" t="e">
        <f t="shared" si="166"/>
        <v>#N/A</v>
      </c>
      <c r="X1326" t="e">
        <f t="shared" si="167"/>
        <v>#N/A</v>
      </c>
    </row>
    <row r="1327" spans="1:24" x14ac:dyDescent="0.3">
      <c r="A1327">
        <v>6.7</v>
      </c>
      <c r="B1327">
        <v>0.46</v>
      </c>
      <c r="C1327">
        <v>0.24</v>
      </c>
      <c r="D1327">
        <v>1.7</v>
      </c>
      <c r="E1327">
        <v>7.6999999999999999E-2</v>
      </c>
      <c r="F1327">
        <v>18</v>
      </c>
      <c r="G1327">
        <v>34</v>
      </c>
      <c r="H1327">
        <v>0.99480000000000002</v>
      </c>
      <c r="I1327">
        <v>3.39</v>
      </c>
      <c r="J1327">
        <v>0.6</v>
      </c>
      <c r="K1327">
        <v>10.6</v>
      </c>
      <c r="L1327">
        <v>6</v>
      </c>
      <c r="M1327" t="str">
        <f t="shared" si="160"/>
        <v>Medium</v>
      </c>
      <c r="N1327">
        <f>(winequality_red[[#This Row],[Updated Quality &amp; Alcohol Analysis]]+winequality_red[[#This Row],[volatile acidity]]+winequality_red[[#This Row],[citric acid]])</f>
        <v>7.4</v>
      </c>
      <c r="O1327">
        <f t="shared" si="161"/>
        <v>2.6037735849056606E-2</v>
      </c>
      <c r="S1327" t="e">
        <f t="shared" si="162"/>
        <v>#N/A</v>
      </c>
      <c r="T1327" t="e">
        <f t="shared" si="163"/>
        <v>#N/A</v>
      </c>
      <c r="U1327">
        <f t="shared" si="164"/>
        <v>10.6</v>
      </c>
      <c r="V1327">
        <f t="shared" si="165"/>
        <v>6</v>
      </c>
      <c r="W1327" t="e">
        <f t="shared" si="166"/>
        <v>#N/A</v>
      </c>
      <c r="X1327" t="e">
        <f t="shared" si="167"/>
        <v>#N/A</v>
      </c>
    </row>
    <row r="1328" spans="1:24" x14ac:dyDescent="0.3">
      <c r="A1328">
        <v>6.7</v>
      </c>
      <c r="B1328">
        <v>0.46</v>
      </c>
      <c r="C1328">
        <v>0.24</v>
      </c>
      <c r="D1328">
        <v>1.7</v>
      </c>
      <c r="E1328">
        <v>7.6999999999999999E-2</v>
      </c>
      <c r="F1328">
        <v>18</v>
      </c>
      <c r="G1328">
        <v>34</v>
      </c>
      <c r="H1328">
        <v>0.99480000000000002</v>
      </c>
      <c r="I1328">
        <v>3.39</v>
      </c>
      <c r="J1328">
        <v>0.6</v>
      </c>
      <c r="K1328">
        <v>10.6</v>
      </c>
      <c r="L1328">
        <v>6</v>
      </c>
      <c r="M1328" t="str">
        <f t="shared" si="160"/>
        <v>Medium</v>
      </c>
      <c r="N1328">
        <f>(winequality_red[[#This Row],[Updated Quality &amp; Alcohol Analysis]]+winequality_red[[#This Row],[volatile acidity]]+winequality_red[[#This Row],[citric acid]])</f>
        <v>7.4</v>
      </c>
      <c r="O1328">
        <f t="shared" si="161"/>
        <v>2.6037735849056606E-2</v>
      </c>
      <c r="S1328" t="e">
        <f t="shared" si="162"/>
        <v>#N/A</v>
      </c>
      <c r="T1328" t="e">
        <f t="shared" si="163"/>
        <v>#N/A</v>
      </c>
      <c r="U1328">
        <f t="shared" si="164"/>
        <v>10.6</v>
      </c>
      <c r="V1328">
        <f t="shared" si="165"/>
        <v>6</v>
      </c>
      <c r="W1328" t="e">
        <f t="shared" si="166"/>
        <v>#N/A</v>
      </c>
      <c r="X1328" t="e">
        <f t="shared" si="167"/>
        <v>#N/A</v>
      </c>
    </row>
    <row r="1329" spans="1:24" x14ac:dyDescent="0.3">
      <c r="A1329">
        <v>6.7</v>
      </c>
      <c r="B1329">
        <v>0.46</v>
      </c>
      <c r="C1329">
        <v>0.24</v>
      </c>
      <c r="D1329">
        <v>1.7</v>
      </c>
      <c r="E1329">
        <v>7.6999999999999999E-2</v>
      </c>
      <c r="F1329">
        <v>18</v>
      </c>
      <c r="G1329">
        <v>34</v>
      </c>
      <c r="H1329">
        <v>0.99480000000000002</v>
      </c>
      <c r="I1329">
        <v>3.39</v>
      </c>
      <c r="J1329">
        <v>0.6</v>
      </c>
      <c r="K1329">
        <v>10.6</v>
      </c>
      <c r="L1329">
        <v>6</v>
      </c>
      <c r="M1329" t="str">
        <f t="shared" si="160"/>
        <v>Medium</v>
      </c>
      <c r="N1329">
        <f>(winequality_red[[#This Row],[Updated Quality &amp; Alcohol Analysis]]+winequality_red[[#This Row],[volatile acidity]]+winequality_red[[#This Row],[citric acid]])</f>
        <v>7.4</v>
      </c>
      <c r="O1329">
        <f t="shared" si="161"/>
        <v>2.6037735849056606E-2</v>
      </c>
      <c r="S1329" t="e">
        <f t="shared" si="162"/>
        <v>#N/A</v>
      </c>
      <c r="T1329" t="e">
        <f t="shared" si="163"/>
        <v>#N/A</v>
      </c>
      <c r="U1329">
        <f t="shared" si="164"/>
        <v>10.6</v>
      </c>
      <c r="V1329">
        <f t="shared" si="165"/>
        <v>6</v>
      </c>
      <c r="W1329" t="e">
        <f t="shared" si="166"/>
        <v>#N/A</v>
      </c>
      <c r="X1329" t="e">
        <f t="shared" si="167"/>
        <v>#N/A</v>
      </c>
    </row>
    <row r="1330" spans="1:24" x14ac:dyDescent="0.3">
      <c r="A1330">
        <v>6.5</v>
      </c>
      <c r="B1330">
        <v>0.52</v>
      </c>
      <c r="C1330">
        <v>0.11</v>
      </c>
      <c r="D1330">
        <v>1.8</v>
      </c>
      <c r="E1330">
        <v>7.2999999999999995E-2</v>
      </c>
      <c r="F1330">
        <v>13</v>
      </c>
      <c r="G1330">
        <v>38</v>
      </c>
      <c r="H1330">
        <v>0.99550000000000005</v>
      </c>
      <c r="I1330">
        <v>3.34</v>
      </c>
      <c r="J1330">
        <v>0.52</v>
      </c>
      <c r="K1330">
        <v>9.3000000000000007</v>
      </c>
      <c r="L1330">
        <v>5</v>
      </c>
      <c r="M1330" t="str">
        <f t="shared" si="160"/>
        <v>Medium</v>
      </c>
      <c r="N1330">
        <f>(winequality_red[[#This Row],[Updated Quality &amp; Alcohol Analysis]]+winequality_red[[#This Row],[volatile acidity]]+winequality_red[[#This Row],[citric acid]])</f>
        <v>7.13</v>
      </c>
      <c r="O1330">
        <f t="shared" si="161"/>
        <v>2.9075268817204302E-2</v>
      </c>
      <c r="S1330" t="e">
        <f t="shared" si="162"/>
        <v>#N/A</v>
      </c>
      <c r="T1330" t="e">
        <f t="shared" si="163"/>
        <v>#N/A</v>
      </c>
      <c r="U1330">
        <f t="shared" si="164"/>
        <v>9.3000000000000007</v>
      </c>
      <c r="V1330">
        <f t="shared" si="165"/>
        <v>5</v>
      </c>
      <c r="W1330" t="e">
        <f t="shared" si="166"/>
        <v>#N/A</v>
      </c>
      <c r="X1330" t="e">
        <f t="shared" si="167"/>
        <v>#N/A</v>
      </c>
    </row>
    <row r="1331" spans="1:24" x14ac:dyDescent="0.3">
      <c r="A1331">
        <v>7.4</v>
      </c>
      <c r="B1331">
        <v>0.6</v>
      </c>
      <c r="C1331">
        <v>0.26</v>
      </c>
      <c r="D1331">
        <v>2.1</v>
      </c>
      <c r="E1331">
        <v>8.3000000000000004E-2</v>
      </c>
      <c r="F1331">
        <v>17</v>
      </c>
      <c r="G1331">
        <v>91</v>
      </c>
      <c r="H1331">
        <v>0.99616000000000005</v>
      </c>
      <c r="I1331">
        <v>3.29</v>
      </c>
      <c r="J1331">
        <v>0.56000000000000005</v>
      </c>
      <c r="K1331">
        <v>9.8000000000000007</v>
      </c>
      <c r="L1331">
        <v>6</v>
      </c>
      <c r="M1331" t="str">
        <f t="shared" si="160"/>
        <v>Medium</v>
      </c>
      <c r="N1331">
        <f>(winequality_red[[#This Row],[Updated Quality &amp; Alcohol Analysis]]+winequality_red[[#This Row],[volatile acidity]]+winequality_red[[#This Row],[citric acid]])</f>
        <v>8.26</v>
      </c>
      <c r="O1331">
        <f t="shared" si="161"/>
        <v>3.4285714285714287E-2</v>
      </c>
      <c r="S1331" t="e">
        <f t="shared" si="162"/>
        <v>#N/A</v>
      </c>
      <c r="T1331" t="e">
        <f t="shared" si="163"/>
        <v>#N/A</v>
      </c>
      <c r="U1331">
        <f t="shared" si="164"/>
        <v>9.8000000000000007</v>
      </c>
      <c r="V1331">
        <f t="shared" si="165"/>
        <v>6</v>
      </c>
      <c r="W1331" t="e">
        <f t="shared" si="166"/>
        <v>#N/A</v>
      </c>
      <c r="X1331" t="e">
        <f t="shared" si="167"/>
        <v>#N/A</v>
      </c>
    </row>
    <row r="1332" spans="1:24" x14ac:dyDescent="0.3">
      <c r="A1332">
        <v>7.4</v>
      </c>
      <c r="B1332">
        <v>0.6</v>
      </c>
      <c r="C1332">
        <v>0.26</v>
      </c>
      <c r="D1332">
        <v>2.1</v>
      </c>
      <c r="E1332">
        <v>8.3000000000000004E-2</v>
      </c>
      <c r="F1332">
        <v>17</v>
      </c>
      <c r="G1332">
        <v>91</v>
      </c>
      <c r="H1332">
        <v>0.99616000000000005</v>
      </c>
      <c r="I1332">
        <v>3.29</v>
      </c>
      <c r="J1332">
        <v>0.56000000000000005</v>
      </c>
      <c r="K1332">
        <v>9.8000000000000007</v>
      </c>
      <c r="L1332">
        <v>6</v>
      </c>
      <c r="M1332" t="str">
        <f t="shared" si="160"/>
        <v>Medium</v>
      </c>
      <c r="N1332">
        <f>(winequality_red[[#This Row],[Updated Quality &amp; Alcohol Analysis]]+winequality_red[[#This Row],[volatile acidity]]+winequality_red[[#This Row],[citric acid]])</f>
        <v>8.26</v>
      </c>
      <c r="O1332">
        <f t="shared" si="161"/>
        <v>3.4285714285714287E-2</v>
      </c>
      <c r="S1332" t="e">
        <f t="shared" si="162"/>
        <v>#N/A</v>
      </c>
      <c r="T1332" t="e">
        <f t="shared" si="163"/>
        <v>#N/A</v>
      </c>
      <c r="U1332">
        <f t="shared" si="164"/>
        <v>9.8000000000000007</v>
      </c>
      <c r="V1332">
        <f t="shared" si="165"/>
        <v>6</v>
      </c>
      <c r="W1332" t="e">
        <f t="shared" si="166"/>
        <v>#N/A</v>
      </c>
      <c r="X1332" t="e">
        <f t="shared" si="167"/>
        <v>#N/A</v>
      </c>
    </row>
    <row r="1333" spans="1:24" x14ac:dyDescent="0.3">
      <c r="A1333">
        <v>7.8</v>
      </c>
      <c r="B1333">
        <v>0.87</v>
      </c>
      <c r="C1333">
        <v>0.26</v>
      </c>
      <c r="D1333">
        <v>3.8</v>
      </c>
      <c r="E1333">
        <v>0.107</v>
      </c>
      <c r="F1333">
        <v>31</v>
      </c>
      <c r="G1333">
        <v>67</v>
      </c>
      <c r="H1333">
        <v>0.9966799999999999</v>
      </c>
      <c r="I1333">
        <v>3.26</v>
      </c>
      <c r="J1333">
        <v>0.46</v>
      </c>
      <c r="K1333">
        <v>9.1999999999999993</v>
      </c>
      <c r="L1333">
        <v>5</v>
      </c>
      <c r="M1333" t="str">
        <f t="shared" si="160"/>
        <v>Medium</v>
      </c>
      <c r="N1333">
        <f>(winequality_red[[#This Row],[Updated Quality &amp; Alcohol Analysis]]+winequality_red[[#This Row],[volatile acidity]]+winequality_red[[#This Row],[citric acid]])</f>
        <v>8.93</v>
      </c>
      <c r="O1333">
        <f t="shared" si="161"/>
        <v>4.3500000000000004E-2</v>
      </c>
      <c r="S1333" t="e">
        <f t="shared" si="162"/>
        <v>#N/A</v>
      </c>
      <c r="T1333" t="e">
        <f t="shared" si="163"/>
        <v>#N/A</v>
      </c>
      <c r="U1333">
        <f t="shared" si="164"/>
        <v>9.1999999999999993</v>
      </c>
      <c r="V1333">
        <f t="shared" si="165"/>
        <v>5</v>
      </c>
      <c r="W1333" t="e">
        <f t="shared" si="166"/>
        <v>#N/A</v>
      </c>
      <c r="X1333" t="e">
        <f t="shared" si="167"/>
        <v>#N/A</v>
      </c>
    </row>
    <row r="1334" spans="1:24" x14ac:dyDescent="0.3">
      <c r="A1334">
        <v>8.4</v>
      </c>
      <c r="B1334">
        <v>0.39</v>
      </c>
      <c r="C1334">
        <v>0.1</v>
      </c>
      <c r="D1334">
        <v>1.7</v>
      </c>
      <c r="E1334">
        <v>7.4999999999999997E-2</v>
      </c>
      <c r="F1334">
        <v>6</v>
      </c>
      <c r="G1334">
        <v>25</v>
      </c>
      <c r="H1334">
        <v>0.99581000000000008</v>
      </c>
      <c r="I1334">
        <v>3.09</v>
      </c>
      <c r="J1334">
        <v>0.43</v>
      </c>
      <c r="K1334">
        <v>9.6999999999999993</v>
      </c>
      <c r="L1334">
        <v>6</v>
      </c>
      <c r="M1334" t="str">
        <f t="shared" si="160"/>
        <v>Medium</v>
      </c>
      <c r="N1334">
        <f>(winequality_red[[#This Row],[Updated Quality &amp; Alcohol Analysis]]+winequality_red[[#This Row],[volatile acidity]]+winequality_red[[#This Row],[citric acid]])</f>
        <v>8.89</v>
      </c>
      <c r="O1334">
        <f t="shared" si="161"/>
        <v>1.7288659793814436E-2</v>
      </c>
      <c r="S1334" t="e">
        <f t="shared" si="162"/>
        <v>#N/A</v>
      </c>
      <c r="T1334" t="e">
        <f t="shared" si="163"/>
        <v>#N/A</v>
      </c>
      <c r="U1334">
        <f t="shared" si="164"/>
        <v>9.6999999999999993</v>
      </c>
      <c r="V1334">
        <f t="shared" si="165"/>
        <v>6</v>
      </c>
      <c r="W1334" t="e">
        <f t="shared" si="166"/>
        <v>#N/A</v>
      </c>
      <c r="X1334" t="e">
        <f t="shared" si="167"/>
        <v>#N/A</v>
      </c>
    </row>
    <row r="1335" spans="1:24" x14ac:dyDescent="0.3">
      <c r="A1335">
        <v>9.1</v>
      </c>
      <c r="B1335">
        <v>0.77500000000000002</v>
      </c>
      <c r="C1335">
        <v>0.22</v>
      </c>
      <c r="D1335">
        <v>2.2000000000000002</v>
      </c>
      <c r="E1335">
        <v>7.9000000000000001E-2</v>
      </c>
      <c r="F1335">
        <v>12</v>
      </c>
      <c r="G1335">
        <v>48</v>
      </c>
      <c r="H1335">
        <v>0.99760000000000004</v>
      </c>
      <c r="I1335">
        <v>3.18</v>
      </c>
      <c r="J1335">
        <v>0.51</v>
      </c>
      <c r="K1335">
        <v>9.6</v>
      </c>
      <c r="L1335">
        <v>5</v>
      </c>
      <c r="M1335" t="str">
        <f t="shared" si="160"/>
        <v>Medium</v>
      </c>
      <c r="N1335">
        <f>(winequality_red[[#This Row],[Updated Quality &amp; Alcohol Analysis]]+winequality_red[[#This Row],[volatile acidity]]+winequality_red[[#This Row],[citric acid]])</f>
        <v>10.095000000000001</v>
      </c>
      <c r="O1335">
        <f t="shared" si="161"/>
        <v>4.1171875000000004E-2</v>
      </c>
      <c r="S1335" t="e">
        <f t="shared" si="162"/>
        <v>#N/A</v>
      </c>
      <c r="T1335" t="e">
        <f t="shared" si="163"/>
        <v>#N/A</v>
      </c>
      <c r="U1335">
        <f t="shared" si="164"/>
        <v>9.6</v>
      </c>
      <c r="V1335">
        <f t="shared" si="165"/>
        <v>5</v>
      </c>
      <c r="W1335" t="e">
        <f t="shared" si="166"/>
        <v>#N/A</v>
      </c>
      <c r="X1335" t="e">
        <f t="shared" si="167"/>
        <v>#N/A</v>
      </c>
    </row>
    <row r="1336" spans="1:24" x14ac:dyDescent="0.3">
      <c r="A1336">
        <v>7.2</v>
      </c>
      <c r="B1336">
        <v>0.83499999999999996</v>
      </c>
      <c r="C1336">
        <v>0</v>
      </c>
      <c r="D1336">
        <v>2</v>
      </c>
      <c r="E1336">
        <v>0.16600000000000001</v>
      </c>
      <c r="F1336">
        <v>4</v>
      </c>
      <c r="G1336">
        <v>11</v>
      </c>
      <c r="H1336">
        <v>0.99607999999999997</v>
      </c>
      <c r="I1336">
        <v>3.39</v>
      </c>
      <c r="J1336">
        <v>0.52</v>
      </c>
      <c r="K1336">
        <v>10</v>
      </c>
      <c r="L1336">
        <v>5</v>
      </c>
      <c r="M1336" t="str">
        <f t="shared" si="160"/>
        <v>Medium</v>
      </c>
      <c r="N1336">
        <f>(winequality_red[[#This Row],[Updated Quality &amp; Alcohol Analysis]]+winequality_red[[#This Row],[volatile acidity]]+winequality_red[[#This Row],[citric acid]])</f>
        <v>8.0350000000000001</v>
      </c>
      <c r="O1336">
        <f t="shared" si="161"/>
        <v>4.342E-2</v>
      </c>
      <c r="S1336" t="e">
        <f t="shared" si="162"/>
        <v>#N/A</v>
      </c>
      <c r="T1336" t="e">
        <f t="shared" si="163"/>
        <v>#N/A</v>
      </c>
      <c r="U1336">
        <f t="shared" si="164"/>
        <v>10</v>
      </c>
      <c r="V1336">
        <f t="shared" si="165"/>
        <v>5</v>
      </c>
      <c r="W1336" t="e">
        <f t="shared" si="166"/>
        <v>#N/A</v>
      </c>
      <c r="X1336" t="e">
        <f t="shared" si="167"/>
        <v>#N/A</v>
      </c>
    </row>
    <row r="1337" spans="1:24" x14ac:dyDescent="0.3">
      <c r="A1337">
        <v>6.6</v>
      </c>
      <c r="B1337">
        <v>0.57999999999999996</v>
      </c>
      <c r="C1337">
        <v>0.02</v>
      </c>
      <c r="D1337">
        <v>2.4</v>
      </c>
      <c r="E1337">
        <v>6.9000000000000006E-2</v>
      </c>
      <c r="F1337">
        <v>19</v>
      </c>
      <c r="G1337">
        <v>40</v>
      </c>
      <c r="H1337">
        <v>0.99387000000000003</v>
      </c>
      <c r="I1337">
        <v>3.38</v>
      </c>
      <c r="J1337">
        <v>0.66</v>
      </c>
      <c r="K1337">
        <v>12.6</v>
      </c>
      <c r="L1337">
        <v>6</v>
      </c>
      <c r="M1337" t="str">
        <f t="shared" si="160"/>
        <v>Medium</v>
      </c>
      <c r="N1337">
        <f>(winequality_red[[#This Row],[Updated Quality &amp; Alcohol Analysis]]+winequality_red[[#This Row],[volatile acidity]]+winequality_red[[#This Row],[citric acid]])</f>
        <v>7.1999999999999993</v>
      </c>
      <c r="O1337">
        <f t="shared" si="161"/>
        <v>3.038095238095238E-2</v>
      </c>
      <c r="S1337" t="e">
        <f t="shared" si="162"/>
        <v>#N/A</v>
      </c>
      <c r="T1337" t="e">
        <f t="shared" si="163"/>
        <v>#N/A</v>
      </c>
      <c r="U1337">
        <f t="shared" si="164"/>
        <v>12.6</v>
      </c>
      <c r="V1337">
        <f t="shared" si="165"/>
        <v>6</v>
      </c>
      <c r="W1337" t="e">
        <f t="shared" si="166"/>
        <v>#N/A</v>
      </c>
      <c r="X1337" t="e">
        <f t="shared" si="167"/>
        <v>#N/A</v>
      </c>
    </row>
    <row r="1338" spans="1:24" x14ac:dyDescent="0.3">
      <c r="A1338">
        <v>6</v>
      </c>
      <c r="B1338">
        <v>0.5</v>
      </c>
      <c r="C1338">
        <v>0</v>
      </c>
      <c r="D1338">
        <v>1.4</v>
      </c>
      <c r="E1338">
        <v>5.7000000000000002E-2</v>
      </c>
      <c r="F1338">
        <v>15</v>
      </c>
      <c r="G1338">
        <v>26</v>
      </c>
      <c r="H1338">
        <v>0.99447999999999992</v>
      </c>
      <c r="I1338">
        <v>3.36</v>
      </c>
      <c r="J1338">
        <v>0.45</v>
      </c>
      <c r="K1338">
        <v>9.5</v>
      </c>
      <c r="L1338">
        <v>5</v>
      </c>
      <c r="M1338" t="str">
        <f t="shared" si="160"/>
        <v>Medium</v>
      </c>
      <c r="N1338">
        <f>(winequality_red[[#This Row],[Updated Quality &amp; Alcohol Analysis]]+winequality_red[[#This Row],[volatile acidity]]+winequality_red[[#This Row],[citric acid]])</f>
        <v>6.5</v>
      </c>
      <c r="O1338">
        <f t="shared" si="161"/>
        <v>2.368421052631579E-2</v>
      </c>
      <c r="S1338" t="e">
        <f t="shared" si="162"/>
        <v>#N/A</v>
      </c>
      <c r="T1338" t="e">
        <f t="shared" si="163"/>
        <v>#N/A</v>
      </c>
      <c r="U1338">
        <f t="shared" si="164"/>
        <v>9.5</v>
      </c>
      <c r="V1338">
        <f t="shared" si="165"/>
        <v>5</v>
      </c>
      <c r="W1338" t="e">
        <f t="shared" si="166"/>
        <v>#N/A</v>
      </c>
      <c r="X1338" t="e">
        <f t="shared" si="167"/>
        <v>#N/A</v>
      </c>
    </row>
    <row r="1339" spans="1:24" x14ac:dyDescent="0.3">
      <c r="A1339">
        <v>6</v>
      </c>
      <c r="B1339">
        <v>0.5</v>
      </c>
      <c r="C1339">
        <v>0</v>
      </c>
      <c r="D1339">
        <v>1.4</v>
      </c>
      <c r="E1339">
        <v>5.7000000000000002E-2</v>
      </c>
      <c r="F1339">
        <v>15</v>
      </c>
      <c r="G1339">
        <v>26</v>
      </c>
      <c r="H1339">
        <v>0.99447999999999992</v>
      </c>
      <c r="I1339">
        <v>3.36</v>
      </c>
      <c r="J1339">
        <v>0.45</v>
      </c>
      <c r="K1339">
        <v>9.5</v>
      </c>
      <c r="L1339">
        <v>5</v>
      </c>
      <c r="M1339" t="str">
        <f t="shared" si="160"/>
        <v>Medium</v>
      </c>
      <c r="N1339">
        <f>(winequality_red[[#This Row],[Updated Quality &amp; Alcohol Analysis]]+winequality_red[[#This Row],[volatile acidity]]+winequality_red[[#This Row],[citric acid]])</f>
        <v>6.5</v>
      </c>
      <c r="O1339">
        <f t="shared" si="161"/>
        <v>2.368421052631579E-2</v>
      </c>
      <c r="S1339" t="e">
        <f t="shared" si="162"/>
        <v>#N/A</v>
      </c>
      <c r="T1339" t="e">
        <f t="shared" si="163"/>
        <v>#N/A</v>
      </c>
      <c r="U1339">
        <f t="shared" si="164"/>
        <v>9.5</v>
      </c>
      <c r="V1339">
        <f t="shared" si="165"/>
        <v>5</v>
      </c>
      <c r="W1339" t="e">
        <f t="shared" si="166"/>
        <v>#N/A</v>
      </c>
      <c r="X1339" t="e">
        <f t="shared" si="167"/>
        <v>#N/A</v>
      </c>
    </row>
    <row r="1340" spans="1:24" x14ac:dyDescent="0.3">
      <c r="A1340">
        <v>6</v>
      </c>
      <c r="B1340">
        <v>0.5</v>
      </c>
      <c r="C1340">
        <v>0</v>
      </c>
      <c r="D1340">
        <v>1.4</v>
      </c>
      <c r="E1340">
        <v>5.7000000000000002E-2</v>
      </c>
      <c r="F1340">
        <v>15</v>
      </c>
      <c r="G1340">
        <v>26</v>
      </c>
      <c r="H1340">
        <v>0.99447999999999992</v>
      </c>
      <c r="I1340">
        <v>3.36</v>
      </c>
      <c r="J1340">
        <v>0.45</v>
      </c>
      <c r="K1340">
        <v>9.5</v>
      </c>
      <c r="L1340">
        <v>5</v>
      </c>
      <c r="M1340" t="str">
        <f t="shared" si="160"/>
        <v>Medium</v>
      </c>
      <c r="N1340">
        <f>(winequality_red[[#This Row],[Updated Quality &amp; Alcohol Analysis]]+winequality_red[[#This Row],[volatile acidity]]+winequality_red[[#This Row],[citric acid]])</f>
        <v>6.5</v>
      </c>
      <c r="O1340">
        <f t="shared" si="161"/>
        <v>2.368421052631579E-2</v>
      </c>
      <c r="S1340" t="e">
        <f t="shared" si="162"/>
        <v>#N/A</v>
      </c>
      <c r="T1340" t="e">
        <f t="shared" si="163"/>
        <v>#N/A</v>
      </c>
      <c r="U1340">
        <f t="shared" si="164"/>
        <v>9.5</v>
      </c>
      <c r="V1340">
        <f t="shared" si="165"/>
        <v>5</v>
      </c>
      <c r="W1340" t="e">
        <f t="shared" si="166"/>
        <v>#N/A</v>
      </c>
      <c r="X1340" t="e">
        <f t="shared" si="167"/>
        <v>#N/A</v>
      </c>
    </row>
    <row r="1341" spans="1:24" x14ac:dyDescent="0.3">
      <c r="A1341">
        <v>7.5</v>
      </c>
      <c r="B1341">
        <v>0.51</v>
      </c>
      <c r="C1341">
        <v>0.02</v>
      </c>
      <c r="D1341">
        <v>1.7</v>
      </c>
      <c r="E1341">
        <v>8.4000000000000005E-2</v>
      </c>
      <c r="F1341">
        <v>13</v>
      </c>
      <c r="G1341">
        <v>31</v>
      </c>
      <c r="H1341">
        <v>0.99537999999999993</v>
      </c>
      <c r="I1341">
        <v>3.36</v>
      </c>
      <c r="J1341">
        <v>0.54</v>
      </c>
      <c r="K1341">
        <v>10.5</v>
      </c>
      <c r="L1341">
        <v>6</v>
      </c>
      <c r="M1341" t="str">
        <f t="shared" si="160"/>
        <v>Medium</v>
      </c>
      <c r="N1341">
        <f>(winequality_red[[#This Row],[Updated Quality &amp; Alcohol Analysis]]+winequality_red[[#This Row],[volatile acidity]]+winequality_red[[#This Row],[citric acid]])</f>
        <v>8.0299999999999994</v>
      </c>
      <c r="O1341">
        <f t="shared" si="161"/>
        <v>2.6228571428571431E-2</v>
      </c>
      <c r="S1341" t="e">
        <f t="shared" si="162"/>
        <v>#N/A</v>
      </c>
      <c r="T1341" t="e">
        <f t="shared" si="163"/>
        <v>#N/A</v>
      </c>
      <c r="U1341">
        <f t="shared" si="164"/>
        <v>10.5</v>
      </c>
      <c r="V1341">
        <f t="shared" si="165"/>
        <v>6</v>
      </c>
      <c r="W1341" t="e">
        <f t="shared" si="166"/>
        <v>#N/A</v>
      </c>
      <c r="X1341" t="e">
        <f t="shared" si="167"/>
        <v>#N/A</v>
      </c>
    </row>
    <row r="1342" spans="1:24" x14ac:dyDescent="0.3">
      <c r="A1342">
        <v>7.5</v>
      </c>
      <c r="B1342">
        <v>0.51</v>
      </c>
      <c r="C1342">
        <v>0.02</v>
      </c>
      <c r="D1342">
        <v>1.7</v>
      </c>
      <c r="E1342">
        <v>8.4000000000000005E-2</v>
      </c>
      <c r="F1342">
        <v>13</v>
      </c>
      <c r="G1342">
        <v>31</v>
      </c>
      <c r="H1342">
        <v>0.99537999999999993</v>
      </c>
      <c r="I1342">
        <v>3.36</v>
      </c>
      <c r="J1342">
        <v>0.54</v>
      </c>
      <c r="K1342">
        <v>10.5</v>
      </c>
      <c r="L1342">
        <v>6</v>
      </c>
      <c r="M1342" t="str">
        <f t="shared" si="160"/>
        <v>Medium</v>
      </c>
      <c r="N1342">
        <f>(winequality_red[[#This Row],[Updated Quality &amp; Alcohol Analysis]]+winequality_red[[#This Row],[volatile acidity]]+winequality_red[[#This Row],[citric acid]])</f>
        <v>8.0299999999999994</v>
      </c>
      <c r="O1342">
        <f t="shared" si="161"/>
        <v>2.6228571428571431E-2</v>
      </c>
      <c r="S1342" t="e">
        <f t="shared" si="162"/>
        <v>#N/A</v>
      </c>
      <c r="T1342" t="e">
        <f t="shared" si="163"/>
        <v>#N/A</v>
      </c>
      <c r="U1342">
        <f t="shared" si="164"/>
        <v>10.5</v>
      </c>
      <c r="V1342">
        <f t="shared" si="165"/>
        <v>6</v>
      </c>
      <c r="W1342" t="e">
        <f t="shared" si="166"/>
        <v>#N/A</v>
      </c>
      <c r="X1342" t="e">
        <f t="shared" si="167"/>
        <v>#N/A</v>
      </c>
    </row>
    <row r="1343" spans="1:24" x14ac:dyDescent="0.3">
      <c r="A1343">
        <v>7.5</v>
      </c>
      <c r="B1343">
        <v>0.51</v>
      </c>
      <c r="C1343">
        <v>0.02</v>
      </c>
      <c r="D1343">
        <v>1.7</v>
      </c>
      <c r="E1343">
        <v>8.4000000000000005E-2</v>
      </c>
      <c r="F1343">
        <v>13</v>
      </c>
      <c r="G1343">
        <v>31</v>
      </c>
      <c r="H1343">
        <v>0.99537999999999993</v>
      </c>
      <c r="I1343">
        <v>3.36</v>
      </c>
      <c r="J1343">
        <v>0.54</v>
      </c>
      <c r="K1343">
        <v>10.5</v>
      </c>
      <c r="L1343">
        <v>6</v>
      </c>
      <c r="M1343" t="str">
        <f t="shared" si="160"/>
        <v>Medium</v>
      </c>
      <c r="N1343">
        <f>(winequality_red[[#This Row],[Updated Quality &amp; Alcohol Analysis]]+winequality_red[[#This Row],[volatile acidity]]+winequality_red[[#This Row],[citric acid]])</f>
        <v>8.0299999999999994</v>
      </c>
      <c r="O1343">
        <f t="shared" si="161"/>
        <v>2.6228571428571431E-2</v>
      </c>
      <c r="S1343" t="e">
        <f t="shared" si="162"/>
        <v>#N/A</v>
      </c>
      <c r="T1343" t="e">
        <f t="shared" si="163"/>
        <v>#N/A</v>
      </c>
      <c r="U1343">
        <f t="shared" si="164"/>
        <v>10.5</v>
      </c>
      <c r="V1343">
        <f t="shared" si="165"/>
        <v>6</v>
      </c>
      <c r="W1343" t="e">
        <f t="shared" si="166"/>
        <v>#N/A</v>
      </c>
      <c r="X1343" t="e">
        <f t="shared" si="167"/>
        <v>#N/A</v>
      </c>
    </row>
    <row r="1344" spans="1:24" x14ac:dyDescent="0.3">
      <c r="A1344">
        <v>7.6</v>
      </c>
      <c r="B1344">
        <v>0.54</v>
      </c>
      <c r="C1344">
        <v>0.02</v>
      </c>
      <c r="D1344">
        <v>1.7</v>
      </c>
      <c r="E1344">
        <v>8.5000000000000006E-2</v>
      </c>
      <c r="F1344">
        <v>17</v>
      </c>
      <c r="G1344">
        <v>31</v>
      </c>
      <c r="H1344">
        <v>0.99588999999999994</v>
      </c>
      <c r="I1344">
        <v>3.37</v>
      </c>
      <c r="J1344">
        <v>0.51</v>
      </c>
      <c r="K1344">
        <v>10.4</v>
      </c>
      <c r="L1344">
        <v>6</v>
      </c>
      <c r="M1344" t="str">
        <f t="shared" si="160"/>
        <v>Medium</v>
      </c>
      <c r="N1344">
        <f>(winequality_red[[#This Row],[Updated Quality &amp; Alcohol Analysis]]+winequality_red[[#This Row],[volatile acidity]]+winequality_red[[#This Row],[citric acid]])</f>
        <v>8.16</v>
      </c>
      <c r="O1344">
        <f t="shared" si="161"/>
        <v>2.6480769230769235E-2</v>
      </c>
      <c r="S1344" t="e">
        <f t="shared" si="162"/>
        <v>#N/A</v>
      </c>
      <c r="T1344" t="e">
        <f t="shared" si="163"/>
        <v>#N/A</v>
      </c>
      <c r="U1344">
        <f t="shared" si="164"/>
        <v>10.4</v>
      </c>
      <c r="V1344">
        <f t="shared" si="165"/>
        <v>6</v>
      </c>
      <c r="W1344" t="e">
        <f t="shared" si="166"/>
        <v>#N/A</v>
      </c>
      <c r="X1344" t="e">
        <f t="shared" si="167"/>
        <v>#N/A</v>
      </c>
    </row>
    <row r="1345" spans="1:24" x14ac:dyDescent="0.3">
      <c r="A1345">
        <v>7.5</v>
      </c>
      <c r="B1345">
        <v>0.51</v>
      </c>
      <c r="C1345">
        <v>0.02</v>
      </c>
      <c r="D1345">
        <v>1.7</v>
      </c>
      <c r="E1345">
        <v>8.4000000000000005E-2</v>
      </c>
      <c r="F1345">
        <v>13</v>
      </c>
      <c r="G1345">
        <v>31</v>
      </c>
      <c r="H1345">
        <v>0.99537999999999993</v>
      </c>
      <c r="I1345">
        <v>3.36</v>
      </c>
      <c r="J1345">
        <v>0.54</v>
      </c>
      <c r="K1345">
        <v>10.5</v>
      </c>
      <c r="L1345">
        <v>6</v>
      </c>
      <c r="M1345" t="str">
        <f t="shared" si="160"/>
        <v>Medium</v>
      </c>
      <c r="N1345">
        <f>(winequality_red[[#This Row],[Updated Quality &amp; Alcohol Analysis]]+winequality_red[[#This Row],[volatile acidity]]+winequality_red[[#This Row],[citric acid]])</f>
        <v>8.0299999999999994</v>
      </c>
      <c r="O1345">
        <f t="shared" si="161"/>
        <v>2.6228571428571431E-2</v>
      </c>
      <c r="S1345" t="e">
        <f t="shared" si="162"/>
        <v>#N/A</v>
      </c>
      <c r="T1345" t="e">
        <f t="shared" si="163"/>
        <v>#N/A</v>
      </c>
      <c r="U1345">
        <f t="shared" si="164"/>
        <v>10.5</v>
      </c>
      <c r="V1345">
        <f t="shared" si="165"/>
        <v>6</v>
      </c>
      <c r="W1345" t="e">
        <f t="shared" si="166"/>
        <v>#N/A</v>
      </c>
      <c r="X1345" t="e">
        <f t="shared" si="167"/>
        <v>#N/A</v>
      </c>
    </row>
    <row r="1346" spans="1:24" x14ac:dyDescent="0.3">
      <c r="A1346">
        <v>11.5</v>
      </c>
      <c r="B1346">
        <v>0.42</v>
      </c>
      <c r="C1346">
        <v>0.48</v>
      </c>
      <c r="D1346">
        <v>2.6</v>
      </c>
      <c r="E1346">
        <v>7.6999999999999999E-2</v>
      </c>
      <c r="F1346">
        <v>8</v>
      </c>
      <c r="G1346">
        <v>20</v>
      </c>
      <c r="H1346">
        <v>0.99852000000000007</v>
      </c>
      <c r="I1346">
        <v>3.09</v>
      </c>
      <c r="J1346">
        <v>0.53</v>
      </c>
      <c r="K1346">
        <v>11</v>
      </c>
      <c r="L1346">
        <v>5</v>
      </c>
      <c r="M1346" t="str">
        <f t="shared" ref="M1346:M1409" si="168">IF($L1346&gt;=7,"High",IF($L1346&gt;=5,"Medium","Low"))</f>
        <v>Medium</v>
      </c>
      <c r="N1346">
        <f>(winequality_red[[#This Row],[Updated Quality &amp; Alcohol Analysis]]+winequality_red[[#This Row],[volatile acidity]]+winequality_red[[#This Row],[citric acid]])</f>
        <v>12.4</v>
      </c>
      <c r="O1346">
        <f t="shared" ref="O1346:O1409" si="169">($B1346*$J1346)/$K1346</f>
        <v>2.0236363636363636E-2</v>
      </c>
      <c r="S1346" t="e">
        <f t="shared" si="162"/>
        <v>#N/A</v>
      </c>
      <c r="T1346" t="e">
        <f t="shared" si="163"/>
        <v>#N/A</v>
      </c>
      <c r="U1346">
        <f t="shared" si="164"/>
        <v>11</v>
      </c>
      <c r="V1346">
        <f t="shared" si="165"/>
        <v>5</v>
      </c>
      <c r="W1346" t="e">
        <f t="shared" si="166"/>
        <v>#N/A</v>
      </c>
      <c r="X1346" t="e">
        <f t="shared" si="167"/>
        <v>#N/A</v>
      </c>
    </row>
    <row r="1347" spans="1:24" x14ac:dyDescent="0.3">
      <c r="A1347">
        <v>8.1999999999999993</v>
      </c>
      <c r="B1347">
        <v>0.44</v>
      </c>
      <c r="C1347">
        <v>0.24</v>
      </c>
      <c r="D1347">
        <v>2.2999999999999998</v>
      </c>
      <c r="E1347">
        <v>6.3E-2</v>
      </c>
      <c r="F1347">
        <v>10</v>
      </c>
      <c r="G1347">
        <v>28</v>
      </c>
      <c r="H1347">
        <v>0.99612999999999996</v>
      </c>
      <c r="I1347">
        <v>3.25</v>
      </c>
      <c r="J1347">
        <v>0.53</v>
      </c>
      <c r="K1347">
        <v>10.199999999999999</v>
      </c>
      <c r="L1347">
        <v>6</v>
      </c>
      <c r="M1347" t="str">
        <f t="shared" si="168"/>
        <v>Medium</v>
      </c>
      <c r="N1347">
        <f>(winequality_red[[#This Row],[Updated Quality &amp; Alcohol Analysis]]+winequality_red[[#This Row],[volatile acidity]]+winequality_red[[#This Row],[citric acid]])</f>
        <v>8.879999999999999</v>
      </c>
      <c r="O1347">
        <f t="shared" si="169"/>
        <v>2.2862745098039219E-2</v>
      </c>
      <c r="S1347" t="e">
        <f t="shared" ref="S1347:S1410" si="170">IF($M1347="Low",$K1347,NA())</f>
        <v>#N/A</v>
      </c>
      <c r="T1347" t="e">
        <f t="shared" ref="T1347:T1410" si="171">IF($M1347="Low",$L1347,NA())</f>
        <v>#N/A</v>
      </c>
      <c r="U1347">
        <f t="shared" ref="U1347:U1410" si="172">IF($M1347="Medium",$K1347,NA())</f>
        <v>10.199999999999999</v>
      </c>
      <c r="V1347">
        <f t="shared" ref="V1347:V1410" si="173">IF($M1347="Medium",$L1347,NA())</f>
        <v>6</v>
      </c>
      <c r="W1347" t="e">
        <f t="shared" ref="W1347:W1410" si="174">IF($M1347="High",$K1347,NA())</f>
        <v>#N/A</v>
      </c>
      <c r="X1347" t="e">
        <f t="shared" ref="X1347:X1410" si="175">IF($M1347="High",$L1347,NA())</f>
        <v>#N/A</v>
      </c>
    </row>
    <row r="1348" spans="1:24" x14ac:dyDescent="0.3">
      <c r="A1348">
        <v>6.1</v>
      </c>
      <c r="B1348">
        <v>0.59</v>
      </c>
      <c r="C1348">
        <v>0.01</v>
      </c>
      <c r="D1348">
        <v>2.1</v>
      </c>
      <c r="E1348">
        <v>5.5999999999999994E-2</v>
      </c>
      <c r="F1348">
        <v>5</v>
      </c>
      <c r="G1348">
        <v>13</v>
      </c>
      <c r="H1348">
        <v>0.99472000000000005</v>
      </c>
      <c r="I1348">
        <v>3.52</v>
      </c>
      <c r="J1348">
        <v>0.56000000000000005</v>
      </c>
      <c r="K1348">
        <v>11.4</v>
      </c>
      <c r="L1348">
        <v>5</v>
      </c>
      <c r="M1348" t="str">
        <f t="shared" si="168"/>
        <v>Medium</v>
      </c>
      <c r="N1348">
        <f>(winequality_red[[#This Row],[Updated Quality &amp; Alcohol Analysis]]+winequality_red[[#This Row],[volatile acidity]]+winequality_red[[#This Row],[citric acid]])</f>
        <v>6.6999999999999993</v>
      </c>
      <c r="O1348">
        <f t="shared" si="169"/>
        <v>2.8982456140350877E-2</v>
      </c>
      <c r="S1348" t="e">
        <f t="shared" si="170"/>
        <v>#N/A</v>
      </c>
      <c r="T1348" t="e">
        <f t="shared" si="171"/>
        <v>#N/A</v>
      </c>
      <c r="U1348">
        <f t="shared" si="172"/>
        <v>11.4</v>
      </c>
      <c r="V1348">
        <f t="shared" si="173"/>
        <v>5</v>
      </c>
      <c r="W1348" t="e">
        <f t="shared" si="174"/>
        <v>#N/A</v>
      </c>
      <c r="X1348" t="e">
        <f t="shared" si="175"/>
        <v>#N/A</v>
      </c>
    </row>
    <row r="1349" spans="1:24" x14ac:dyDescent="0.3">
      <c r="A1349">
        <v>7.2</v>
      </c>
      <c r="B1349">
        <v>0.65500000000000003</v>
      </c>
      <c r="C1349">
        <v>0.03</v>
      </c>
      <c r="D1349">
        <v>1.8</v>
      </c>
      <c r="E1349">
        <v>7.8E-2</v>
      </c>
      <c r="F1349">
        <v>7</v>
      </c>
      <c r="G1349">
        <v>12</v>
      </c>
      <c r="H1349">
        <v>0.99587000000000003</v>
      </c>
      <c r="I1349">
        <v>3.34</v>
      </c>
      <c r="J1349">
        <v>0.39</v>
      </c>
      <c r="K1349">
        <v>9.5</v>
      </c>
      <c r="L1349">
        <v>5</v>
      </c>
      <c r="M1349" t="str">
        <f t="shared" si="168"/>
        <v>Medium</v>
      </c>
      <c r="N1349">
        <f>(winequality_red[[#This Row],[Updated Quality &amp; Alcohol Analysis]]+winequality_red[[#This Row],[volatile acidity]]+winequality_red[[#This Row],[citric acid]])</f>
        <v>7.8850000000000007</v>
      </c>
      <c r="O1349">
        <f t="shared" si="169"/>
        <v>2.6889473684210529E-2</v>
      </c>
      <c r="S1349" t="e">
        <f t="shared" si="170"/>
        <v>#N/A</v>
      </c>
      <c r="T1349" t="e">
        <f t="shared" si="171"/>
        <v>#N/A</v>
      </c>
      <c r="U1349">
        <f t="shared" si="172"/>
        <v>9.5</v>
      </c>
      <c r="V1349">
        <f t="shared" si="173"/>
        <v>5</v>
      </c>
      <c r="W1349" t="e">
        <f t="shared" si="174"/>
        <v>#N/A</v>
      </c>
      <c r="X1349" t="e">
        <f t="shared" si="175"/>
        <v>#N/A</v>
      </c>
    </row>
    <row r="1350" spans="1:24" x14ac:dyDescent="0.3">
      <c r="A1350">
        <v>7.2</v>
      </c>
      <c r="B1350">
        <v>0.65500000000000003</v>
      </c>
      <c r="C1350">
        <v>0.03</v>
      </c>
      <c r="D1350">
        <v>1.8</v>
      </c>
      <c r="E1350">
        <v>7.8E-2</v>
      </c>
      <c r="F1350">
        <v>7</v>
      </c>
      <c r="G1350">
        <v>12</v>
      </c>
      <c r="H1350">
        <v>0.99587000000000003</v>
      </c>
      <c r="I1350">
        <v>3.34</v>
      </c>
      <c r="J1350">
        <v>0.39</v>
      </c>
      <c r="K1350">
        <v>9.5</v>
      </c>
      <c r="L1350">
        <v>5</v>
      </c>
      <c r="M1350" t="str">
        <f t="shared" si="168"/>
        <v>Medium</v>
      </c>
      <c r="N1350">
        <f>(winequality_red[[#This Row],[Updated Quality &amp; Alcohol Analysis]]+winequality_red[[#This Row],[volatile acidity]]+winequality_red[[#This Row],[citric acid]])</f>
        <v>7.8850000000000007</v>
      </c>
      <c r="O1350">
        <f t="shared" si="169"/>
        <v>2.6889473684210529E-2</v>
      </c>
      <c r="S1350" t="e">
        <f t="shared" si="170"/>
        <v>#N/A</v>
      </c>
      <c r="T1350" t="e">
        <f t="shared" si="171"/>
        <v>#N/A</v>
      </c>
      <c r="U1350">
        <f t="shared" si="172"/>
        <v>9.5</v>
      </c>
      <c r="V1350">
        <f t="shared" si="173"/>
        <v>5</v>
      </c>
      <c r="W1350" t="e">
        <f t="shared" si="174"/>
        <v>#N/A</v>
      </c>
      <c r="X1350" t="e">
        <f t="shared" si="175"/>
        <v>#N/A</v>
      </c>
    </row>
    <row r="1351" spans="1:24" x14ac:dyDescent="0.3">
      <c r="A1351">
        <v>6.9</v>
      </c>
      <c r="B1351">
        <v>0.56999999999999995</v>
      </c>
      <c r="C1351">
        <v>0</v>
      </c>
      <c r="D1351">
        <v>2.8</v>
      </c>
      <c r="E1351">
        <v>8.1000000000000003E-2</v>
      </c>
      <c r="F1351">
        <v>21</v>
      </c>
      <c r="G1351">
        <v>41</v>
      </c>
      <c r="H1351">
        <v>0.99517999999999995</v>
      </c>
      <c r="I1351">
        <v>3.41</v>
      </c>
      <c r="J1351">
        <v>0.52</v>
      </c>
      <c r="K1351">
        <v>10.8</v>
      </c>
      <c r="L1351">
        <v>5</v>
      </c>
      <c r="M1351" t="str">
        <f t="shared" si="168"/>
        <v>Medium</v>
      </c>
      <c r="N1351">
        <f>(winequality_red[[#This Row],[Updated Quality &amp; Alcohol Analysis]]+winequality_red[[#This Row],[volatile acidity]]+winequality_red[[#This Row],[citric acid]])</f>
        <v>7.4700000000000006</v>
      </c>
      <c r="O1351">
        <f t="shared" si="169"/>
        <v>2.7444444444444441E-2</v>
      </c>
      <c r="S1351" t="e">
        <f t="shared" si="170"/>
        <v>#N/A</v>
      </c>
      <c r="T1351" t="e">
        <f t="shared" si="171"/>
        <v>#N/A</v>
      </c>
      <c r="U1351">
        <f t="shared" si="172"/>
        <v>10.8</v>
      </c>
      <c r="V1351">
        <f t="shared" si="173"/>
        <v>5</v>
      </c>
      <c r="W1351" t="e">
        <f t="shared" si="174"/>
        <v>#N/A</v>
      </c>
      <c r="X1351" t="e">
        <f t="shared" si="175"/>
        <v>#N/A</v>
      </c>
    </row>
    <row r="1352" spans="1:24" x14ac:dyDescent="0.3">
      <c r="A1352">
        <v>9</v>
      </c>
      <c r="B1352">
        <v>0.6</v>
      </c>
      <c r="C1352">
        <v>0.28999999999999998</v>
      </c>
      <c r="D1352">
        <v>2</v>
      </c>
      <c r="E1352">
        <v>6.9000000000000006E-2</v>
      </c>
      <c r="F1352">
        <v>32</v>
      </c>
      <c r="G1352">
        <v>73</v>
      </c>
      <c r="H1352">
        <v>0.99653999999999998</v>
      </c>
      <c r="I1352">
        <v>3.34</v>
      </c>
      <c r="J1352">
        <v>0.56999999999999995</v>
      </c>
      <c r="K1352">
        <v>10</v>
      </c>
      <c r="L1352">
        <v>5</v>
      </c>
      <c r="M1352" t="str">
        <f t="shared" si="168"/>
        <v>Medium</v>
      </c>
      <c r="N1352">
        <f>(winequality_red[[#This Row],[Updated Quality &amp; Alcohol Analysis]]+winequality_red[[#This Row],[volatile acidity]]+winequality_red[[#This Row],[citric acid]])</f>
        <v>9.8899999999999988</v>
      </c>
      <c r="O1352">
        <f t="shared" si="169"/>
        <v>3.4199999999999994E-2</v>
      </c>
      <c r="S1352" t="e">
        <f t="shared" si="170"/>
        <v>#N/A</v>
      </c>
      <c r="T1352" t="e">
        <f t="shared" si="171"/>
        <v>#N/A</v>
      </c>
      <c r="U1352">
        <f t="shared" si="172"/>
        <v>10</v>
      </c>
      <c r="V1352">
        <f t="shared" si="173"/>
        <v>5</v>
      </c>
      <c r="W1352" t="e">
        <f t="shared" si="174"/>
        <v>#N/A</v>
      </c>
      <c r="X1352" t="e">
        <f t="shared" si="175"/>
        <v>#N/A</v>
      </c>
    </row>
    <row r="1353" spans="1:24" x14ac:dyDescent="0.3">
      <c r="A1353">
        <v>7.2</v>
      </c>
      <c r="B1353">
        <v>0.62</v>
      </c>
      <c r="C1353">
        <v>0.01</v>
      </c>
      <c r="D1353">
        <v>2.2999999999999998</v>
      </c>
      <c r="E1353">
        <v>6.5000000000000002E-2</v>
      </c>
      <c r="F1353">
        <v>8</v>
      </c>
      <c r="G1353">
        <v>46</v>
      </c>
      <c r="H1353">
        <v>0.99332000000000009</v>
      </c>
      <c r="I1353">
        <v>3.32</v>
      </c>
      <c r="J1353">
        <v>0.51</v>
      </c>
      <c r="K1353">
        <v>11.8</v>
      </c>
      <c r="L1353">
        <v>6</v>
      </c>
      <c r="M1353" t="str">
        <f t="shared" si="168"/>
        <v>Medium</v>
      </c>
      <c r="N1353">
        <f>(winequality_red[[#This Row],[Updated Quality &amp; Alcohol Analysis]]+winequality_red[[#This Row],[volatile acidity]]+winequality_red[[#This Row],[citric acid]])</f>
        <v>7.83</v>
      </c>
      <c r="O1353">
        <f t="shared" si="169"/>
        <v>2.6796610169491523E-2</v>
      </c>
      <c r="S1353" t="e">
        <f t="shared" si="170"/>
        <v>#N/A</v>
      </c>
      <c r="T1353" t="e">
        <f t="shared" si="171"/>
        <v>#N/A</v>
      </c>
      <c r="U1353">
        <f t="shared" si="172"/>
        <v>11.8</v>
      </c>
      <c r="V1353">
        <f t="shared" si="173"/>
        <v>6</v>
      </c>
      <c r="W1353" t="e">
        <f t="shared" si="174"/>
        <v>#N/A</v>
      </c>
      <c r="X1353" t="e">
        <f t="shared" si="175"/>
        <v>#N/A</v>
      </c>
    </row>
    <row r="1354" spans="1:24" x14ac:dyDescent="0.3">
      <c r="A1354">
        <v>7.6</v>
      </c>
      <c r="B1354">
        <v>0.64500000000000002</v>
      </c>
      <c r="C1354">
        <v>0.03</v>
      </c>
      <c r="D1354">
        <v>1.9</v>
      </c>
      <c r="E1354">
        <v>8.5999999999999993E-2</v>
      </c>
      <c r="F1354">
        <v>14</v>
      </c>
      <c r="G1354">
        <v>57</v>
      </c>
      <c r="H1354">
        <v>0.99690000000000001</v>
      </c>
      <c r="I1354">
        <v>3.37</v>
      </c>
      <c r="J1354">
        <v>0.46</v>
      </c>
      <c r="K1354">
        <v>10.3</v>
      </c>
      <c r="L1354">
        <v>5</v>
      </c>
      <c r="M1354" t="str">
        <f t="shared" si="168"/>
        <v>Medium</v>
      </c>
      <c r="N1354">
        <f>(winequality_red[[#This Row],[Updated Quality &amp; Alcohol Analysis]]+winequality_red[[#This Row],[volatile acidity]]+winequality_red[[#This Row],[citric acid]])</f>
        <v>8.2749999999999986</v>
      </c>
      <c r="O1354">
        <f t="shared" si="169"/>
        <v>2.8805825242718446E-2</v>
      </c>
      <c r="S1354" t="e">
        <f t="shared" si="170"/>
        <v>#N/A</v>
      </c>
      <c r="T1354" t="e">
        <f t="shared" si="171"/>
        <v>#N/A</v>
      </c>
      <c r="U1354">
        <f t="shared" si="172"/>
        <v>10.3</v>
      </c>
      <c r="V1354">
        <f t="shared" si="173"/>
        <v>5</v>
      </c>
      <c r="W1354" t="e">
        <f t="shared" si="174"/>
        <v>#N/A</v>
      </c>
      <c r="X1354" t="e">
        <f t="shared" si="175"/>
        <v>#N/A</v>
      </c>
    </row>
    <row r="1355" spans="1:24" x14ac:dyDescent="0.3">
      <c r="A1355">
        <v>7.6</v>
      </c>
      <c r="B1355">
        <v>0.64500000000000002</v>
      </c>
      <c r="C1355">
        <v>0.03</v>
      </c>
      <c r="D1355">
        <v>1.9</v>
      </c>
      <c r="E1355">
        <v>8.5999999999999993E-2</v>
      </c>
      <c r="F1355">
        <v>14</v>
      </c>
      <c r="G1355">
        <v>57</v>
      </c>
      <c r="H1355">
        <v>0.99690000000000001</v>
      </c>
      <c r="I1355">
        <v>3.37</v>
      </c>
      <c r="J1355">
        <v>0.46</v>
      </c>
      <c r="K1355">
        <v>10.3</v>
      </c>
      <c r="L1355">
        <v>5</v>
      </c>
      <c r="M1355" t="str">
        <f t="shared" si="168"/>
        <v>Medium</v>
      </c>
      <c r="N1355">
        <f>(winequality_red[[#This Row],[Updated Quality &amp; Alcohol Analysis]]+winequality_red[[#This Row],[volatile acidity]]+winequality_red[[#This Row],[citric acid]])</f>
        <v>8.2749999999999986</v>
      </c>
      <c r="O1355">
        <f t="shared" si="169"/>
        <v>2.8805825242718446E-2</v>
      </c>
      <c r="S1355" t="e">
        <f t="shared" si="170"/>
        <v>#N/A</v>
      </c>
      <c r="T1355" t="e">
        <f t="shared" si="171"/>
        <v>#N/A</v>
      </c>
      <c r="U1355">
        <f t="shared" si="172"/>
        <v>10.3</v>
      </c>
      <c r="V1355">
        <f t="shared" si="173"/>
        <v>5</v>
      </c>
      <c r="W1355" t="e">
        <f t="shared" si="174"/>
        <v>#N/A</v>
      </c>
      <c r="X1355" t="e">
        <f t="shared" si="175"/>
        <v>#N/A</v>
      </c>
    </row>
    <row r="1356" spans="1:24" x14ac:dyDescent="0.3">
      <c r="A1356">
        <v>7.2</v>
      </c>
      <c r="B1356">
        <v>0.57999999999999996</v>
      </c>
      <c r="C1356">
        <v>0.03</v>
      </c>
      <c r="D1356">
        <v>2.2999999999999998</v>
      </c>
      <c r="E1356">
        <v>7.6999999999999999E-2</v>
      </c>
      <c r="F1356">
        <v>7</v>
      </c>
      <c r="G1356">
        <v>28</v>
      </c>
      <c r="H1356">
        <v>0.9956799999999999</v>
      </c>
      <c r="I1356">
        <v>3.35</v>
      </c>
      <c r="J1356">
        <v>0.52</v>
      </c>
      <c r="K1356">
        <v>10</v>
      </c>
      <c r="L1356">
        <v>5</v>
      </c>
      <c r="M1356" t="str">
        <f t="shared" si="168"/>
        <v>Medium</v>
      </c>
      <c r="N1356">
        <f>(winequality_red[[#This Row],[Updated Quality &amp; Alcohol Analysis]]+winequality_red[[#This Row],[volatile acidity]]+winequality_red[[#This Row],[citric acid]])</f>
        <v>7.8100000000000005</v>
      </c>
      <c r="O1356">
        <f t="shared" si="169"/>
        <v>3.0159999999999999E-2</v>
      </c>
      <c r="S1356" t="e">
        <f t="shared" si="170"/>
        <v>#N/A</v>
      </c>
      <c r="T1356" t="e">
        <f t="shared" si="171"/>
        <v>#N/A</v>
      </c>
      <c r="U1356">
        <f t="shared" si="172"/>
        <v>10</v>
      </c>
      <c r="V1356">
        <f t="shared" si="173"/>
        <v>5</v>
      </c>
      <c r="W1356" t="e">
        <f t="shared" si="174"/>
        <v>#N/A</v>
      </c>
      <c r="X1356" t="e">
        <f t="shared" si="175"/>
        <v>#N/A</v>
      </c>
    </row>
    <row r="1357" spans="1:24" x14ac:dyDescent="0.3">
      <c r="A1357">
        <v>6.1</v>
      </c>
      <c r="B1357">
        <v>0.32</v>
      </c>
      <c r="C1357">
        <v>0.25</v>
      </c>
      <c r="D1357">
        <v>1.8</v>
      </c>
      <c r="E1357">
        <v>8.5999999999999993E-2</v>
      </c>
      <c r="F1357">
        <v>5</v>
      </c>
      <c r="G1357">
        <v>32</v>
      </c>
      <c r="H1357">
        <v>0.99463999999999997</v>
      </c>
      <c r="I1357">
        <v>3.36</v>
      </c>
      <c r="J1357">
        <v>0.44</v>
      </c>
      <c r="K1357">
        <v>10.1</v>
      </c>
      <c r="L1357">
        <v>5</v>
      </c>
      <c r="M1357" t="str">
        <f t="shared" si="168"/>
        <v>Medium</v>
      </c>
      <c r="N1357">
        <f>(winequality_red[[#This Row],[Updated Quality &amp; Alcohol Analysis]]+winequality_red[[#This Row],[volatile acidity]]+winequality_red[[#This Row],[citric acid]])</f>
        <v>6.67</v>
      </c>
      <c r="O1357">
        <f t="shared" si="169"/>
        <v>1.3940594059405943E-2</v>
      </c>
      <c r="S1357" t="e">
        <f t="shared" si="170"/>
        <v>#N/A</v>
      </c>
      <c r="T1357" t="e">
        <f t="shared" si="171"/>
        <v>#N/A</v>
      </c>
      <c r="U1357">
        <f t="shared" si="172"/>
        <v>10.1</v>
      </c>
      <c r="V1357">
        <f t="shared" si="173"/>
        <v>5</v>
      </c>
      <c r="W1357" t="e">
        <f t="shared" si="174"/>
        <v>#N/A</v>
      </c>
      <c r="X1357" t="e">
        <f t="shared" si="175"/>
        <v>#N/A</v>
      </c>
    </row>
    <row r="1358" spans="1:24" x14ac:dyDescent="0.3">
      <c r="A1358">
        <v>6.1</v>
      </c>
      <c r="B1358">
        <v>0.34</v>
      </c>
      <c r="C1358">
        <v>0.25</v>
      </c>
      <c r="D1358">
        <v>1.8</v>
      </c>
      <c r="E1358">
        <v>8.4000000000000005E-2</v>
      </c>
      <c r="F1358">
        <v>4</v>
      </c>
      <c r="G1358">
        <v>28</v>
      </c>
      <c r="H1358">
        <v>0.99463999999999997</v>
      </c>
      <c r="I1358">
        <v>3.36</v>
      </c>
      <c r="J1358">
        <v>0.44</v>
      </c>
      <c r="K1358">
        <v>10.1</v>
      </c>
      <c r="L1358">
        <v>5</v>
      </c>
      <c r="M1358" t="str">
        <f t="shared" si="168"/>
        <v>Medium</v>
      </c>
      <c r="N1358">
        <f>(winequality_red[[#This Row],[Updated Quality &amp; Alcohol Analysis]]+winequality_red[[#This Row],[volatile acidity]]+winequality_red[[#This Row],[citric acid]])</f>
        <v>6.6899999999999995</v>
      </c>
      <c r="O1358">
        <f t="shared" si="169"/>
        <v>1.4811881188118813E-2</v>
      </c>
      <c r="S1358" t="e">
        <f t="shared" si="170"/>
        <v>#N/A</v>
      </c>
      <c r="T1358" t="e">
        <f t="shared" si="171"/>
        <v>#N/A</v>
      </c>
      <c r="U1358">
        <f t="shared" si="172"/>
        <v>10.1</v>
      </c>
      <c r="V1358">
        <f t="shared" si="173"/>
        <v>5</v>
      </c>
      <c r="W1358" t="e">
        <f t="shared" si="174"/>
        <v>#N/A</v>
      </c>
      <c r="X1358" t="e">
        <f t="shared" si="175"/>
        <v>#N/A</v>
      </c>
    </row>
    <row r="1359" spans="1:24" x14ac:dyDescent="0.3">
      <c r="A1359">
        <v>7.3</v>
      </c>
      <c r="B1359">
        <v>0.43</v>
      </c>
      <c r="C1359">
        <v>0.24</v>
      </c>
      <c r="D1359">
        <v>2.5</v>
      </c>
      <c r="E1359">
        <v>7.8E-2</v>
      </c>
      <c r="F1359">
        <v>27</v>
      </c>
      <c r="G1359">
        <v>67</v>
      </c>
      <c r="H1359">
        <v>0.99647999999999992</v>
      </c>
      <c r="I1359">
        <v>3.6</v>
      </c>
      <c r="J1359">
        <v>0.59</v>
      </c>
      <c r="K1359">
        <v>11.1</v>
      </c>
      <c r="L1359">
        <v>6</v>
      </c>
      <c r="M1359" t="str">
        <f t="shared" si="168"/>
        <v>Medium</v>
      </c>
      <c r="N1359">
        <f>(winequality_red[[#This Row],[Updated Quality &amp; Alcohol Analysis]]+winequality_red[[#This Row],[volatile acidity]]+winequality_red[[#This Row],[citric acid]])</f>
        <v>7.97</v>
      </c>
      <c r="O1359">
        <f t="shared" si="169"/>
        <v>2.2855855855855856E-2</v>
      </c>
      <c r="S1359" t="e">
        <f t="shared" si="170"/>
        <v>#N/A</v>
      </c>
      <c r="T1359" t="e">
        <f t="shared" si="171"/>
        <v>#N/A</v>
      </c>
      <c r="U1359">
        <f t="shared" si="172"/>
        <v>11.1</v>
      </c>
      <c r="V1359">
        <f t="shared" si="173"/>
        <v>6</v>
      </c>
      <c r="W1359" t="e">
        <f t="shared" si="174"/>
        <v>#N/A</v>
      </c>
      <c r="X1359" t="e">
        <f t="shared" si="175"/>
        <v>#N/A</v>
      </c>
    </row>
    <row r="1360" spans="1:24" x14ac:dyDescent="0.3">
      <c r="A1360">
        <v>7.4</v>
      </c>
      <c r="B1360">
        <v>0.64</v>
      </c>
      <c r="C1360">
        <v>0.17</v>
      </c>
      <c r="D1360">
        <v>5.4</v>
      </c>
      <c r="E1360">
        <v>0.16800000000000001</v>
      </c>
      <c r="F1360">
        <v>52</v>
      </c>
      <c r="G1360">
        <v>98</v>
      </c>
      <c r="H1360">
        <v>0.99736000000000002</v>
      </c>
      <c r="I1360">
        <v>3.28</v>
      </c>
      <c r="J1360">
        <v>0.5</v>
      </c>
      <c r="K1360">
        <v>9.5</v>
      </c>
      <c r="L1360">
        <v>5</v>
      </c>
      <c r="M1360" t="str">
        <f t="shared" si="168"/>
        <v>Medium</v>
      </c>
      <c r="N1360">
        <f>(winequality_red[[#This Row],[Updated Quality &amp; Alcohol Analysis]]+winequality_red[[#This Row],[volatile acidity]]+winequality_red[[#This Row],[citric acid]])</f>
        <v>8.2100000000000009</v>
      </c>
      <c r="O1360">
        <f t="shared" si="169"/>
        <v>3.3684210526315789E-2</v>
      </c>
      <c r="S1360" t="e">
        <f t="shared" si="170"/>
        <v>#N/A</v>
      </c>
      <c r="T1360" t="e">
        <f t="shared" si="171"/>
        <v>#N/A</v>
      </c>
      <c r="U1360">
        <f t="shared" si="172"/>
        <v>9.5</v>
      </c>
      <c r="V1360">
        <f t="shared" si="173"/>
        <v>5</v>
      </c>
      <c r="W1360" t="e">
        <f t="shared" si="174"/>
        <v>#N/A</v>
      </c>
      <c r="X1360" t="e">
        <f t="shared" si="175"/>
        <v>#N/A</v>
      </c>
    </row>
    <row r="1361" spans="1:24" x14ac:dyDescent="0.3">
      <c r="A1361">
        <v>11.6</v>
      </c>
      <c r="B1361">
        <v>0.47499999999999998</v>
      </c>
      <c r="C1361">
        <v>0.4</v>
      </c>
      <c r="D1361">
        <v>1.4</v>
      </c>
      <c r="E1361">
        <v>9.0999999999999998E-2</v>
      </c>
      <c r="F1361">
        <v>6</v>
      </c>
      <c r="G1361">
        <v>28</v>
      </c>
      <c r="H1361">
        <v>0.99703999999999993</v>
      </c>
      <c r="I1361">
        <v>3.07</v>
      </c>
      <c r="J1361">
        <v>0.65</v>
      </c>
      <c r="K1361">
        <v>10.033333333333299</v>
      </c>
      <c r="L1361">
        <v>6</v>
      </c>
      <c r="M1361" t="str">
        <f t="shared" si="168"/>
        <v>Medium</v>
      </c>
      <c r="N1361">
        <f>(winequality_red[[#This Row],[Updated Quality &amp; Alcohol Analysis]]+winequality_red[[#This Row],[volatile acidity]]+winequality_red[[#This Row],[citric acid]])</f>
        <v>12.475</v>
      </c>
      <c r="O1361">
        <f t="shared" si="169"/>
        <v>3.0772425249169535E-2</v>
      </c>
      <c r="S1361" t="e">
        <f t="shared" si="170"/>
        <v>#N/A</v>
      </c>
      <c r="T1361" t="e">
        <f t="shared" si="171"/>
        <v>#N/A</v>
      </c>
      <c r="U1361">
        <f t="shared" si="172"/>
        <v>10.033333333333299</v>
      </c>
      <c r="V1361">
        <f t="shared" si="173"/>
        <v>6</v>
      </c>
      <c r="W1361" t="e">
        <f t="shared" si="174"/>
        <v>#N/A</v>
      </c>
      <c r="X1361" t="e">
        <f t="shared" si="175"/>
        <v>#N/A</v>
      </c>
    </row>
    <row r="1362" spans="1:24" x14ac:dyDescent="0.3">
      <c r="A1362">
        <v>9.1999999999999993</v>
      </c>
      <c r="B1362">
        <v>0.54</v>
      </c>
      <c r="C1362">
        <v>0.31</v>
      </c>
      <c r="D1362">
        <v>2.2999999999999998</v>
      </c>
      <c r="E1362">
        <v>0.11199999999999999</v>
      </c>
      <c r="F1362">
        <v>11</v>
      </c>
      <c r="G1362">
        <v>38</v>
      </c>
      <c r="H1362">
        <v>0.99698999999999993</v>
      </c>
      <c r="I1362">
        <v>3.24</v>
      </c>
      <c r="J1362">
        <v>0.56000000000000005</v>
      </c>
      <c r="K1362">
        <v>10.9</v>
      </c>
      <c r="L1362">
        <v>5</v>
      </c>
      <c r="M1362" t="str">
        <f t="shared" si="168"/>
        <v>Medium</v>
      </c>
      <c r="N1362">
        <f>(winequality_red[[#This Row],[Updated Quality &amp; Alcohol Analysis]]+winequality_red[[#This Row],[volatile acidity]]+winequality_red[[#This Row],[citric acid]])</f>
        <v>10.049999999999999</v>
      </c>
      <c r="O1362">
        <f t="shared" si="169"/>
        <v>2.774311926605505E-2</v>
      </c>
      <c r="S1362" t="e">
        <f t="shared" si="170"/>
        <v>#N/A</v>
      </c>
      <c r="T1362" t="e">
        <f t="shared" si="171"/>
        <v>#N/A</v>
      </c>
      <c r="U1362">
        <f t="shared" si="172"/>
        <v>10.9</v>
      </c>
      <c r="V1362">
        <f t="shared" si="173"/>
        <v>5</v>
      </c>
      <c r="W1362" t="e">
        <f t="shared" si="174"/>
        <v>#N/A</v>
      </c>
      <c r="X1362" t="e">
        <f t="shared" si="175"/>
        <v>#N/A</v>
      </c>
    </row>
    <row r="1363" spans="1:24" x14ac:dyDescent="0.3">
      <c r="A1363">
        <v>8.3000000000000007</v>
      </c>
      <c r="B1363">
        <v>0.85</v>
      </c>
      <c r="C1363">
        <v>0.14000000000000001</v>
      </c>
      <c r="D1363">
        <v>2.5</v>
      </c>
      <c r="E1363">
        <v>9.3000000000000013E-2</v>
      </c>
      <c r="F1363">
        <v>13</v>
      </c>
      <c r="G1363">
        <v>54</v>
      </c>
      <c r="H1363">
        <v>0.99724000000000002</v>
      </c>
      <c r="I1363">
        <v>3.36</v>
      </c>
      <c r="J1363">
        <v>0.54</v>
      </c>
      <c r="K1363">
        <v>10.1</v>
      </c>
      <c r="L1363">
        <v>5</v>
      </c>
      <c r="M1363" t="str">
        <f t="shared" si="168"/>
        <v>Medium</v>
      </c>
      <c r="N1363">
        <f>(winequality_red[[#This Row],[Updated Quality &amp; Alcohol Analysis]]+winequality_red[[#This Row],[volatile acidity]]+winequality_red[[#This Row],[citric acid]])</f>
        <v>9.2900000000000009</v>
      </c>
      <c r="O1363">
        <f t="shared" si="169"/>
        <v>4.5445544554455451E-2</v>
      </c>
      <c r="S1363" t="e">
        <f t="shared" si="170"/>
        <v>#N/A</v>
      </c>
      <c r="T1363" t="e">
        <f t="shared" si="171"/>
        <v>#N/A</v>
      </c>
      <c r="U1363">
        <f t="shared" si="172"/>
        <v>10.1</v>
      </c>
      <c r="V1363">
        <f t="shared" si="173"/>
        <v>5</v>
      </c>
      <c r="W1363" t="e">
        <f t="shared" si="174"/>
        <v>#N/A</v>
      </c>
      <c r="X1363" t="e">
        <f t="shared" si="175"/>
        <v>#N/A</v>
      </c>
    </row>
    <row r="1364" spans="1:24" x14ac:dyDescent="0.3">
      <c r="A1364">
        <v>11.6</v>
      </c>
      <c r="B1364">
        <v>0.47499999999999998</v>
      </c>
      <c r="C1364">
        <v>0.4</v>
      </c>
      <c r="D1364">
        <v>1.4</v>
      </c>
      <c r="E1364">
        <v>9.0999999999999998E-2</v>
      </c>
      <c r="F1364">
        <v>6</v>
      </c>
      <c r="G1364">
        <v>28</v>
      </c>
      <c r="H1364">
        <v>0.99703999999999993</v>
      </c>
      <c r="I1364">
        <v>3.07</v>
      </c>
      <c r="J1364">
        <v>0.65</v>
      </c>
      <c r="K1364">
        <v>10.033333333333299</v>
      </c>
      <c r="L1364">
        <v>6</v>
      </c>
      <c r="M1364" t="str">
        <f t="shared" si="168"/>
        <v>Medium</v>
      </c>
      <c r="N1364">
        <f>(winequality_red[[#This Row],[Updated Quality &amp; Alcohol Analysis]]+winequality_red[[#This Row],[volatile acidity]]+winequality_red[[#This Row],[citric acid]])</f>
        <v>12.475</v>
      </c>
      <c r="O1364">
        <f t="shared" si="169"/>
        <v>3.0772425249169535E-2</v>
      </c>
      <c r="S1364" t="e">
        <f t="shared" si="170"/>
        <v>#N/A</v>
      </c>
      <c r="T1364" t="e">
        <f t="shared" si="171"/>
        <v>#N/A</v>
      </c>
      <c r="U1364">
        <f t="shared" si="172"/>
        <v>10.033333333333299</v>
      </c>
      <c r="V1364">
        <f t="shared" si="173"/>
        <v>6</v>
      </c>
      <c r="W1364" t="e">
        <f t="shared" si="174"/>
        <v>#N/A</v>
      </c>
      <c r="X1364" t="e">
        <f t="shared" si="175"/>
        <v>#N/A</v>
      </c>
    </row>
    <row r="1365" spans="1:24" x14ac:dyDescent="0.3">
      <c r="A1365">
        <v>8</v>
      </c>
      <c r="B1365">
        <v>0.83</v>
      </c>
      <c r="C1365">
        <v>0.27</v>
      </c>
      <c r="D1365">
        <v>2</v>
      </c>
      <c r="E1365">
        <v>0.08</v>
      </c>
      <c r="F1365">
        <v>11</v>
      </c>
      <c r="G1365">
        <v>63</v>
      </c>
      <c r="H1365">
        <v>0.99652000000000007</v>
      </c>
      <c r="I1365">
        <v>3.29</v>
      </c>
      <c r="J1365">
        <v>0.48</v>
      </c>
      <c r="K1365">
        <v>9.8000000000000007</v>
      </c>
      <c r="L1365">
        <v>4</v>
      </c>
      <c r="M1365" t="str">
        <f t="shared" si="168"/>
        <v>Low</v>
      </c>
      <c r="N1365">
        <f>(winequality_red[[#This Row],[Updated Quality &amp; Alcohol Analysis]]+winequality_red[[#This Row],[volatile acidity]]+winequality_red[[#This Row],[citric acid]])</f>
        <v>9.1</v>
      </c>
      <c r="O1365">
        <f t="shared" si="169"/>
        <v>4.0653061224489792E-2</v>
      </c>
      <c r="S1365">
        <f t="shared" si="170"/>
        <v>9.8000000000000007</v>
      </c>
      <c r="T1365">
        <f t="shared" si="171"/>
        <v>4</v>
      </c>
      <c r="U1365" t="e">
        <f t="shared" si="172"/>
        <v>#N/A</v>
      </c>
      <c r="V1365" t="e">
        <f t="shared" si="173"/>
        <v>#N/A</v>
      </c>
      <c r="W1365" t="e">
        <f t="shared" si="174"/>
        <v>#N/A</v>
      </c>
      <c r="X1365" t="e">
        <f t="shared" si="175"/>
        <v>#N/A</v>
      </c>
    </row>
    <row r="1366" spans="1:24" x14ac:dyDescent="0.3">
      <c r="A1366">
        <v>7.2</v>
      </c>
      <c r="B1366">
        <v>0.60499999999999998</v>
      </c>
      <c r="C1366">
        <v>0.02</v>
      </c>
      <c r="D1366">
        <v>1.9</v>
      </c>
      <c r="E1366">
        <v>9.6000000000000002E-2</v>
      </c>
      <c r="F1366">
        <v>10</v>
      </c>
      <c r="G1366">
        <v>31</v>
      </c>
      <c r="H1366">
        <v>0.995</v>
      </c>
      <c r="I1366">
        <v>3.46</v>
      </c>
      <c r="J1366">
        <v>0.53</v>
      </c>
      <c r="K1366">
        <v>11.8</v>
      </c>
      <c r="L1366">
        <v>6</v>
      </c>
      <c r="M1366" t="str">
        <f t="shared" si="168"/>
        <v>Medium</v>
      </c>
      <c r="N1366">
        <f>(winequality_red[[#This Row],[Updated Quality &amp; Alcohol Analysis]]+winequality_red[[#This Row],[volatile acidity]]+winequality_red[[#This Row],[citric acid]])</f>
        <v>7.8249999999999993</v>
      </c>
      <c r="O1366">
        <f t="shared" si="169"/>
        <v>2.7173728813559318E-2</v>
      </c>
      <c r="S1366" t="e">
        <f t="shared" si="170"/>
        <v>#N/A</v>
      </c>
      <c r="T1366" t="e">
        <f t="shared" si="171"/>
        <v>#N/A</v>
      </c>
      <c r="U1366">
        <f t="shared" si="172"/>
        <v>11.8</v>
      </c>
      <c r="V1366">
        <f t="shared" si="173"/>
        <v>6</v>
      </c>
      <c r="W1366" t="e">
        <f t="shared" si="174"/>
        <v>#N/A</v>
      </c>
      <c r="X1366" t="e">
        <f t="shared" si="175"/>
        <v>#N/A</v>
      </c>
    </row>
    <row r="1367" spans="1:24" x14ac:dyDescent="0.3">
      <c r="A1367">
        <v>7.8</v>
      </c>
      <c r="B1367">
        <v>0.5</v>
      </c>
      <c r="C1367">
        <v>0.09</v>
      </c>
      <c r="D1367">
        <v>2.2000000000000002</v>
      </c>
      <c r="E1367">
        <v>0.115</v>
      </c>
      <c r="F1367">
        <v>10</v>
      </c>
      <c r="G1367">
        <v>42</v>
      </c>
      <c r="H1367">
        <v>0.99709999999999999</v>
      </c>
      <c r="I1367">
        <v>3.18</v>
      </c>
      <c r="J1367">
        <v>0.62</v>
      </c>
      <c r="K1367">
        <v>9.5</v>
      </c>
      <c r="L1367">
        <v>5</v>
      </c>
      <c r="M1367" t="str">
        <f t="shared" si="168"/>
        <v>Medium</v>
      </c>
      <c r="N1367">
        <f>(winequality_red[[#This Row],[Updated Quality &amp; Alcohol Analysis]]+winequality_red[[#This Row],[volatile acidity]]+winequality_red[[#This Row],[citric acid]])</f>
        <v>8.39</v>
      </c>
      <c r="O1367">
        <f t="shared" si="169"/>
        <v>3.2631578947368421E-2</v>
      </c>
      <c r="S1367" t="e">
        <f t="shared" si="170"/>
        <v>#N/A</v>
      </c>
      <c r="T1367" t="e">
        <f t="shared" si="171"/>
        <v>#N/A</v>
      </c>
      <c r="U1367">
        <f t="shared" si="172"/>
        <v>9.5</v>
      </c>
      <c r="V1367">
        <f t="shared" si="173"/>
        <v>5</v>
      </c>
      <c r="W1367" t="e">
        <f t="shared" si="174"/>
        <v>#N/A</v>
      </c>
      <c r="X1367" t="e">
        <f t="shared" si="175"/>
        <v>#N/A</v>
      </c>
    </row>
    <row r="1368" spans="1:24" x14ac:dyDescent="0.3">
      <c r="A1368">
        <v>7.3</v>
      </c>
      <c r="B1368">
        <v>0.74</v>
      </c>
      <c r="C1368">
        <v>0.08</v>
      </c>
      <c r="D1368">
        <v>1.7</v>
      </c>
      <c r="E1368">
        <v>9.4E-2</v>
      </c>
      <c r="F1368">
        <v>10</v>
      </c>
      <c r="G1368">
        <v>45</v>
      </c>
      <c r="H1368">
        <v>0.99576000000000009</v>
      </c>
      <c r="I1368">
        <v>3.24</v>
      </c>
      <c r="J1368">
        <v>0.5</v>
      </c>
      <c r="K1368">
        <v>9.8000000000000007</v>
      </c>
      <c r="L1368">
        <v>5</v>
      </c>
      <c r="M1368" t="str">
        <f t="shared" si="168"/>
        <v>Medium</v>
      </c>
      <c r="N1368">
        <f>(winequality_red[[#This Row],[Updated Quality &amp; Alcohol Analysis]]+winequality_red[[#This Row],[volatile acidity]]+winequality_red[[#This Row],[citric acid]])</f>
        <v>8.1199999999999992</v>
      </c>
      <c r="O1368">
        <f t="shared" si="169"/>
        <v>3.7755102040816321E-2</v>
      </c>
      <c r="S1368" t="e">
        <f t="shared" si="170"/>
        <v>#N/A</v>
      </c>
      <c r="T1368" t="e">
        <f t="shared" si="171"/>
        <v>#N/A</v>
      </c>
      <c r="U1368">
        <f t="shared" si="172"/>
        <v>9.8000000000000007</v>
      </c>
      <c r="V1368">
        <f t="shared" si="173"/>
        <v>5</v>
      </c>
      <c r="W1368" t="e">
        <f t="shared" si="174"/>
        <v>#N/A</v>
      </c>
      <c r="X1368" t="e">
        <f t="shared" si="175"/>
        <v>#N/A</v>
      </c>
    </row>
    <row r="1369" spans="1:24" x14ac:dyDescent="0.3">
      <c r="A1369">
        <v>6.9</v>
      </c>
      <c r="B1369">
        <v>0.54</v>
      </c>
      <c r="C1369">
        <v>0.3</v>
      </c>
      <c r="D1369">
        <v>2.2000000000000002</v>
      </c>
      <c r="E1369">
        <v>8.8000000000000009E-2</v>
      </c>
      <c r="F1369">
        <v>9</v>
      </c>
      <c r="G1369">
        <v>105</v>
      </c>
      <c r="H1369">
        <v>0.99724999999999997</v>
      </c>
      <c r="I1369">
        <v>3.25</v>
      </c>
      <c r="J1369">
        <v>1.18</v>
      </c>
      <c r="K1369">
        <v>10.5</v>
      </c>
      <c r="L1369">
        <v>6</v>
      </c>
      <c r="M1369" t="str">
        <f t="shared" si="168"/>
        <v>Medium</v>
      </c>
      <c r="N1369">
        <f>(winequality_red[[#This Row],[Updated Quality &amp; Alcohol Analysis]]+winequality_red[[#This Row],[volatile acidity]]+winequality_red[[#This Row],[citric acid]])</f>
        <v>7.74</v>
      </c>
      <c r="O1369">
        <f t="shared" si="169"/>
        <v>6.0685714285714287E-2</v>
      </c>
      <c r="S1369" t="e">
        <f t="shared" si="170"/>
        <v>#N/A</v>
      </c>
      <c r="T1369" t="e">
        <f t="shared" si="171"/>
        <v>#N/A</v>
      </c>
      <c r="U1369">
        <f t="shared" si="172"/>
        <v>10.5</v>
      </c>
      <c r="V1369">
        <f t="shared" si="173"/>
        <v>6</v>
      </c>
      <c r="W1369" t="e">
        <f t="shared" si="174"/>
        <v>#N/A</v>
      </c>
      <c r="X1369" t="e">
        <f t="shared" si="175"/>
        <v>#N/A</v>
      </c>
    </row>
    <row r="1370" spans="1:24" x14ac:dyDescent="0.3">
      <c r="A1370">
        <v>8</v>
      </c>
      <c r="B1370">
        <v>0.77</v>
      </c>
      <c r="C1370">
        <v>0.32</v>
      </c>
      <c r="D1370">
        <v>2.1</v>
      </c>
      <c r="E1370">
        <v>7.9000000000000001E-2</v>
      </c>
      <c r="F1370">
        <v>16</v>
      </c>
      <c r="G1370">
        <v>74</v>
      </c>
      <c r="H1370">
        <v>0.99656</v>
      </c>
      <c r="I1370">
        <v>3.27</v>
      </c>
      <c r="J1370">
        <v>0.5</v>
      </c>
      <c r="K1370">
        <v>9.8000000000000007</v>
      </c>
      <c r="L1370">
        <v>6</v>
      </c>
      <c r="M1370" t="str">
        <f t="shared" si="168"/>
        <v>Medium</v>
      </c>
      <c r="N1370">
        <f>(winequality_red[[#This Row],[Updated Quality &amp; Alcohol Analysis]]+winequality_red[[#This Row],[volatile acidity]]+winequality_red[[#This Row],[citric acid]])</f>
        <v>9.09</v>
      </c>
      <c r="O1370">
        <f t="shared" si="169"/>
        <v>3.9285714285714285E-2</v>
      </c>
      <c r="S1370" t="e">
        <f t="shared" si="170"/>
        <v>#N/A</v>
      </c>
      <c r="T1370" t="e">
        <f t="shared" si="171"/>
        <v>#N/A</v>
      </c>
      <c r="U1370">
        <f t="shared" si="172"/>
        <v>9.8000000000000007</v>
      </c>
      <c r="V1370">
        <f t="shared" si="173"/>
        <v>6</v>
      </c>
      <c r="W1370" t="e">
        <f t="shared" si="174"/>
        <v>#N/A</v>
      </c>
      <c r="X1370" t="e">
        <f t="shared" si="175"/>
        <v>#N/A</v>
      </c>
    </row>
    <row r="1371" spans="1:24" x14ac:dyDescent="0.3">
      <c r="A1371">
        <v>6.6</v>
      </c>
      <c r="B1371">
        <v>0.61</v>
      </c>
      <c r="C1371">
        <v>0</v>
      </c>
      <c r="D1371">
        <v>1.6</v>
      </c>
      <c r="E1371">
        <v>6.9000000000000006E-2</v>
      </c>
      <c r="F1371">
        <v>4</v>
      </c>
      <c r="G1371">
        <v>8</v>
      </c>
      <c r="H1371">
        <v>0.99396000000000007</v>
      </c>
      <c r="I1371">
        <v>3.33</v>
      </c>
      <c r="J1371">
        <v>0.37</v>
      </c>
      <c r="K1371">
        <v>10.4</v>
      </c>
      <c r="L1371">
        <v>4</v>
      </c>
      <c r="M1371" t="str">
        <f t="shared" si="168"/>
        <v>Low</v>
      </c>
      <c r="N1371">
        <f>(winequality_red[[#This Row],[Updated Quality &amp; Alcohol Analysis]]+winequality_red[[#This Row],[volatile acidity]]+winequality_red[[#This Row],[citric acid]])</f>
        <v>7.21</v>
      </c>
      <c r="O1371">
        <f t="shared" si="169"/>
        <v>2.1701923076923074E-2</v>
      </c>
      <c r="S1371">
        <f t="shared" si="170"/>
        <v>10.4</v>
      </c>
      <c r="T1371">
        <f t="shared" si="171"/>
        <v>4</v>
      </c>
      <c r="U1371" t="e">
        <f t="shared" si="172"/>
        <v>#N/A</v>
      </c>
      <c r="V1371" t="e">
        <f t="shared" si="173"/>
        <v>#N/A</v>
      </c>
      <c r="W1371" t="e">
        <f t="shared" si="174"/>
        <v>#N/A</v>
      </c>
      <c r="X1371" t="e">
        <f t="shared" si="175"/>
        <v>#N/A</v>
      </c>
    </row>
    <row r="1372" spans="1:24" x14ac:dyDescent="0.3">
      <c r="A1372">
        <v>8.6999999999999993</v>
      </c>
      <c r="B1372">
        <v>0.78</v>
      </c>
      <c r="C1372">
        <v>0.51</v>
      </c>
      <c r="D1372">
        <v>1.7</v>
      </c>
      <c r="E1372">
        <v>0.41499999999999998</v>
      </c>
      <c r="F1372">
        <v>12</v>
      </c>
      <c r="G1372">
        <v>66</v>
      </c>
      <c r="H1372">
        <v>0.99622999999999995</v>
      </c>
      <c r="I1372">
        <v>3</v>
      </c>
      <c r="J1372">
        <v>1.17</v>
      </c>
      <c r="K1372">
        <v>9.1999999999999993</v>
      </c>
      <c r="L1372">
        <v>5</v>
      </c>
      <c r="M1372" t="str">
        <f t="shared" si="168"/>
        <v>Medium</v>
      </c>
      <c r="N1372">
        <f>(winequality_red[[#This Row],[Updated Quality &amp; Alcohol Analysis]]+winequality_red[[#This Row],[volatile acidity]]+winequality_red[[#This Row],[citric acid]])</f>
        <v>9.9899999999999984</v>
      </c>
      <c r="O1372">
        <f t="shared" si="169"/>
        <v>9.9195652173913046E-2</v>
      </c>
      <c r="S1372" t="e">
        <f t="shared" si="170"/>
        <v>#N/A</v>
      </c>
      <c r="T1372" t="e">
        <f t="shared" si="171"/>
        <v>#N/A</v>
      </c>
      <c r="U1372">
        <f t="shared" si="172"/>
        <v>9.1999999999999993</v>
      </c>
      <c r="V1372">
        <f t="shared" si="173"/>
        <v>5</v>
      </c>
      <c r="W1372" t="e">
        <f t="shared" si="174"/>
        <v>#N/A</v>
      </c>
      <c r="X1372" t="e">
        <f t="shared" si="175"/>
        <v>#N/A</v>
      </c>
    </row>
    <row r="1373" spans="1:24" x14ac:dyDescent="0.3">
      <c r="A1373">
        <v>7.5</v>
      </c>
      <c r="B1373">
        <v>0.57999999999999996</v>
      </c>
      <c r="C1373">
        <v>0.56000000000000005</v>
      </c>
      <c r="D1373">
        <v>3.1</v>
      </c>
      <c r="E1373">
        <v>0.153</v>
      </c>
      <c r="F1373">
        <v>5</v>
      </c>
      <c r="G1373">
        <v>14</v>
      </c>
      <c r="H1373">
        <v>0.99476000000000009</v>
      </c>
      <c r="I1373">
        <v>3.21</v>
      </c>
      <c r="J1373">
        <v>1.03</v>
      </c>
      <c r="K1373">
        <v>11.6</v>
      </c>
      <c r="L1373">
        <v>6</v>
      </c>
      <c r="M1373" t="str">
        <f t="shared" si="168"/>
        <v>Medium</v>
      </c>
      <c r="N1373">
        <f>(winequality_red[[#This Row],[Updated Quality &amp; Alcohol Analysis]]+winequality_red[[#This Row],[volatile acidity]]+winequality_red[[#This Row],[citric acid]])</f>
        <v>8.64</v>
      </c>
      <c r="O1373">
        <f t="shared" si="169"/>
        <v>5.1499999999999997E-2</v>
      </c>
      <c r="S1373" t="e">
        <f t="shared" si="170"/>
        <v>#N/A</v>
      </c>
      <c r="T1373" t="e">
        <f t="shared" si="171"/>
        <v>#N/A</v>
      </c>
      <c r="U1373">
        <f t="shared" si="172"/>
        <v>11.6</v>
      </c>
      <c r="V1373">
        <f t="shared" si="173"/>
        <v>6</v>
      </c>
      <c r="W1373" t="e">
        <f t="shared" si="174"/>
        <v>#N/A</v>
      </c>
      <c r="X1373" t="e">
        <f t="shared" si="175"/>
        <v>#N/A</v>
      </c>
    </row>
    <row r="1374" spans="1:24" x14ac:dyDescent="0.3">
      <c r="A1374">
        <v>8.6999999999999993</v>
      </c>
      <c r="B1374">
        <v>0.78</v>
      </c>
      <c r="C1374">
        <v>0.51</v>
      </c>
      <c r="D1374">
        <v>1.7</v>
      </c>
      <c r="E1374">
        <v>0.41499999999999998</v>
      </c>
      <c r="F1374">
        <v>12</v>
      </c>
      <c r="G1374">
        <v>66</v>
      </c>
      <c r="H1374">
        <v>0.99622999999999995</v>
      </c>
      <c r="I1374">
        <v>3</v>
      </c>
      <c r="J1374">
        <v>1.17</v>
      </c>
      <c r="K1374">
        <v>9.1999999999999993</v>
      </c>
      <c r="L1374">
        <v>5</v>
      </c>
      <c r="M1374" t="str">
        <f t="shared" si="168"/>
        <v>Medium</v>
      </c>
      <c r="N1374">
        <f>(winequality_red[[#This Row],[Updated Quality &amp; Alcohol Analysis]]+winequality_red[[#This Row],[volatile acidity]]+winequality_red[[#This Row],[citric acid]])</f>
        <v>9.9899999999999984</v>
      </c>
      <c r="O1374">
        <f t="shared" si="169"/>
        <v>9.9195652173913046E-2</v>
      </c>
      <c r="S1374" t="e">
        <f t="shared" si="170"/>
        <v>#N/A</v>
      </c>
      <c r="T1374" t="e">
        <f t="shared" si="171"/>
        <v>#N/A</v>
      </c>
      <c r="U1374">
        <f t="shared" si="172"/>
        <v>9.1999999999999993</v>
      </c>
      <c r="V1374">
        <f t="shared" si="173"/>
        <v>5</v>
      </c>
      <c r="W1374" t="e">
        <f t="shared" si="174"/>
        <v>#N/A</v>
      </c>
      <c r="X1374" t="e">
        <f t="shared" si="175"/>
        <v>#N/A</v>
      </c>
    </row>
    <row r="1375" spans="1:24" x14ac:dyDescent="0.3">
      <c r="A1375">
        <v>7.7</v>
      </c>
      <c r="B1375">
        <v>0.75</v>
      </c>
      <c r="C1375">
        <v>0.27</v>
      </c>
      <c r="D1375">
        <v>3.8</v>
      </c>
      <c r="E1375">
        <v>0.11</v>
      </c>
      <c r="F1375">
        <v>34</v>
      </c>
      <c r="G1375">
        <v>89</v>
      </c>
      <c r="H1375">
        <v>0.99663999999999997</v>
      </c>
      <c r="I1375">
        <v>3.24</v>
      </c>
      <c r="J1375">
        <v>0.45</v>
      </c>
      <c r="K1375">
        <v>9.3000000000000007</v>
      </c>
      <c r="L1375">
        <v>5</v>
      </c>
      <c r="M1375" t="str">
        <f t="shared" si="168"/>
        <v>Medium</v>
      </c>
      <c r="N1375">
        <f>(winequality_red[[#This Row],[Updated Quality &amp; Alcohol Analysis]]+winequality_red[[#This Row],[volatile acidity]]+winequality_red[[#This Row],[citric acid]])</f>
        <v>8.7199999999999989</v>
      </c>
      <c r="O1375">
        <f t="shared" si="169"/>
        <v>3.6290322580645164E-2</v>
      </c>
      <c r="S1375" t="e">
        <f t="shared" si="170"/>
        <v>#N/A</v>
      </c>
      <c r="T1375" t="e">
        <f t="shared" si="171"/>
        <v>#N/A</v>
      </c>
      <c r="U1375">
        <f t="shared" si="172"/>
        <v>9.3000000000000007</v>
      </c>
      <c r="V1375">
        <f t="shared" si="173"/>
        <v>5</v>
      </c>
      <c r="W1375" t="e">
        <f t="shared" si="174"/>
        <v>#N/A</v>
      </c>
      <c r="X1375" t="e">
        <f t="shared" si="175"/>
        <v>#N/A</v>
      </c>
    </row>
    <row r="1376" spans="1:24" x14ac:dyDescent="0.3">
      <c r="A1376">
        <v>6.8</v>
      </c>
      <c r="B1376">
        <v>0.81499999999999995</v>
      </c>
      <c r="C1376">
        <v>0</v>
      </c>
      <c r="D1376">
        <v>1.2</v>
      </c>
      <c r="E1376">
        <v>0.26700000000000002</v>
      </c>
      <c r="F1376">
        <v>16</v>
      </c>
      <c r="G1376">
        <v>29</v>
      </c>
      <c r="H1376">
        <v>0.99470999999999998</v>
      </c>
      <c r="I1376">
        <v>3.32</v>
      </c>
      <c r="J1376">
        <v>0.51</v>
      </c>
      <c r="K1376">
        <v>9.8000000000000007</v>
      </c>
      <c r="L1376">
        <v>3</v>
      </c>
      <c r="M1376" t="str">
        <f t="shared" si="168"/>
        <v>Low</v>
      </c>
      <c r="N1376">
        <f>(winequality_red[[#This Row],[Updated Quality &amp; Alcohol Analysis]]+winequality_red[[#This Row],[volatile acidity]]+winequality_red[[#This Row],[citric acid]])</f>
        <v>7.6150000000000002</v>
      </c>
      <c r="O1376">
        <f t="shared" si="169"/>
        <v>4.2413265306122445E-2</v>
      </c>
      <c r="S1376">
        <f t="shared" si="170"/>
        <v>9.8000000000000007</v>
      </c>
      <c r="T1376">
        <f t="shared" si="171"/>
        <v>3</v>
      </c>
      <c r="U1376" t="e">
        <f t="shared" si="172"/>
        <v>#N/A</v>
      </c>
      <c r="V1376" t="e">
        <f t="shared" si="173"/>
        <v>#N/A</v>
      </c>
      <c r="W1376" t="e">
        <f t="shared" si="174"/>
        <v>#N/A</v>
      </c>
      <c r="X1376" t="e">
        <f t="shared" si="175"/>
        <v>#N/A</v>
      </c>
    </row>
    <row r="1377" spans="1:24" x14ac:dyDescent="0.3">
      <c r="A1377">
        <v>7.2</v>
      </c>
      <c r="B1377">
        <v>0.56000000000000005</v>
      </c>
      <c r="C1377">
        <v>0.26</v>
      </c>
      <c r="D1377">
        <v>2</v>
      </c>
      <c r="E1377">
        <v>8.3000000000000004E-2</v>
      </c>
      <c r="F1377">
        <v>13</v>
      </c>
      <c r="G1377">
        <v>100</v>
      </c>
      <c r="H1377">
        <v>0.99586000000000008</v>
      </c>
      <c r="I1377">
        <v>3.26</v>
      </c>
      <c r="J1377">
        <v>0.52</v>
      </c>
      <c r="K1377">
        <v>9.9</v>
      </c>
      <c r="L1377">
        <v>5</v>
      </c>
      <c r="M1377" t="str">
        <f t="shared" si="168"/>
        <v>Medium</v>
      </c>
      <c r="N1377">
        <f>(winequality_red[[#This Row],[Updated Quality &amp; Alcohol Analysis]]+winequality_red[[#This Row],[volatile acidity]]+winequality_red[[#This Row],[citric acid]])</f>
        <v>8.02</v>
      </c>
      <c r="O1377">
        <f t="shared" si="169"/>
        <v>2.9414141414141413E-2</v>
      </c>
      <c r="S1377" t="e">
        <f t="shared" si="170"/>
        <v>#N/A</v>
      </c>
      <c r="T1377" t="e">
        <f t="shared" si="171"/>
        <v>#N/A</v>
      </c>
      <c r="U1377">
        <f t="shared" si="172"/>
        <v>9.9</v>
      </c>
      <c r="V1377">
        <f t="shared" si="173"/>
        <v>5</v>
      </c>
      <c r="W1377" t="e">
        <f t="shared" si="174"/>
        <v>#N/A</v>
      </c>
      <c r="X1377" t="e">
        <f t="shared" si="175"/>
        <v>#N/A</v>
      </c>
    </row>
    <row r="1378" spans="1:24" x14ac:dyDescent="0.3">
      <c r="A1378">
        <v>8.1999999999999993</v>
      </c>
      <c r="B1378">
        <v>0.88500000000000001</v>
      </c>
      <c r="C1378">
        <v>0.2</v>
      </c>
      <c r="D1378">
        <v>1.4</v>
      </c>
      <c r="E1378">
        <v>8.5999999999999993E-2</v>
      </c>
      <c r="F1378">
        <v>7</v>
      </c>
      <c r="G1378">
        <v>31</v>
      </c>
      <c r="H1378">
        <v>0.99460000000000004</v>
      </c>
      <c r="I1378">
        <v>3.11</v>
      </c>
      <c r="J1378">
        <v>0.46</v>
      </c>
      <c r="K1378">
        <v>10</v>
      </c>
      <c r="L1378">
        <v>5</v>
      </c>
      <c r="M1378" t="str">
        <f t="shared" si="168"/>
        <v>Medium</v>
      </c>
      <c r="N1378">
        <f>(winequality_red[[#This Row],[Updated Quality &amp; Alcohol Analysis]]+winequality_red[[#This Row],[volatile acidity]]+winequality_red[[#This Row],[citric acid]])</f>
        <v>9.2849999999999984</v>
      </c>
      <c r="O1378">
        <f t="shared" si="169"/>
        <v>4.0710000000000003E-2</v>
      </c>
      <c r="S1378" t="e">
        <f t="shared" si="170"/>
        <v>#N/A</v>
      </c>
      <c r="T1378" t="e">
        <f t="shared" si="171"/>
        <v>#N/A</v>
      </c>
      <c r="U1378">
        <f t="shared" si="172"/>
        <v>10</v>
      </c>
      <c r="V1378">
        <f t="shared" si="173"/>
        <v>5</v>
      </c>
      <c r="W1378" t="e">
        <f t="shared" si="174"/>
        <v>#N/A</v>
      </c>
      <c r="X1378" t="e">
        <f t="shared" si="175"/>
        <v>#N/A</v>
      </c>
    </row>
    <row r="1379" spans="1:24" x14ac:dyDescent="0.3">
      <c r="A1379">
        <v>5.2</v>
      </c>
      <c r="B1379">
        <v>0.49</v>
      </c>
      <c r="C1379">
        <v>0.26</v>
      </c>
      <c r="D1379">
        <v>2.2999999999999998</v>
      </c>
      <c r="E1379">
        <v>0.09</v>
      </c>
      <c r="F1379">
        <v>23</v>
      </c>
      <c r="G1379">
        <v>74</v>
      </c>
      <c r="H1379">
        <v>0.99529999999999996</v>
      </c>
      <c r="I1379">
        <v>3.71</v>
      </c>
      <c r="J1379">
        <v>0.62</v>
      </c>
      <c r="K1379">
        <v>12.2</v>
      </c>
      <c r="L1379">
        <v>6</v>
      </c>
      <c r="M1379" t="str">
        <f t="shared" si="168"/>
        <v>Medium</v>
      </c>
      <c r="N1379">
        <f>(winequality_red[[#This Row],[Updated Quality &amp; Alcohol Analysis]]+winequality_red[[#This Row],[volatile acidity]]+winequality_red[[#This Row],[citric acid]])</f>
        <v>5.95</v>
      </c>
      <c r="O1379">
        <f t="shared" si="169"/>
        <v>2.4901639344262299E-2</v>
      </c>
      <c r="S1379" t="e">
        <f t="shared" si="170"/>
        <v>#N/A</v>
      </c>
      <c r="T1379" t="e">
        <f t="shared" si="171"/>
        <v>#N/A</v>
      </c>
      <c r="U1379">
        <f t="shared" si="172"/>
        <v>12.2</v>
      </c>
      <c r="V1379">
        <f t="shared" si="173"/>
        <v>6</v>
      </c>
      <c r="W1379" t="e">
        <f t="shared" si="174"/>
        <v>#N/A</v>
      </c>
      <c r="X1379" t="e">
        <f t="shared" si="175"/>
        <v>#N/A</v>
      </c>
    </row>
    <row r="1380" spans="1:24" x14ac:dyDescent="0.3">
      <c r="A1380">
        <v>7.2</v>
      </c>
      <c r="B1380">
        <v>0.45</v>
      </c>
      <c r="C1380">
        <v>0.15</v>
      </c>
      <c r="D1380">
        <v>2</v>
      </c>
      <c r="E1380">
        <v>7.8E-2</v>
      </c>
      <c r="F1380">
        <v>10</v>
      </c>
      <c r="G1380">
        <v>28</v>
      </c>
      <c r="H1380">
        <v>0.99608999999999992</v>
      </c>
      <c r="I1380">
        <v>3.29</v>
      </c>
      <c r="J1380">
        <v>0.51</v>
      </c>
      <c r="K1380">
        <v>9.9</v>
      </c>
      <c r="L1380">
        <v>6</v>
      </c>
      <c r="M1380" t="str">
        <f t="shared" si="168"/>
        <v>Medium</v>
      </c>
      <c r="N1380">
        <f>(winequality_red[[#This Row],[Updated Quality &amp; Alcohol Analysis]]+winequality_red[[#This Row],[volatile acidity]]+winequality_red[[#This Row],[citric acid]])</f>
        <v>7.8000000000000007</v>
      </c>
      <c r="O1380">
        <f t="shared" si="169"/>
        <v>2.3181818181818182E-2</v>
      </c>
      <c r="S1380" t="e">
        <f t="shared" si="170"/>
        <v>#N/A</v>
      </c>
      <c r="T1380" t="e">
        <f t="shared" si="171"/>
        <v>#N/A</v>
      </c>
      <c r="U1380">
        <f t="shared" si="172"/>
        <v>9.9</v>
      </c>
      <c r="V1380">
        <f t="shared" si="173"/>
        <v>6</v>
      </c>
      <c r="W1380" t="e">
        <f t="shared" si="174"/>
        <v>#N/A</v>
      </c>
      <c r="X1380" t="e">
        <f t="shared" si="175"/>
        <v>#N/A</v>
      </c>
    </row>
    <row r="1381" spans="1:24" x14ac:dyDescent="0.3">
      <c r="A1381">
        <v>7.5</v>
      </c>
      <c r="B1381">
        <v>0.56999999999999995</v>
      </c>
      <c r="C1381">
        <v>0.02</v>
      </c>
      <c r="D1381">
        <v>2.6</v>
      </c>
      <c r="E1381">
        <v>7.6999999999999999E-2</v>
      </c>
      <c r="F1381">
        <v>11</v>
      </c>
      <c r="G1381">
        <v>35</v>
      </c>
      <c r="H1381">
        <v>0.99557000000000007</v>
      </c>
      <c r="I1381">
        <v>3.36</v>
      </c>
      <c r="J1381">
        <v>0.62</v>
      </c>
      <c r="K1381">
        <v>10.8</v>
      </c>
      <c r="L1381">
        <v>6</v>
      </c>
      <c r="M1381" t="str">
        <f t="shared" si="168"/>
        <v>Medium</v>
      </c>
      <c r="N1381">
        <f>(winequality_red[[#This Row],[Updated Quality &amp; Alcohol Analysis]]+winequality_red[[#This Row],[volatile acidity]]+winequality_red[[#This Row],[citric acid]])</f>
        <v>8.09</v>
      </c>
      <c r="O1381">
        <f t="shared" si="169"/>
        <v>3.2722222222222222E-2</v>
      </c>
      <c r="S1381" t="e">
        <f t="shared" si="170"/>
        <v>#N/A</v>
      </c>
      <c r="T1381" t="e">
        <f t="shared" si="171"/>
        <v>#N/A</v>
      </c>
      <c r="U1381">
        <f t="shared" si="172"/>
        <v>10.8</v>
      </c>
      <c r="V1381">
        <f t="shared" si="173"/>
        <v>6</v>
      </c>
      <c r="W1381" t="e">
        <f t="shared" si="174"/>
        <v>#N/A</v>
      </c>
      <c r="X1381" t="e">
        <f t="shared" si="175"/>
        <v>#N/A</v>
      </c>
    </row>
    <row r="1382" spans="1:24" x14ac:dyDescent="0.3">
      <c r="A1382">
        <v>7.5</v>
      </c>
      <c r="B1382">
        <v>0.56999999999999995</v>
      </c>
      <c r="C1382">
        <v>0.02</v>
      </c>
      <c r="D1382">
        <v>2.6</v>
      </c>
      <c r="E1382">
        <v>7.6999999999999999E-2</v>
      </c>
      <c r="F1382">
        <v>11</v>
      </c>
      <c r="G1382">
        <v>35</v>
      </c>
      <c r="H1382">
        <v>0.99557000000000007</v>
      </c>
      <c r="I1382">
        <v>3.36</v>
      </c>
      <c r="J1382">
        <v>0.62</v>
      </c>
      <c r="K1382">
        <v>10.8</v>
      </c>
      <c r="L1382">
        <v>6</v>
      </c>
      <c r="M1382" t="str">
        <f t="shared" si="168"/>
        <v>Medium</v>
      </c>
      <c r="N1382">
        <f>(winequality_red[[#This Row],[Updated Quality &amp; Alcohol Analysis]]+winequality_red[[#This Row],[volatile acidity]]+winequality_red[[#This Row],[citric acid]])</f>
        <v>8.09</v>
      </c>
      <c r="O1382">
        <f t="shared" si="169"/>
        <v>3.2722222222222222E-2</v>
      </c>
      <c r="S1382" t="e">
        <f t="shared" si="170"/>
        <v>#N/A</v>
      </c>
      <c r="T1382" t="e">
        <f t="shared" si="171"/>
        <v>#N/A</v>
      </c>
      <c r="U1382">
        <f t="shared" si="172"/>
        <v>10.8</v>
      </c>
      <c r="V1382">
        <f t="shared" si="173"/>
        <v>6</v>
      </c>
      <c r="W1382" t="e">
        <f t="shared" si="174"/>
        <v>#N/A</v>
      </c>
      <c r="X1382" t="e">
        <f t="shared" si="175"/>
        <v>#N/A</v>
      </c>
    </row>
    <row r="1383" spans="1:24" x14ac:dyDescent="0.3">
      <c r="A1383">
        <v>6.8</v>
      </c>
      <c r="B1383">
        <v>0.83</v>
      </c>
      <c r="C1383">
        <v>0.09</v>
      </c>
      <c r="D1383">
        <v>1.8</v>
      </c>
      <c r="E1383">
        <v>7.400000000000001E-2</v>
      </c>
      <c r="F1383">
        <v>4</v>
      </c>
      <c r="G1383">
        <v>25</v>
      </c>
      <c r="H1383">
        <v>0.99534</v>
      </c>
      <c r="I1383">
        <v>3.38</v>
      </c>
      <c r="J1383">
        <v>0.45</v>
      </c>
      <c r="K1383">
        <v>9.6</v>
      </c>
      <c r="L1383">
        <v>5</v>
      </c>
      <c r="M1383" t="str">
        <f t="shared" si="168"/>
        <v>Medium</v>
      </c>
      <c r="N1383">
        <f>(winequality_red[[#This Row],[Updated Quality &amp; Alcohol Analysis]]+winequality_red[[#This Row],[volatile acidity]]+winequality_red[[#This Row],[citric acid]])</f>
        <v>7.72</v>
      </c>
      <c r="O1383">
        <f t="shared" si="169"/>
        <v>3.8906250000000003E-2</v>
      </c>
      <c r="S1383" t="e">
        <f t="shared" si="170"/>
        <v>#N/A</v>
      </c>
      <c r="T1383" t="e">
        <f t="shared" si="171"/>
        <v>#N/A</v>
      </c>
      <c r="U1383">
        <f t="shared" si="172"/>
        <v>9.6</v>
      </c>
      <c r="V1383">
        <f t="shared" si="173"/>
        <v>5</v>
      </c>
      <c r="W1383" t="e">
        <f t="shared" si="174"/>
        <v>#N/A</v>
      </c>
      <c r="X1383" t="e">
        <f t="shared" si="175"/>
        <v>#N/A</v>
      </c>
    </row>
    <row r="1384" spans="1:24" x14ac:dyDescent="0.3">
      <c r="A1384">
        <v>8</v>
      </c>
      <c r="B1384">
        <v>0.6</v>
      </c>
      <c r="C1384">
        <v>0.22</v>
      </c>
      <c r="D1384">
        <v>2.1</v>
      </c>
      <c r="E1384">
        <v>0.08</v>
      </c>
      <c r="F1384">
        <v>25</v>
      </c>
      <c r="G1384">
        <v>105</v>
      </c>
      <c r="H1384">
        <v>0.99612999999999996</v>
      </c>
      <c r="I1384">
        <v>3.3</v>
      </c>
      <c r="J1384">
        <v>0.49</v>
      </c>
      <c r="K1384">
        <v>9.9</v>
      </c>
      <c r="L1384">
        <v>5</v>
      </c>
      <c r="M1384" t="str">
        <f t="shared" si="168"/>
        <v>Medium</v>
      </c>
      <c r="N1384">
        <f>(winequality_red[[#This Row],[Updated Quality &amp; Alcohol Analysis]]+winequality_red[[#This Row],[volatile acidity]]+winequality_red[[#This Row],[citric acid]])</f>
        <v>8.82</v>
      </c>
      <c r="O1384">
        <f t="shared" si="169"/>
        <v>2.9696969696969694E-2</v>
      </c>
      <c r="S1384" t="e">
        <f t="shared" si="170"/>
        <v>#N/A</v>
      </c>
      <c r="T1384" t="e">
        <f t="shared" si="171"/>
        <v>#N/A</v>
      </c>
      <c r="U1384">
        <f t="shared" si="172"/>
        <v>9.9</v>
      </c>
      <c r="V1384">
        <f t="shared" si="173"/>
        <v>5</v>
      </c>
      <c r="W1384" t="e">
        <f t="shared" si="174"/>
        <v>#N/A</v>
      </c>
      <c r="X1384" t="e">
        <f t="shared" si="175"/>
        <v>#N/A</v>
      </c>
    </row>
    <row r="1385" spans="1:24" x14ac:dyDescent="0.3">
      <c r="A1385">
        <v>8</v>
      </c>
      <c r="B1385">
        <v>0.6</v>
      </c>
      <c r="C1385">
        <v>0.22</v>
      </c>
      <c r="D1385">
        <v>2.1</v>
      </c>
      <c r="E1385">
        <v>0.08</v>
      </c>
      <c r="F1385">
        <v>25</v>
      </c>
      <c r="G1385">
        <v>105</v>
      </c>
      <c r="H1385">
        <v>0.99612999999999996</v>
      </c>
      <c r="I1385">
        <v>3.3</v>
      </c>
      <c r="J1385">
        <v>0.49</v>
      </c>
      <c r="K1385">
        <v>9.9</v>
      </c>
      <c r="L1385">
        <v>5</v>
      </c>
      <c r="M1385" t="str">
        <f t="shared" si="168"/>
        <v>Medium</v>
      </c>
      <c r="N1385">
        <f>(winequality_red[[#This Row],[Updated Quality &amp; Alcohol Analysis]]+winequality_red[[#This Row],[volatile acidity]]+winequality_red[[#This Row],[citric acid]])</f>
        <v>8.82</v>
      </c>
      <c r="O1385">
        <f t="shared" si="169"/>
        <v>2.9696969696969694E-2</v>
      </c>
      <c r="S1385" t="e">
        <f t="shared" si="170"/>
        <v>#N/A</v>
      </c>
      <c r="T1385" t="e">
        <f t="shared" si="171"/>
        <v>#N/A</v>
      </c>
      <c r="U1385">
        <f t="shared" si="172"/>
        <v>9.9</v>
      </c>
      <c r="V1385">
        <f t="shared" si="173"/>
        <v>5</v>
      </c>
      <c r="W1385" t="e">
        <f t="shared" si="174"/>
        <v>#N/A</v>
      </c>
      <c r="X1385" t="e">
        <f t="shared" si="175"/>
        <v>#N/A</v>
      </c>
    </row>
    <row r="1386" spans="1:24" x14ac:dyDescent="0.3">
      <c r="A1386">
        <v>7.1</v>
      </c>
      <c r="B1386">
        <v>0.755</v>
      </c>
      <c r="C1386">
        <v>0.15</v>
      </c>
      <c r="D1386">
        <v>1.8</v>
      </c>
      <c r="E1386">
        <v>0.107</v>
      </c>
      <c r="F1386">
        <v>20</v>
      </c>
      <c r="G1386">
        <v>84</v>
      </c>
      <c r="H1386">
        <v>0.99592999999999998</v>
      </c>
      <c r="I1386">
        <v>3.19</v>
      </c>
      <c r="J1386">
        <v>0.5</v>
      </c>
      <c r="K1386">
        <v>9.5</v>
      </c>
      <c r="L1386">
        <v>5</v>
      </c>
      <c r="M1386" t="str">
        <f t="shared" si="168"/>
        <v>Medium</v>
      </c>
      <c r="N1386">
        <f>(winequality_red[[#This Row],[Updated Quality &amp; Alcohol Analysis]]+winequality_red[[#This Row],[volatile acidity]]+winequality_red[[#This Row],[citric acid]])</f>
        <v>8.004999999999999</v>
      </c>
      <c r="O1386">
        <f t="shared" si="169"/>
        <v>3.9736842105263161E-2</v>
      </c>
      <c r="S1386" t="e">
        <f t="shared" si="170"/>
        <v>#N/A</v>
      </c>
      <c r="T1386" t="e">
        <f t="shared" si="171"/>
        <v>#N/A</v>
      </c>
      <c r="U1386">
        <f t="shared" si="172"/>
        <v>9.5</v>
      </c>
      <c r="V1386">
        <f t="shared" si="173"/>
        <v>5</v>
      </c>
      <c r="W1386" t="e">
        <f t="shared" si="174"/>
        <v>#N/A</v>
      </c>
      <c r="X1386" t="e">
        <f t="shared" si="175"/>
        <v>#N/A</v>
      </c>
    </row>
    <row r="1387" spans="1:24" x14ac:dyDescent="0.3">
      <c r="A1387">
        <v>8</v>
      </c>
      <c r="B1387">
        <v>0.81</v>
      </c>
      <c r="C1387">
        <v>0.25</v>
      </c>
      <c r="D1387">
        <v>3.4</v>
      </c>
      <c r="E1387">
        <v>7.5999999999999998E-2</v>
      </c>
      <c r="F1387">
        <v>34</v>
      </c>
      <c r="G1387">
        <v>85</v>
      </c>
      <c r="H1387">
        <v>0.9966799999999999</v>
      </c>
      <c r="I1387">
        <v>3.19</v>
      </c>
      <c r="J1387">
        <v>0.42</v>
      </c>
      <c r="K1387">
        <v>9.1999999999999993</v>
      </c>
      <c r="L1387">
        <v>5</v>
      </c>
      <c r="M1387" t="str">
        <f t="shared" si="168"/>
        <v>Medium</v>
      </c>
      <c r="N1387">
        <f>(winequality_red[[#This Row],[Updated Quality &amp; Alcohol Analysis]]+winequality_red[[#This Row],[volatile acidity]]+winequality_red[[#This Row],[citric acid]])</f>
        <v>9.06</v>
      </c>
      <c r="O1387">
        <f t="shared" si="169"/>
        <v>3.6978260869565217E-2</v>
      </c>
      <c r="S1387" t="e">
        <f t="shared" si="170"/>
        <v>#N/A</v>
      </c>
      <c r="T1387" t="e">
        <f t="shared" si="171"/>
        <v>#N/A</v>
      </c>
      <c r="U1387">
        <f t="shared" si="172"/>
        <v>9.1999999999999993</v>
      </c>
      <c r="V1387">
        <f t="shared" si="173"/>
        <v>5</v>
      </c>
      <c r="W1387" t="e">
        <f t="shared" si="174"/>
        <v>#N/A</v>
      </c>
      <c r="X1387" t="e">
        <f t="shared" si="175"/>
        <v>#N/A</v>
      </c>
    </row>
    <row r="1388" spans="1:24" x14ac:dyDescent="0.3">
      <c r="A1388">
        <v>7.4</v>
      </c>
      <c r="B1388">
        <v>0.64</v>
      </c>
      <c r="C1388">
        <v>7.0000000000000007E-2</v>
      </c>
      <c r="D1388">
        <v>1.8</v>
      </c>
      <c r="E1388">
        <v>0.1</v>
      </c>
      <c r="F1388">
        <v>8</v>
      </c>
      <c r="G1388">
        <v>23</v>
      </c>
      <c r="H1388">
        <v>0.99609999999999999</v>
      </c>
      <c r="I1388">
        <v>3.3</v>
      </c>
      <c r="J1388">
        <v>0.57999999999999996</v>
      </c>
      <c r="K1388">
        <v>9.6</v>
      </c>
      <c r="L1388">
        <v>5</v>
      </c>
      <c r="M1388" t="str">
        <f t="shared" si="168"/>
        <v>Medium</v>
      </c>
      <c r="N1388">
        <f>(winequality_red[[#This Row],[Updated Quality &amp; Alcohol Analysis]]+winequality_red[[#This Row],[volatile acidity]]+winequality_red[[#This Row],[citric acid]])</f>
        <v>8.1100000000000012</v>
      </c>
      <c r="O1388">
        <f t="shared" si="169"/>
        <v>3.8666666666666669E-2</v>
      </c>
      <c r="S1388" t="e">
        <f t="shared" si="170"/>
        <v>#N/A</v>
      </c>
      <c r="T1388" t="e">
        <f t="shared" si="171"/>
        <v>#N/A</v>
      </c>
      <c r="U1388">
        <f t="shared" si="172"/>
        <v>9.6</v>
      </c>
      <c r="V1388">
        <f t="shared" si="173"/>
        <v>5</v>
      </c>
      <c r="W1388" t="e">
        <f t="shared" si="174"/>
        <v>#N/A</v>
      </c>
      <c r="X1388" t="e">
        <f t="shared" si="175"/>
        <v>#N/A</v>
      </c>
    </row>
    <row r="1389" spans="1:24" x14ac:dyDescent="0.3">
      <c r="A1389">
        <v>7.4</v>
      </c>
      <c r="B1389">
        <v>0.64</v>
      </c>
      <c r="C1389">
        <v>7.0000000000000007E-2</v>
      </c>
      <c r="D1389">
        <v>1.8</v>
      </c>
      <c r="E1389">
        <v>0.1</v>
      </c>
      <c r="F1389">
        <v>8</v>
      </c>
      <c r="G1389">
        <v>23</v>
      </c>
      <c r="H1389">
        <v>0.99609999999999999</v>
      </c>
      <c r="I1389">
        <v>3.3</v>
      </c>
      <c r="J1389">
        <v>0.57999999999999996</v>
      </c>
      <c r="K1389">
        <v>9.6</v>
      </c>
      <c r="L1389">
        <v>5</v>
      </c>
      <c r="M1389" t="str">
        <f t="shared" si="168"/>
        <v>Medium</v>
      </c>
      <c r="N1389">
        <f>(winequality_red[[#This Row],[Updated Quality &amp; Alcohol Analysis]]+winequality_red[[#This Row],[volatile acidity]]+winequality_red[[#This Row],[citric acid]])</f>
        <v>8.1100000000000012</v>
      </c>
      <c r="O1389">
        <f t="shared" si="169"/>
        <v>3.8666666666666669E-2</v>
      </c>
      <c r="S1389" t="e">
        <f t="shared" si="170"/>
        <v>#N/A</v>
      </c>
      <c r="T1389" t="e">
        <f t="shared" si="171"/>
        <v>#N/A</v>
      </c>
      <c r="U1389">
        <f t="shared" si="172"/>
        <v>9.6</v>
      </c>
      <c r="V1389">
        <f t="shared" si="173"/>
        <v>5</v>
      </c>
      <c r="W1389" t="e">
        <f t="shared" si="174"/>
        <v>#N/A</v>
      </c>
      <c r="X1389" t="e">
        <f t="shared" si="175"/>
        <v>#N/A</v>
      </c>
    </row>
    <row r="1390" spans="1:24" x14ac:dyDescent="0.3">
      <c r="A1390">
        <v>6.6</v>
      </c>
      <c r="B1390">
        <v>0.64</v>
      </c>
      <c r="C1390">
        <v>0.31</v>
      </c>
      <c r="D1390">
        <v>6.1</v>
      </c>
      <c r="E1390">
        <v>8.3000000000000004E-2</v>
      </c>
      <c r="F1390">
        <v>7</v>
      </c>
      <c r="G1390">
        <v>49</v>
      </c>
      <c r="H1390">
        <v>0.99717999999999996</v>
      </c>
      <c r="I1390">
        <v>3.35</v>
      </c>
      <c r="J1390">
        <v>0.68</v>
      </c>
      <c r="K1390">
        <v>10.3</v>
      </c>
      <c r="L1390">
        <v>5</v>
      </c>
      <c r="M1390" t="str">
        <f t="shared" si="168"/>
        <v>Medium</v>
      </c>
      <c r="N1390">
        <f>(winequality_red[[#This Row],[Updated Quality &amp; Alcohol Analysis]]+winequality_red[[#This Row],[volatile acidity]]+winequality_red[[#This Row],[citric acid]])</f>
        <v>7.5499999999999989</v>
      </c>
      <c r="O1390">
        <f t="shared" si="169"/>
        <v>4.2252427184466021E-2</v>
      </c>
      <c r="S1390" t="e">
        <f t="shared" si="170"/>
        <v>#N/A</v>
      </c>
      <c r="T1390" t="e">
        <f t="shared" si="171"/>
        <v>#N/A</v>
      </c>
      <c r="U1390">
        <f t="shared" si="172"/>
        <v>10.3</v>
      </c>
      <c r="V1390">
        <f t="shared" si="173"/>
        <v>5</v>
      </c>
      <c r="W1390" t="e">
        <f t="shared" si="174"/>
        <v>#N/A</v>
      </c>
      <c r="X1390" t="e">
        <f t="shared" si="175"/>
        <v>#N/A</v>
      </c>
    </row>
    <row r="1391" spans="1:24" x14ac:dyDescent="0.3">
      <c r="A1391">
        <v>6.7</v>
      </c>
      <c r="B1391">
        <v>0.48</v>
      </c>
      <c r="C1391">
        <v>0.02</v>
      </c>
      <c r="D1391">
        <v>2.2000000000000002</v>
      </c>
      <c r="E1391">
        <v>0.08</v>
      </c>
      <c r="F1391">
        <v>36</v>
      </c>
      <c r="G1391">
        <v>111</v>
      </c>
      <c r="H1391">
        <v>0.99524000000000001</v>
      </c>
      <c r="I1391">
        <v>3.1</v>
      </c>
      <c r="J1391">
        <v>0.53</v>
      </c>
      <c r="K1391">
        <v>9.6999999999999993</v>
      </c>
      <c r="L1391">
        <v>5</v>
      </c>
      <c r="M1391" t="str">
        <f t="shared" si="168"/>
        <v>Medium</v>
      </c>
      <c r="N1391">
        <f>(winequality_red[[#This Row],[Updated Quality &amp; Alcohol Analysis]]+winequality_red[[#This Row],[volatile acidity]]+winequality_red[[#This Row],[citric acid]])</f>
        <v>7.1999999999999993</v>
      </c>
      <c r="O1391">
        <f t="shared" si="169"/>
        <v>2.6226804123711343E-2</v>
      </c>
      <c r="S1391" t="e">
        <f t="shared" si="170"/>
        <v>#N/A</v>
      </c>
      <c r="T1391" t="e">
        <f t="shared" si="171"/>
        <v>#N/A</v>
      </c>
      <c r="U1391">
        <f t="shared" si="172"/>
        <v>9.6999999999999993</v>
      </c>
      <c r="V1391">
        <f t="shared" si="173"/>
        <v>5</v>
      </c>
      <c r="W1391" t="e">
        <f t="shared" si="174"/>
        <v>#N/A</v>
      </c>
      <c r="X1391" t="e">
        <f t="shared" si="175"/>
        <v>#N/A</v>
      </c>
    </row>
    <row r="1392" spans="1:24" x14ac:dyDescent="0.3">
      <c r="A1392">
        <v>6</v>
      </c>
      <c r="B1392">
        <v>0.49</v>
      </c>
      <c r="C1392">
        <v>0</v>
      </c>
      <c r="D1392">
        <v>2.2999999999999998</v>
      </c>
      <c r="E1392">
        <v>6.8000000000000005E-2</v>
      </c>
      <c r="F1392">
        <v>15</v>
      </c>
      <c r="G1392">
        <v>33</v>
      </c>
      <c r="H1392">
        <v>0.99292000000000002</v>
      </c>
      <c r="I1392">
        <v>3.58</v>
      </c>
      <c r="J1392">
        <v>0.59</v>
      </c>
      <c r="K1392">
        <v>12.5</v>
      </c>
      <c r="L1392">
        <v>6</v>
      </c>
      <c r="M1392" t="str">
        <f t="shared" si="168"/>
        <v>Medium</v>
      </c>
      <c r="N1392">
        <f>(winequality_red[[#This Row],[Updated Quality &amp; Alcohol Analysis]]+winequality_red[[#This Row],[volatile acidity]]+winequality_red[[#This Row],[citric acid]])</f>
        <v>6.49</v>
      </c>
      <c r="O1392">
        <f t="shared" si="169"/>
        <v>2.3127999999999996E-2</v>
      </c>
      <c r="S1392" t="e">
        <f t="shared" si="170"/>
        <v>#N/A</v>
      </c>
      <c r="T1392" t="e">
        <f t="shared" si="171"/>
        <v>#N/A</v>
      </c>
      <c r="U1392">
        <f t="shared" si="172"/>
        <v>12.5</v>
      </c>
      <c r="V1392">
        <f t="shared" si="173"/>
        <v>6</v>
      </c>
      <c r="W1392" t="e">
        <f t="shared" si="174"/>
        <v>#N/A</v>
      </c>
      <c r="X1392" t="e">
        <f t="shared" si="175"/>
        <v>#N/A</v>
      </c>
    </row>
    <row r="1393" spans="1:24" x14ac:dyDescent="0.3">
      <c r="A1393">
        <v>8</v>
      </c>
      <c r="B1393">
        <v>0.64</v>
      </c>
      <c r="C1393">
        <v>0.22</v>
      </c>
      <c r="D1393">
        <v>2.4</v>
      </c>
      <c r="E1393">
        <v>9.4E-2</v>
      </c>
      <c r="F1393">
        <v>5</v>
      </c>
      <c r="G1393">
        <v>33</v>
      </c>
      <c r="H1393">
        <v>0.99612000000000012</v>
      </c>
      <c r="I1393">
        <v>3.37</v>
      </c>
      <c r="J1393">
        <v>0.57999999999999996</v>
      </c>
      <c r="K1393">
        <v>11</v>
      </c>
      <c r="L1393">
        <v>5</v>
      </c>
      <c r="M1393" t="str">
        <f t="shared" si="168"/>
        <v>Medium</v>
      </c>
      <c r="N1393">
        <f>(winequality_red[[#This Row],[Updated Quality &amp; Alcohol Analysis]]+winequality_red[[#This Row],[volatile acidity]]+winequality_red[[#This Row],[citric acid]])</f>
        <v>8.8600000000000012</v>
      </c>
      <c r="O1393">
        <f t="shared" si="169"/>
        <v>3.3745454545454544E-2</v>
      </c>
      <c r="S1393" t="e">
        <f t="shared" si="170"/>
        <v>#N/A</v>
      </c>
      <c r="T1393" t="e">
        <f t="shared" si="171"/>
        <v>#N/A</v>
      </c>
      <c r="U1393">
        <f t="shared" si="172"/>
        <v>11</v>
      </c>
      <c r="V1393">
        <f t="shared" si="173"/>
        <v>5</v>
      </c>
      <c r="W1393" t="e">
        <f t="shared" si="174"/>
        <v>#N/A</v>
      </c>
      <c r="X1393" t="e">
        <f t="shared" si="175"/>
        <v>#N/A</v>
      </c>
    </row>
    <row r="1394" spans="1:24" x14ac:dyDescent="0.3">
      <c r="A1394">
        <v>7.1</v>
      </c>
      <c r="B1394">
        <v>0.62</v>
      </c>
      <c r="C1394">
        <v>0.06</v>
      </c>
      <c r="D1394">
        <v>1.3</v>
      </c>
      <c r="E1394">
        <v>7.0000000000000007E-2</v>
      </c>
      <c r="F1394">
        <v>5</v>
      </c>
      <c r="G1394">
        <v>12</v>
      </c>
      <c r="H1394">
        <v>0.99419999999999997</v>
      </c>
      <c r="I1394">
        <v>3.17</v>
      </c>
      <c r="J1394">
        <v>0.48</v>
      </c>
      <c r="K1394">
        <v>9.8000000000000007</v>
      </c>
      <c r="L1394">
        <v>5</v>
      </c>
      <c r="M1394" t="str">
        <f t="shared" si="168"/>
        <v>Medium</v>
      </c>
      <c r="N1394">
        <f>(winequality_red[[#This Row],[Updated Quality &amp; Alcohol Analysis]]+winequality_red[[#This Row],[volatile acidity]]+winequality_red[[#This Row],[citric acid]])</f>
        <v>7.7799999999999994</v>
      </c>
      <c r="O1394">
        <f t="shared" si="169"/>
        <v>3.0367346938775505E-2</v>
      </c>
      <c r="S1394" t="e">
        <f t="shared" si="170"/>
        <v>#N/A</v>
      </c>
      <c r="T1394" t="e">
        <f t="shared" si="171"/>
        <v>#N/A</v>
      </c>
      <c r="U1394">
        <f t="shared" si="172"/>
        <v>9.8000000000000007</v>
      </c>
      <c r="V1394">
        <f t="shared" si="173"/>
        <v>5</v>
      </c>
      <c r="W1394" t="e">
        <f t="shared" si="174"/>
        <v>#N/A</v>
      </c>
      <c r="X1394" t="e">
        <f t="shared" si="175"/>
        <v>#N/A</v>
      </c>
    </row>
    <row r="1395" spans="1:24" x14ac:dyDescent="0.3">
      <c r="A1395">
        <v>8</v>
      </c>
      <c r="B1395">
        <v>0.52</v>
      </c>
      <c r="C1395">
        <v>0.25</v>
      </c>
      <c r="D1395">
        <v>2</v>
      </c>
      <c r="E1395">
        <v>7.8E-2</v>
      </c>
      <c r="F1395">
        <v>19</v>
      </c>
      <c r="G1395">
        <v>59</v>
      </c>
      <c r="H1395">
        <v>0.99612000000000012</v>
      </c>
      <c r="I1395">
        <v>3.3</v>
      </c>
      <c r="J1395">
        <v>0.48</v>
      </c>
      <c r="K1395">
        <v>10.199999999999999</v>
      </c>
      <c r="L1395">
        <v>5</v>
      </c>
      <c r="M1395" t="str">
        <f t="shared" si="168"/>
        <v>Medium</v>
      </c>
      <c r="N1395">
        <f>(winequality_red[[#This Row],[Updated Quality &amp; Alcohol Analysis]]+winequality_red[[#This Row],[volatile acidity]]+winequality_red[[#This Row],[citric acid]])</f>
        <v>8.77</v>
      </c>
      <c r="O1395">
        <f t="shared" si="169"/>
        <v>2.4470588235294119E-2</v>
      </c>
      <c r="S1395" t="e">
        <f t="shared" si="170"/>
        <v>#N/A</v>
      </c>
      <c r="T1395" t="e">
        <f t="shared" si="171"/>
        <v>#N/A</v>
      </c>
      <c r="U1395">
        <f t="shared" si="172"/>
        <v>10.199999999999999</v>
      </c>
      <c r="V1395">
        <f t="shared" si="173"/>
        <v>5</v>
      </c>
      <c r="W1395" t="e">
        <f t="shared" si="174"/>
        <v>#N/A</v>
      </c>
      <c r="X1395" t="e">
        <f t="shared" si="175"/>
        <v>#N/A</v>
      </c>
    </row>
    <row r="1396" spans="1:24" x14ac:dyDescent="0.3">
      <c r="A1396">
        <v>6.4</v>
      </c>
      <c r="B1396">
        <v>0.56999999999999995</v>
      </c>
      <c r="C1396">
        <v>0.14000000000000001</v>
      </c>
      <c r="D1396">
        <v>3.9</v>
      </c>
      <c r="E1396">
        <v>7.0000000000000007E-2</v>
      </c>
      <c r="F1396">
        <v>27</v>
      </c>
      <c r="G1396">
        <v>73</v>
      </c>
      <c r="H1396">
        <v>0.99668999999999996</v>
      </c>
      <c r="I1396">
        <v>3.32</v>
      </c>
      <c r="J1396">
        <v>0.48</v>
      </c>
      <c r="K1396">
        <v>9.1999999999999993</v>
      </c>
      <c r="L1396">
        <v>5</v>
      </c>
      <c r="M1396" t="str">
        <f t="shared" si="168"/>
        <v>Medium</v>
      </c>
      <c r="N1396">
        <f>(winequality_red[[#This Row],[Updated Quality &amp; Alcohol Analysis]]+winequality_red[[#This Row],[volatile acidity]]+winequality_red[[#This Row],[citric acid]])</f>
        <v>7.11</v>
      </c>
      <c r="O1396">
        <f t="shared" si="169"/>
        <v>2.9739130434782605E-2</v>
      </c>
      <c r="S1396" t="e">
        <f t="shared" si="170"/>
        <v>#N/A</v>
      </c>
      <c r="T1396" t="e">
        <f t="shared" si="171"/>
        <v>#N/A</v>
      </c>
      <c r="U1396">
        <f t="shared" si="172"/>
        <v>9.1999999999999993</v>
      </c>
      <c r="V1396">
        <f t="shared" si="173"/>
        <v>5</v>
      </c>
      <c r="W1396" t="e">
        <f t="shared" si="174"/>
        <v>#N/A</v>
      </c>
      <c r="X1396" t="e">
        <f t="shared" si="175"/>
        <v>#N/A</v>
      </c>
    </row>
    <row r="1397" spans="1:24" x14ac:dyDescent="0.3">
      <c r="A1397">
        <v>8.6</v>
      </c>
      <c r="B1397">
        <v>0.68500000000000005</v>
      </c>
      <c r="C1397">
        <v>0.1</v>
      </c>
      <c r="D1397">
        <v>1.6</v>
      </c>
      <c r="E1397">
        <v>9.1999999999999998E-2</v>
      </c>
      <c r="F1397">
        <v>3</v>
      </c>
      <c r="G1397">
        <v>12</v>
      </c>
      <c r="H1397">
        <v>0.99744999999999995</v>
      </c>
      <c r="I1397">
        <v>3.31</v>
      </c>
      <c r="J1397">
        <v>0.65</v>
      </c>
      <c r="K1397">
        <v>9.5500000000000007</v>
      </c>
      <c r="L1397">
        <v>6</v>
      </c>
      <c r="M1397" t="str">
        <f t="shared" si="168"/>
        <v>Medium</v>
      </c>
      <c r="N1397">
        <f>(winequality_red[[#This Row],[Updated Quality &amp; Alcohol Analysis]]+winequality_red[[#This Row],[volatile acidity]]+winequality_red[[#This Row],[citric acid]])</f>
        <v>9.3849999999999998</v>
      </c>
      <c r="O1397">
        <f t="shared" si="169"/>
        <v>4.6623036649214661E-2</v>
      </c>
      <c r="S1397" t="e">
        <f t="shared" si="170"/>
        <v>#N/A</v>
      </c>
      <c r="T1397" t="e">
        <f t="shared" si="171"/>
        <v>#N/A</v>
      </c>
      <c r="U1397">
        <f t="shared" si="172"/>
        <v>9.5500000000000007</v>
      </c>
      <c r="V1397">
        <f t="shared" si="173"/>
        <v>6</v>
      </c>
      <c r="W1397" t="e">
        <f t="shared" si="174"/>
        <v>#N/A</v>
      </c>
      <c r="X1397" t="e">
        <f t="shared" si="175"/>
        <v>#N/A</v>
      </c>
    </row>
    <row r="1398" spans="1:24" x14ac:dyDescent="0.3">
      <c r="A1398">
        <v>8.6999999999999993</v>
      </c>
      <c r="B1398">
        <v>0.67500000000000004</v>
      </c>
      <c r="C1398">
        <v>0.1</v>
      </c>
      <c r="D1398">
        <v>1.6</v>
      </c>
      <c r="E1398">
        <v>0.09</v>
      </c>
      <c r="F1398">
        <v>4</v>
      </c>
      <c r="G1398">
        <v>11</v>
      </c>
      <c r="H1398">
        <v>0.99744999999999995</v>
      </c>
      <c r="I1398">
        <v>3.31</v>
      </c>
      <c r="J1398">
        <v>0.65</v>
      </c>
      <c r="K1398">
        <v>9.5500000000000007</v>
      </c>
      <c r="L1398">
        <v>5</v>
      </c>
      <c r="M1398" t="str">
        <f t="shared" si="168"/>
        <v>Medium</v>
      </c>
      <c r="N1398">
        <f>(winequality_red[[#This Row],[Updated Quality &amp; Alcohol Analysis]]+winequality_red[[#This Row],[volatile acidity]]+winequality_red[[#This Row],[citric acid]])</f>
        <v>9.4749999999999996</v>
      </c>
      <c r="O1398">
        <f t="shared" si="169"/>
        <v>4.5942408376963353E-2</v>
      </c>
      <c r="S1398" t="e">
        <f t="shared" si="170"/>
        <v>#N/A</v>
      </c>
      <c r="T1398" t="e">
        <f t="shared" si="171"/>
        <v>#N/A</v>
      </c>
      <c r="U1398">
        <f t="shared" si="172"/>
        <v>9.5500000000000007</v>
      </c>
      <c r="V1398">
        <f t="shared" si="173"/>
        <v>5</v>
      </c>
      <c r="W1398" t="e">
        <f t="shared" si="174"/>
        <v>#N/A</v>
      </c>
      <c r="X1398" t="e">
        <f t="shared" si="175"/>
        <v>#N/A</v>
      </c>
    </row>
    <row r="1399" spans="1:24" x14ac:dyDescent="0.3">
      <c r="A1399">
        <v>7.3</v>
      </c>
      <c r="B1399">
        <v>0.59</v>
      </c>
      <c r="C1399">
        <v>0.26</v>
      </c>
      <c r="D1399">
        <v>2</v>
      </c>
      <c r="E1399">
        <v>0.08</v>
      </c>
      <c r="F1399">
        <v>17</v>
      </c>
      <c r="G1399">
        <v>104</v>
      </c>
      <c r="H1399">
        <v>0.99583999999999995</v>
      </c>
      <c r="I1399">
        <v>3.28</v>
      </c>
      <c r="J1399">
        <v>0.52</v>
      </c>
      <c r="K1399">
        <v>9.9</v>
      </c>
      <c r="L1399">
        <v>5</v>
      </c>
      <c r="M1399" t="str">
        <f t="shared" si="168"/>
        <v>Medium</v>
      </c>
      <c r="N1399">
        <f>(winequality_red[[#This Row],[Updated Quality &amp; Alcohol Analysis]]+winequality_red[[#This Row],[volatile acidity]]+winequality_red[[#This Row],[citric acid]])</f>
        <v>8.15</v>
      </c>
      <c r="O1399">
        <f t="shared" si="169"/>
        <v>3.0989898989898991E-2</v>
      </c>
      <c r="S1399" t="e">
        <f t="shared" si="170"/>
        <v>#N/A</v>
      </c>
      <c r="T1399" t="e">
        <f t="shared" si="171"/>
        <v>#N/A</v>
      </c>
      <c r="U1399">
        <f t="shared" si="172"/>
        <v>9.9</v>
      </c>
      <c r="V1399">
        <f t="shared" si="173"/>
        <v>5</v>
      </c>
      <c r="W1399" t="e">
        <f t="shared" si="174"/>
        <v>#N/A</v>
      </c>
      <c r="X1399" t="e">
        <f t="shared" si="175"/>
        <v>#N/A</v>
      </c>
    </row>
    <row r="1400" spans="1:24" x14ac:dyDescent="0.3">
      <c r="A1400">
        <v>7</v>
      </c>
      <c r="B1400">
        <v>0.6</v>
      </c>
      <c r="C1400">
        <v>0.12</v>
      </c>
      <c r="D1400">
        <v>2.2000000000000002</v>
      </c>
      <c r="E1400">
        <v>8.3000000000000004E-2</v>
      </c>
      <c r="F1400">
        <v>13</v>
      </c>
      <c r="G1400">
        <v>28</v>
      </c>
      <c r="H1400">
        <v>0.99660000000000004</v>
      </c>
      <c r="I1400">
        <v>3.52</v>
      </c>
      <c r="J1400">
        <v>0.62</v>
      </c>
      <c r="K1400">
        <v>10.199999999999999</v>
      </c>
      <c r="L1400">
        <v>7</v>
      </c>
      <c r="M1400" t="str">
        <f t="shared" si="168"/>
        <v>High</v>
      </c>
      <c r="N1400">
        <f>(winequality_red[[#This Row],[Updated Quality &amp; Alcohol Analysis]]+winequality_red[[#This Row],[volatile acidity]]+winequality_red[[#This Row],[citric acid]])</f>
        <v>7.72</v>
      </c>
      <c r="O1400">
        <f t="shared" si="169"/>
        <v>3.6470588235294123E-2</v>
      </c>
      <c r="S1400" t="e">
        <f t="shared" si="170"/>
        <v>#N/A</v>
      </c>
      <c r="T1400" t="e">
        <f t="shared" si="171"/>
        <v>#N/A</v>
      </c>
      <c r="U1400" t="e">
        <f t="shared" si="172"/>
        <v>#N/A</v>
      </c>
      <c r="V1400" t="e">
        <f t="shared" si="173"/>
        <v>#N/A</v>
      </c>
      <c r="W1400">
        <f t="shared" si="174"/>
        <v>10.199999999999999</v>
      </c>
      <c r="X1400">
        <f t="shared" si="175"/>
        <v>7</v>
      </c>
    </row>
    <row r="1401" spans="1:24" x14ac:dyDescent="0.3">
      <c r="A1401">
        <v>7.2</v>
      </c>
      <c r="B1401">
        <v>0.67</v>
      </c>
      <c r="C1401">
        <v>0</v>
      </c>
      <c r="D1401">
        <v>2.2000000000000002</v>
      </c>
      <c r="E1401">
        <v>6.8000000000000005E-2</v>
      </c>
      <c r="F1401">
        <v>10</v>
      </c>
      <c r="G1401">
        <v>24</v>
      </c>
      <c r="H1401">
        <v>0.99560000000000004</v>
      </c>
      <c r="I1401">
        <v>3.42</v>
      </c>
      <c r="J1401">
        <v>0.72</v>
      </c>
      <c r="K1401">
        <v>11.1</v>
      </c>
      <c r="L1401">
        <v>6</v>
      </c>
      <c r="M1401" t="str">
        <f t="shared" si="168"/>
        <v>Medium</v>
      </c>
      <c r="N1401">
        <f>(winequality_red[[#This Row],[Updated Quality &amp; Alcohol Analysis]]+winequality_red[[#This Row],[volatile acidity]]+winequality_red[[#This Row],[citric acid]])</f>
        <v>7.87</v>
      </c>
      <c r="O1401">
        <f t="shared" si="169"/>
        <v>4.3459459459459462E-2</v>
      </c>
      <c r="S1401" t="e">
        <f t="shared" si="170"/>
        <v>#N/A</v>
      </c>
      <c r="T1401" t="e">
        <f t="shared" si="171"/>
        <v>#N/A</v>
      </c>
      <c r="U1401">
        <f t="shared" si="172"/>
        <v>11.1</v>
      </c>
      <c r="V1401">
        <f t="shared" si="173"/>
        <v>6</v>
      </c>
      <c r="W1401" t="e">
        <f t="shared" si="174"/>
        <v>#N/A</v>
      </c>
      <c r="X1401" t="e">
        <f t="shared" si="175"/>
        <v>#N/A</v>
      </c>
    </row>
    <row r="1402" spans="1:24" x14ac:dyDescent="0.3">
      <c r="A1402">
        <v>7.9</v>
      </c>
      <c r="B1402">
        <v>0.69</v>
      </c>
      <c r="C1402">
        <v>0.21</v>
      </c>
      <c r="D1402">
        <v>2.1</v>
      </c>
      <c r="E1402">
        <v>0.08</v>
      </c>
      <c r="F1402">
        <v>33</v>
      </c>
      <c r="G1402">
        <v>141</v>
      </c>
      <c r="H1402">
        <v>0.99619999999999997</v>
      </c>
      <c r="I1402">
        <v>3.25</v>
      </c>
      <c r="J1402">
        <v>0.51</v>
      </c>
      <c r="K1402">
        <v>9.9</v>
      </c>
      <c r="L1402">
        <v>5</v>
      </c>
      <c r="M1402" t="str">
        <f t="shared" si="168"/>
        <v>Medium</v>
      </c>
      <c r="N1402">
        <f>(winequality_red[[#This Row],[Updated Quality &amp; Alcohol Analysis]]+winequality_red[[#This Row],[volatile acidity]]+winequality_red[[#This Row],[citric acid]])</f>
        <v>8.8000000000000007</v>
      </c>
      <c r="O1402">
        <f t="shared" si="169"/>
        <v>3.554545454545454E-2</v>
      </c>
      <c r="S1402" t="e">
        <f t="shared" si="170"/>
        <v>#N/A</v>
      </c>
      <c r="T1402" t="e">
        <f t="shared" si="171"/>
        <v>#N/A</v>
      </c>
      <c r="U1402">
        <f t="shared" si="172"/>
        <v>9.9</v>
      </c>
      <c r="V1402">
        <f t="shared" si="173"/>
        <v>5</v>
      </c>
      <c r="W1402" t="e">
        <f t="shared" si="174"/>
        <v>#N/A</v>
      </c>
      <c r="X1402" t="e">
        <f t="shared" si="175"/>
        <v>#N/A</v>
      </c>
    </row>
    <row r="1403" spans="1:24" x14ac:dyDescent="0.3">
      <c r="A1403">
        <v>7.9</v>
      </c>
      <c r="B1403">
        <v>0.69</v>
      </c>
      <c r="C1403">
        <v>0.21</v>
      </c>
      <c r="D1403">
        <v>2.1</v>
      </c>
      <c r="E1403">
        <v>0.08</v>
      </c>
      <c r="F1403">
        <v>33</v>
      </c>
      <c r="G1403">
        <v>141</v>
      </c>
      <c r="H1403">
        <v>0.99619999999999997</v>
      </c>
      <c r="I1403">
        <v>3.25</v>
      </c>
      <c r="J1403">
        <v>0.51</v>
      </c>
      <c r="K1403">
        <v>9.9</v>
      </c>
      <c r="L1403">
        <v>5</v>
      </c>
      <c r="M1403" t="str">
        <f t="shared" si="168"/>
        <v>Medium</v>
      </c>
      <c r="N1403">
        <f>(winequality_red[[#This Row],[Updated Quality &amp; Alcohol Analysis]]+winequality_red[[#This Row],[volatile acidity]]+winequality_red[[#This Row],[citric acid]])</f>
        <v>8.8000000000000007</v>
      </c>
      <c r="O1403">
        <f t="shared" si="169"/>
        <v>3.554545454545454E-2</v>
      </c>
      <c r="S1403" t="e">
        <f t="shared" si="170"/>
        <v>#N/A</v>
      </c>
      <c r="T1403" t="e">
        <f t="shared" si="171"/>
        <v>#N/A</v>
      </c>
      <c r="U1403">
        <f t="shared" si="172"/>
        <v>9.9</v>
      </c>
      <c r="V1403">
        <f t="shared" si="173"/>
        <v>5</v>
      </c>
      <c r="W1403" t="e">
        <f t="shared" si="174"/>
        <v>#N/A</v>
      </c>
      <c r="X1403" t="e">
        <f t="shared" si="175"/>
        <v>#N/A</v>
      </c>
    </row>
    <row r="1404" spans="1:24" x14ac:dyDescent="0.3">
      <c r="A1404">
        <v>7.6</v>
      </c>
      <c r="B1404">
        <v>0.3</v>
      </c>
      <c r="C1404">
        <v>0.42</v>
      </c>
      <c r="D1404">
        <v>2</v>
      </c>
      <c r="E1404">
        <v>5.2000000000000005E-2</v>
      </c>
      <c r="F1404">
        <v>6</v>
      </c>
      <c r="G1404">
        <v>24</v>
      </c>
      <c r="H1404">
        <v>0.99629999999999996</v>
      </c>
      <c r="I1404">
        <v>3.44</v>
      </c>
      <c r="J1404">
        <v>0.82</v>
      </c>
      <c r="K1404">
        <v>11.9</v>
      </c>
      <c r="L1404">
        <v>6</v>
      </c>
      <c r="M1404" t="str">
        <f t="shared" si="168"/>
        <v>Medium</v>
      </c>
      <c r="N1404">
        <f>(winequality_red[[#This Row],[Updated Quality &amp; Alcohol Analysis]]+winequality_red[[#This Row],[volatile acidity]]+winequality_red[[#This Row],[citric acid]])</f>
        <v>8.32</v>
      </c>
      <c r="O1404">
        <f t="shared" si="169"/>
        <v>2.0672268907563022E-2</v>
      </c>
      <c r="S1404" t="e">
        <f t="shared" si="170"/>
        <v>#N/A</v>
      </c>
      <c r="T1404" t="e">
        <f t="shared" si="171"/>
        <v>#N/A</v>
      </c>
      <c r="U1404">
        <f t="shared" si="172"/>
        <v>11.9</v>
      </c>
      <c r="V1404">
        <f t="shared" si="173"/>
        <v>6</v>
      </c>
      <c r="W1404" t="e">
        <f t="shared" si="174"/>
        <v>#N/A</v>
      </c>
      <c r="X1404" t="e">
        <f t="shared" si="175"/>
        <v>#N/A</v>
      </c>
    </row>
    <row r="1405" spans="1:24" x14ac:dyDescent="0.3">
      <c r="A1405">
        <v>7.2</v>
      </c>
      <c r="B1405">
        <v>0.33</v>
      </c>
      <c r="C1405">
        <v>0.33</v>
      </c>
      <c r="D1405">
        <v>1.7</v>
      </c>
      <c r="E1405">
        <v>6.0999999999999999E-2</v>
      </c>
      <c r="F1405">
        <v>3</v>
      </c>
      <c r="G1405">
        <v>13</v>
      </c>
      <c r="H1405">
        <v>0.996</v>
      </c>
      <c r="I1405">
        <v>3.23</v>
      </c>
      <c r="J1405">
        <v>1.1000000000000001</v>
      </c>
      <c r="K1405">
        <v>10</v>
      </c>
      <c r="L1405">
        <v>8</v>
      </c>
      <c r="M1405" t="str">
        <f t="shared" si="168"/>
        <v>High</v>
      </c>
      <c r="N1405">
        <f>(winequality_red[[#This Row],[Updated Quality &amp; Alcohol Analysis]]+winequality_red[[#This Row],[volatile acidity]]+winequality_red[[#This Row],[citric acid]])</f>
        <v>7.86</v>
      </c>
      <c r="O1405">
        <f t="shared" si="169"/>
        <v>3.6300000000000006E-2</v>
      </c>
      <c r="S1405" t="e">
        <f t="shared" si="170"/>
        <v>#N/A</v>
      </c>
      <c r="T1405" t="e">
        <f t="shared" si="171"/>
        <v>#N/A</v>
      </c>
      <c r="U1405" t="e">
        <f t="shared" si="172"/>
        <v>#N/A</v>
      </c>
      <c r="V1405" t="e">
        <f t="shared" si="173"/>
        <v>#N/A</v>
      </c>
      <c r="W1405">
        <f t="shared" si="174"/>
        <v>10</v>
      </c>
      <c r="X1405">
        <f t="shared" si="175"/>
        <v>8</v>
      </c>
    </row>
    <row r="1406" spans="1:24" x14ac:dyDescent="0.3">
      <c r="A1406">
        <v>8</v>
      </c>
      <c r="B1406">
        <v>0.5</v>
      </c>
      <c r="C1406">
        <v>0.39</v>
      </c>
      <c r="D1406">
        <v>2.6</v>
      </c>
      <c r="E1406">
        <v>8.199999999999999E-2</v>
      </c>
      <c r="F1406">
        <v>12</v>
      </c>
      <c r="G1406">
        <v>46</v>
      </c>
      <c r="H1406">
        <v>0.99850000000000005</v>
      </c>
      <c r="I1406">
        <v>3.43</v>
      </c>
      <c r="J1406">
        <v>0.62</v>
      </c>
      <c r="K1406">
        <v>10.7</v>
      </c>
      <c r="L1406">
        <v>6</v>
      </c>
      <c r="M1406" t="str">
        <f t="shared" si="168"/>
        <v>Medium</v>
      </c>
      <c r="N1406">
        <f>(winequality_red[[#This Row],[Updated Quality &amp; Alcohol Analysis]]+winequality_red[[#This Row],[volatile acidity]]+winequality_red[[#This Row],[citric acid]])</f>
        <v>8.89</v>
      </c>
      <c r="O1406">
        <f t="shared" si="169"/>
        <v>2.897196261682243E-2</v>
      </c>
      <c r="S1406" t="e">
        <f t="shared" si="170"/>
        <v>#N/A</v>
      </c>
      <c r="T1406" t="e">
        <f t="shared" si="171"/>
        <v>#N/A</v>
      </c>
      <c r="U1406">
        <f t="shared" si="172"/>
        <v>10.7</v>
      </c>
      <c r="V1406">
        <f t="shared" si="173"/>
        <v>6</v>
      </c>
      <c r="W1406" t="e">
        <f t="shared" si="174"/>
        <v>#N/A</v>
      </c>
      <c r="X1406" t="e">
        <f t="shared" si="175"/>
        <v>#N/A</v>
      </c>
    </row>
    <row r="1407" spans="1:24" x14ac:dyDescent="0.3">
      <c r="A1407">
        <v>7.7</v>
      </c>
      <c r="B1407">
        <v>0.28000000000000003</v>
      </c>
      <c r="C1407">
        <v>0.3</v>
      </c>
      <c r="D1407">
        <v>2</v>
      </c>
      <c r="E1407">
        <v>6.2E-2</v>
      </c>
      <c r="F1407">
        <v>18</v>
      </c>
      <c r="G1407">
        <v>34</v>
      </c>
      <c r="H1407">
        <v>0.99519999999999997</v>
      </c>
      <c r="I1407">
        <v>3.28</v>
      </c>
      <c r="J1407">
        <v>0.9</v>
      </c>
      <c r="K1407">
        <v>11.3</v>
      </c>
      <c r="L1407">
        <v>7</v>
      </c>
      <c r="M1407" t="str">
        <f t="shared" si="168"/>
        <v>High</v>
      </c>
      <c r="N1407">
        <f>(winequality_red[[#This Row],[Updated Quality &amp; Alcohol Analysis]]+winequality_red[[#This Row],[volatile acidity]]+winequality_red[[#This Row],[citric acid]])</f>
        <v>8.2800000000000011</v>
      </c>
      <c r="O1407">
        <f t="shared" si="169"/>
        <v>2.2300884955752217E-2</v>
      </c>
      <c r="S1407" t="e">
        <f t="shared" si="170"/>
        <v>#N/A</v>
      </c>
      <c r="T1407" t="e">
        <f t="shared" si="171"/>
        <v>#N/A</v>
      </c>
      <c r="U1407" t="e">
        <f t="shared" si="172"/>
        <v>#N/A</v>
      </c>
      <c r="V1407" t="e">
        <f t="shared" si="173"/>
        <v>#N/A</v>
      </c>
      <c r="W1407">
        <f t="shared" si="174"/>
        <v>11.3</v>
      </c>
      <c r="X1407">
        <f t="shared" si="175"/>
        <v>7</v>
      </c>
    </row>
    <row r="1408" spans="1:24" x14ac:dyDescent="0.3">
      <c r="A1408">
        <v>8.1999999999999993</v>
      </c>
      <c r="B1408">
        <v>0.24</v>
      </c>
      <c r="C1408">
        <v>0.34</v>
      </c>
      <c r="D1408">
        <v>5.0999999999999996</v>
      </c>
      <c r="E1408">
        <v>6.2E-2</v>
      </c>
      <c r="F1408">
        <v>8</v>
      </c>
      <c r="G1408">
        <v>22</v>
      </c>
      <c r="H1408">
        <v>0.99739999999999995</v>
      </c>
      <c r="I1408">
        <v>3.22</v>
      </c>
      <c r="J1408">
        <v>0.94</v>
      </c>
      <c r="K1408">
        <v>10.9</v>
      </c>
      <c r="L1408">
        <v>6</v>
      </c>
      <c r="M1408" t="str">
        <f t="shared" si="168"/>
        <v>Medium</v>
      </c>
      <c r="N1408">
        <f>(winequality_red[[#This Row],[Updated Quality &amp; Alcohol Analysis]]+winequality_red[[#This Row],[volatile acidity]]+winequality_red[[#This Row],[citric acid]])</f>
        <v>8.7799999999999994</v>
      </c>
      <c r="O1408">
        <f t="shared" si="169"/>
        <v>2.0697247706422013E-2</v>
      </c>
      <c r="S1408" t="e">
        <f t="shared" si="170"/>
        <v>#N/A</v>
      </c>
      <c r="T1408" t="e">
        <f t="shared" si="171"/>
        <v>#N/A</v>
      </c>
      <c r="U1408">
        <f t="shared" si="172"/>
        <v>10.9</v>
      </c>
      <c r="V1408">
        <f t="shared" si="173"/>
        <v>6</v>
      </c>
      <c r="W1408" t="e">
        <f t="shared" si="174"/>
        <v>#N/A</v>
      </c>
      <c r="X1408" t="e">
        <f t="shared" si="175"/>
        <v>#N/A</v>
      </c>
    </row>
    <row r="1409" spans="1:24" x14ac:dyDescent="0.3">
      <c r="A1409">
        <v>6</v>
      </c>
      <c r="B1409">
        <v>0.51</v>
      </c>
      <c r="C1409">
        <v>0</v>
      </c>
      <c r="D1409">
        <v>2.1</v>
      </c>
      <c r="E1409">
        <v>6.4000000000000001E-2</v>
      </c>
      <c r="F1409">
        <v>40</v>
      </c>
      <c r="G1409">
        <v>54</v>
      </c>
      <c r="H1409">
        <v>0.995</v>
      </c>
      <c r="I1409">
        <v>3.54</v>
      </c>
      <c r="J1409">
        <v>0.93</v>
      </c>
      <c r="K1409">
        <v>10.7</v>
      </c>
      <c r="L1409">
        <v>6</v>
      </c>
      <c r="M1409" t="str">
        <f t="shared" si="168"/>
        <v>Medium</v>
      </c>
      <c r="N1409">
        <f>(winequality_red[[#This Row],[Updated Quality &amp; Alcohol Analysis]]+winequality_red[[#This Row],[volatile acidity]]+winequality_red[[#This Row],[citric acid]])</f>
        <v>6.51</v>
      </c>
      <c r="O1409">
        <f t="shared" si="169"/>
        <v>4.4327102803738326E-2</v>
      </c>
      <c r="S1409" t="e">
        <f t="shared" si="170"/>
        <v>#N/A</v>
      </c>
      <c r="T1409" t="e">
        <f t="shared" si="171"/>
        <v>#N/A</v>
      </c>
      <c r="U1409">
        <f t="shared" si="172"/>
        <v>10.7</v>
      </c>
      <c r="V1409">
        <f t="shared" si="173"/>
        <v>6</v>
      </c>
      <c r="W1409" t="e">
        <f t="shared" si="174"/>
        <v>#N/A</v>
      </c>
      <c r="X1409" t="e">
        <f t="shared" si="175"/>
        <v>#N/A</v>
      </c>
    </row>
    <row r="1410" spans="1:24" x14ac:dyDescent="0.3">
      <c r="A1410">
        <v>8.1</v>
      </c>
      <c r="B1410">
        <v>0.28999999999999998</v>
      </c>
      <c r="C1410">
        <v>0.36</v>
      </c>
      <c r="D1410">
        <v>2.2000000000000002</v>
      </c>
      <c r="E1410">
        <v>4.8000000000000001E-2</v>
      </c>
      <c r="F1410">
        <v>35</v>
      </c>
      <c r="G1410">
        <v>53</v>
      </c>
      <c r="H1410">
        <v>0.995</v>
      </c>
      <c r="I1410">
        <v>3.27</v>
      </c>
      <c r="J1410">
        <v>1.01</v>
      </c>
      <c r="K1410">
        <v>12.4</v>
      </c>
      <c r="L1410">
        <v>7</v>
      </c>
      <c r="M1410" t="str">
        <f t="shared" ref="M1410:M1473" si="176">IF($L1410&gt;=7,"High",IF($L1410&gt;=5,"Medium","Low"))</f>
        <v>High</v>
      </c>
      <c r="N1410">
        <f>(winequality_red[[#This Row],[Updated Quality &amp; Alcohol Analysis]]+winequality_red[[#This Row],[volatile acidity]]+winequality_red[[#This Row],[citric acid]])</f>
        <v>8.7499999999999982</v>
      </c>
      <c r="O1410">
        <f t="shared" ref="O1410:O1473" si="177">($B1410*$J1410)/$K1410</f>
        <v>2.3620967741935481E-2</v>
      </c>
      <c r="S1410" t="e">
        <f t="shared" si="170"/>
        <v>#N/A</v>
      </c>
      <c r="T1410" t="e">
        <f t="shared" si="171"/>
        <v>#N/A</v>
      </c>
      <c r="U1410" t="e">
        <f t="shared" si="172"/>
        <v>#N/A</v>
      </c>
      <c r="V1410" t="e">
        <f t="shared" si="173"/>
        <v>#N/A</v>
      </c>
      <c r="W1410">
        <f t="shared" si="174"/>
        <v>12.4</v>
      </c>
      <c r="X1410">
        <f t="shared" si="175"/>
        <v>7</v>
      </c>
    </row>
    <row r="1411" spans="1:24" x14ac:dyDescent="0.3">
      <c r="A1411">
        <v>6</v>
      </c>
      <c r="B1411">
        <v>0.51</v>
      </c>
      <c r="C1411">
        <v>0</v>
      </c>
      <c r="D1411">
        <v>2.1</v>
      </c>
      <c r="E1411">
        <v>6.4000000000000001E-2</v>
      </c>
      <c r="F1411">
        <v>40</v>
      </c>
      <c r="G1411">
        <v>54</v>
      </c>
      <c r="H1411">
        <v>0.995</v>
      </c>
      <c r="I1411">
        <v>3.54</v>
      </c>
      <c r="J1411">
        <v>0.93</v>
      </c>
      <c r="K1411">
        <v>10.7</v>
      </c>
      <c r="L1411">
        <v>6</v>
      </c>
      <c r="M1411" t="str">
        <f t="shared" si="176"/>
        <v>Medium</v>
      </c>
      <c r="N1411">
        <f>(winequality_red[[#This Row],[Updated Quality &amp; Alcohol Analysis]]+winequality_red[[#This Row],[volatile acidity]]+winequality_red[[#This Row],[citric acid]])</f>
        <v>6.51</v>
      </c>
      <c r="O1411">
        <f t="shared" si="177"/>
        <v>4.4327102803738326E-2</v>
      </c>
      <c r="S1411" t="e">
        <f t="shared" ref="S1411:S1474" si="178">IF($M1411="Low",$K1411,NA())</f>
        <v>#N/A</v>
      </c>
      <c r="T1411" t="e">
        <f t="shared" ref="T1411:T1474" si="179">IF($M1411="Low",$L1411,NA())</f>
        <v>#N/A</v>
      </c>
      <c r="U1411">
        <f t="shared" ref="U1411:U1474" si="180">IF($M1411="Medium",$K1411,NA())</f>
        <v>10.7</v>
      </c>
      <c r="V1411">
        <f t="shared" ref="V1411:V1474" si="181">IF($M1411="Medium",$L1411,NA())</f>
        <v>6</v>
      </c>
      <c r="W1411" t="e">
        <f t="shared" ref="W1411:W1474" si="182">IF($M1411="High",$K1411,NA())</f>
        <v>#N/A</v>
      </c>
      <c r="X1411" t="e">
        <f t="shared" ref="X1411:X1474" si="183">IF($M1411="High",$L1411,NA())</f>
        <v>#N/A</v>
      </c>
    </row>
    <row r="1412" spans="1:24" x14ac:dyDescent="0.3">
      <c r="A1412">
        <v>6.6</v>
      </c>
      <c r="B1412">
        <v>0.96</v>
      </c>
      <c r="C1412">
        <v>0</v>
      </c>
      <c r="D1412">
        <v>1.8</v>
      </c>
      <c r="E1412">
        <v>8.199999999999999E-2</v>
      </c>
      <c r="F1412">
        <v>5</v>
      </c>
      <c r="G1412">
        <v>16</v>
      </c>
      <c r="H1412">
        <v>0.99360000000000004</v>
      </c>
      <c r="I1412">
        <v>3.5</v>
      </c>
      <c r="J1412">
        <v>0.44</v>
      </c>
      <c r="K1412">
        <v>11.9</v>
      </c>
      <c r="L1412">
        <v>6</v>
      </c>
      <c r="M1412" t="str">
        <f t="shared" si="176"/>
        <v>Medium</v>
      </c>
      <c r="N1412">
        <f>(winequality_red[[#This Row],[Updated Quality &amp; Alcohol Analysis]]+winequality_red[[#This Row],[volatile acidity]]+winequality_red[[#This Row],[citric acid]])</f>
        <v>7.56</v>
      </c>
      <c r="O1412">
        <f t="shared" si="177"/>
        <v>3.5495798319327733E-2</v>
      </c>
      <c r="S1412" t="e">
        <f t="shared" si="178"/>
        <v>#N/A</v>
      </c>
      <c r="T1412" t="e">
        <f t="shared" si="179"/>
        <v>#N/A</v>
      </c>
      <c r="U1412">
        <f t="shared" si="180"/>
        <v>11.9</v>
      </c>
      <c r="V1412">
        <f t="shared" si="181"/>
        <v>6</v>
      </c>
      <c r="W1412" t="e">
        <f t="shared" si="182"/>
        <v>#N/A</v>
      </c>
      <c r="X1412" t="e">
        <f t="shared" si="183"/>
        <v>#N/A</v>
      </c>
    </row>
    <row r="1413" spans="1:24" x14ac:dyDescent="0.3">
      <c r="A1413">
        <v>6.4</v>
      </c>
      <c r="B1413">
        <v>0.47</v>
      </c>
      <c r="C1413">
        <v>0.4</v>
      </c>
      <c r="D1413">
        <v>2.4</v>
      </c>
      <c r="E1413">
        <v>7.0999999999999994E-2</v>
      </c>
      <c r="F1413">
        <v>8</v>
      </c>
      <c r="G1413">
        <v>19</v>
      </c>
      <c r="H1413">
        <v>0.99629999999999996</v>
      </c>
      <c r="I1413">
        <v>3.56</v>
      </c>
      <c r="J1413">
        <v>0.73</v>
      </c>
      <c r="K1413">
        <v>10.6</v>
      </c>
      <c r="L1413">
        <v>6</v>
      </c>
      <c r="M1413" t="str">
        <f t="shared" si="176"/>
        <v>Medium</v>
      </c>
      <c r="N1413">
        <f>(winequality_red[[#This Row],[Updated Quality &amp; Alcohol Analysis]]+winequality_red[[#This Row],[volatile acidity]]+winequality_red[[#This Row],[citric acid]])</f>
        <v>7.2700000000000005</v>
      </c>
      <c r="O1413">
        <f t="shared" si="177"/>
        <v>3.2367924528301881E-2</v>
      </c>
      <c r="S1413" t="e">
        <f t="shared" si="178"/>
        <v>#N/A</v>
      </c>
      <c r="T1413" t="e">
        <f t="shared" si="179"/>
        <v>#N/A</v>
      </c>
      <c r="U1413">
        <f t="shared" si="180"/>
        <v>10.6</v>
      </c>
      <c r="V1413">
        <f t="shared" si="181"/>
        <v>6</v>
      </c>
      <c r="W1413" t="e">
        <f t="shared" si="182"/>
        <v>#N/A</v>
      </c>
      <c r="X1413" t="e">
        <f t="shared" si="183"/>
        <v>#N/A</v>
      </c>
    </row>
    <row r="1414" spans="1:24" x14ac:dyDescent="0.3">
      <c r="A1414">
        <v>8.1999999999999993</v>
      </c>
      <c r="B1414">
        <v>0.24</v>
      </c>
      <c r="C1414">
        <v>0.34</v>
      </c>
      <c r="D1414">
        <v>5.0999999999999996</v>
      </c>
      <c r="E1414">
        <v>6.2E-2</v>
      </c>
      <c r="F1414">
        <v>8</v>
      </c>
      <c r="G1414">
        <v>22</v>
      </c>
      <c r="H1414">
        <v>0.99739999999999995</v>
      </c>
      <c r="I1414">
        <v>3.22</v>
      </c>
      <c r="J1414">
        <v>0.94</v>
      </c>
      <c r="K1414">
        <v>10.9</v>
      </c>
      <c r="L1414">
        <v>6</v>
      </c>
      <c r="M1414" t="str">
        <f t="shared" si="176"/>
        <v>Medium</v>
      </c>
      <c r="N1414">
        <f>(winequality_red[[#This Row],[Updated Quality &amp; Alcohol Analysis]]+winequality_red[[#This Row],[volatile acidity]]+winequality_red[[#This Row],[citric acid]])</f>
        <v>8.7799999999999994</v>
      </c>
      <c r="O1414">
        <f t="shared" si="177"/>
        <v>2.0697247706422013E-2</v>
      </c>
      <c r="S1414" t="e">
        <f t="shared" si="178"/>
        <v>#N/A</v>
      </c>
      <c r="T1414" t="e">
        <f t="shared" si="179"/>
        <v>#N/A</v>
      </c>
      <c r="U1414">
        <f t="shared" si="180"/>
        <v>10.9</v>
      </c>
      <c r="V1414">
        <f t="shared" si="181"/>
        <v>6</v>
      </c>
      <c r="W1414" t="e">
        <f t="shared" si="182"/>
        <v>#N/A</v>
      </c>
      <c r="X1414" t="e">
        <f t="shared" si="183"/>
        <v>#N/A</v>
      </c>
    </row>
    <row r="1415" spans="1:24" x14ac:dyDescent="0.3">
      <c r="A1415">
        <v>9.9</v>
      </c>
      <c r="B1415">
        <v>0.56999999999999995</v>
      </c>
      <c r="C1415">
        <v>0.25</v>
      </c>
      <c r="D1415">
        <v>2</v>
      </c>
      <c r="E1415">
        <v>0.10400000000000001</v>
      </c>
      <c r="F1415">
        <v>12</v>
      </c>
      <c r="G1415">
        <v>89</v>
      </c>
      <c r="H1415">
        <v>0.99629999999999996</v>
      </c>
      <c r="I1415">
        <v>3.04</v>
      </c>
      <c r="J1415">
        <v>0.9</v>
      </c>
      <c r="K1415">
        <v>10.1</v>
      </c>
      <c r="L1415">
        <v>5</v>
      </c>
      <c r="M1415" t="str">
        <f t="shared" si="176"/>
        <v>Medium</v>
      </c>
      <c r="N1415">
        <f>(winequality_red[[#This Row],[Updated Quality &amp; Alcohol Analysis]]+winequality_red[[#This Row],[volatile acidity]]+winequality_red[[#This Row],[citric acid]])</f>
        <v>10.72</v>
      </c>
      <c r="O1415">
        <f t="shared" si="177"/>
        <v>5.0792079207920796E-2</v>
      </c>
      <c r="S1415" t="e">
        <f t="shared" si="178"/>
        <v>#N/A</v>
      </c>
      <c r="T1415" t="e">
        <f t="shared" si="179"/>
        <v>#N/A</v>
      </c>
      <c r="U1415">
        <f t="shared" si="180"/>
        <v>10.1</v>
      </c>
      <c r="V1415">
        <f t="shared" si="181"/>
        <v>5</v>
      </c>
      <c r="W1415" t="e">
        <f t="shared" si="182"/>
        <v>#N/A</v>
      </c>
      <c r="X1415" t="e">
        <f t="shared" si="183"/>
        <v>#N/A</v>
      </c>
    </row>
    <row r="1416" spans="1:24" x14ac:dyDescent="0.3">
      <c r="A1416">
        <v>10</v>
      </c>
      <c r="B1416">
        <v>0.32</v>
      </c>
      <c r="C1416">
        <v>0.59</v>
      </c>
      <c r="D1416">
        <v>2.2000000000000002</v>
      </c>
      <c r="E1416">
        <v>7.6999999999999999E-2</v>
      </c>
      <c r="F1416">
        <v>3</v>
      </c>
      <c r="G1416">
        <v>15</v>
      </c>
      <c r="H1416">
        <v>0.99939999999999996</v>
      </c>
      <c r="I1416">
        <v>3.2</v>
      </c>
      <c r="J1416">
        <v>0.78</v>
      </c>
      <c r="K1416">
        <v>9.6</v>
      </c>
      <c r="L1416">
        <v>5</v>
      </c>
      <c r="M1416" t="str">
        <f t="shared" si="176"/>
        <v>Medium</v>
      </c>
      <c r="N1416">
        <f>(winequality_red[[#This Row],[Updated Quality &amp; Alcohol Analysis]]+winequality_red[[#This Row],[volatile acidity]]+winequality_red[[#This Row],[citric acid]])</f>
        <v>10.91</v>
      </c>
      <c r="O1416">
        <f t="shared" si="177"/>
        <v>2.6000000000000002E-2</v>
      </c>
      <c r="S1416" t="e">
        <f t="shared" si="178"/>
        <v>#N/A</v>
      </c>
      <c r="T1416" t="e">
        <f t="shared" si="179"/>
        <v>#N/A</v>
      </c>
      <c r="U1416">
        <f t="shared" si="180"/>
        <v>9.6</v>
      </c>
      <c r="V1416">
        <f t="shared" si="181"/>
        <v>5</v>
      </c>
      <c r="W1416" t="e">
        <f t="shared" si="182"/>
        <v>#N/A</v>
      </c>
      <c r="X1416" t="e">
        <f t="shared" si="183"/>
        <v>#N/A</v>
      </c>
    </row>
    <row r="1417" spans="1:24" x14ac:dyDescent="0.3">
      <c r="A1417">
        <v>6.2</v>
      </c>
      <c r="B1417">
        <v>0.57999999999999996</v>
      </c>
      <c r="C1417">
        <v>0</v>
      </c>
      <c r="D1417">
        <v>1.6</v>
      </c>
      <c r="E1417">
        <v>6.5000000000000002E-2</v>
      </c>
      <c r="F1417">
        <v>8</v>
      </c>
      <c r="G1417">
        <v>18</v>
      </c>
      <c r="H1417">
        <v>0.99660000000000004</v>
      </c>
      <c r="I1417">
        <v>3.56</v>
      </c>
      <c r="J1417">
        <v>0.84</v>
      </c>
      <c r="K1417">
        <v>9.4</v>
      </c>
      <c r="L1417">
        <v>5</v>
      </c>
      <c r="M1417" t="str">
        <f t="shared" si="176"/>
        <v>Medium</v>
      </c>
      <c r="N1417">
        <f>(winequality_red[[#This Row],[Updated Quality &amp; Alcohol Analysis]]+winequality_red[[#This Row],[volatile acidity]]+winequality_red[[#This Row],[citric acid]])</f>
        <v>6.78</v>
      </c>
      <c r="O1417">
        <f t="shared" si="177"/>
        <v>5.1829787234042544E-2</v>
      </c>
      <c r="S1417" t="e">
        <f t="shared" si="178"/>
        <v>#N/A</v>
      </c>
      <c r="T1417" t="e">
        <f t="shared" si="179"/>
        <v>#N/A</v>
      </c>
      <c r="U1417">
        <f t="shared" si="180"/>
        <v>9.4</v>
      </c>
      <c r="V1417">
        <f t="shared" si="181"/>
        <v>5</v>
      </c>
      <c r="W1417" t="e">
        <f t="shared" si="182"/>
        <v>#N/A</v>
      </c>
      <c r="X1417" t="e">
        <f t="shared" si="183"/>
        <v>#N/A</v>
      </c>
    </row>
    <row r="1418" spans="1:24" x14ac:dyDescent="0.3">
      <c r="A1418">
        <v>10</v>
      </c>
      <c r="B1418">
        <v>0.32</v>
      </c>
      <c r="C1418">
        <v>0.59</v>
      </c>
      <c r="D1418">
        <v>2.2000000000000002</v>
      </c>
      <c r="E1418">
        <v>7.6999999999999999E-2</v>
      </c>
      <c r="F1418">
        <v>3</v>
      </c>
      <c r="G1418">
        <v>15</v>
      </c>
      <c r="H1418">
        <v>0.99939999999999996</v>
      </c>
      <c r="I1418">
        <v>3.2</v>
      </c>
      <c r="J1418">
        <v>0.78</v>
      </c>
      <c r="K1418">
        <v>9.6</v>
      </c>
      <c r="L1418">
        <v>5</v>
      </c>
      <c r="M1418" t="str">
        <f t="shared" si="176"/>
        <v>Medium</v>
      </c>
      <c r="N1418">
        <f>(winequality_red[[#This Row],[Updated Quality &amp; Alcohol Analysis]]+winequality_red[[#This Row],[volatile acidity]]+winequality_red[[#This Row],[citric acid]])</f>
        <v>10.91</v>
      </c>
      <c r="O1418">
        <f t="shared" si="177"/>
        <v>2.6000000000000002E-2</v>
      </c>
      <c r="S1418" t="e">
        <f t="shared" si="178"/>
        <v>#N/A</v>
      </c>
      <c r="T1418" t="e">
        <f t="shared" si="179"/>
        <v>#N/A</v>
      </c>
      <c r="U1418">
        <f t="shared" si="180"/>
        <v>9.6</v>
      </c>
      <c r="V1418">
        <f t="shared" si="181"/>
        <v>5</v>
      </c>
      <c r="W1418" t="e">
        <f t="shared" si="182"/>
        <v>#N/A</v>
      </c>
      <c r="X1418" t="e">
        <f t="shared" si="183"/>
        <v>#N/A</v>
      </c>
    </row>
    <row r="1419" spans="1:24" x14ac:dyDescent="0.3">
      <c r="A1419">
        <v>7.3</v>
      </c>
      <c r="B1419">
        <v>0.34</v>
      </c>
      <c r="C1419">
        <v>0.33</v>
      </c>
      <c r="D1419">
        <v>2.5</v>
      </c>
      <c r="E1419">
        <v>6.4000000000000001E-2</v>
      </c>
      <c r="F1419">
        <v>21</v>
      </c>
      <c r="G1419">
        <v>37</v>
      </c>
      <c r="H1419">
        <v>0.99519999999999997</v>
      </c>
      <c r="I1419">
        <v>3.35</v>
      </c>
      <c r="J1419">
        <v>0.77</v>
      </c>
      <c r="K1419">
        <v>12.1</v>
      </c>
      <c r="L1419">
        <v>7</v>
      </c>
      <c r="M1419" t="str">
        <f t="shared" si="176"/>
        <v>High</v>
      </c>
      <c r="N1419">
        <f>(winequality_red[[#This Row],[Updated Quality &amp; Alcohol Analysis]]+winequality_red[[#This Row],[volatile acidity]]+winequality_red[[#This Row],[citric acid]])</f>
        <v>7.97</v>
      </c>
      <c r="O1419">
        <f t="shared" si="177"/>
        <v>2.1636363636363641E-2</v>
      </c>
      <c r="S1419" t="e">
        <f t="shared" si="178"/>
        <v>#N/A</v>
      </c>
      <c r="T1419" t="e">
        <f t="shared" si="179"/>
        <v>#N/A</v>
      </c>
      <c r="U1419" t="e">
        <f t="shared" si="180"/>
        <v>#N/A</v>
      </c>
      <c r="V1419" t="e">
        <f t="shared" si="181"/>
        <v>#N/A</v>
      </c>
      <c r="W1419">
        <f t="shared" si="182"/>
        <v>12.1</v>
      </c>
      <c r="X1419">
        <f t="shared" si="183"/>
        <v>7</v>
      </c>
    </row>
    <row r="1420" spans="1:24" x14ac:dyDescent="0.3">
      <c r="A1420">
        <v>7.8</v>
      </c>
      <c r="B1420">
        <v>0.53</v>
      </c>
      <c r="C1420">
        <v>0.01</v>
      </c>
      <c r="D1420">
        <v>1.6</v>
      </c>
      <c r="E1420">
        <v>7.6999999999999999E-2</v>
      </c>
      <c r="F1420">
        <v>3</v>
      </c>
      <c r="G1420">
        <v>19</v>
      </c>
      <c r="H1420">
        <v>0.995</v>
      </c>
      <c r="I1420">
        <v>3.16</v>
      </c>
      <c r="J1420">
        <v>0.46</v>
      </c>
      <c r="K1420">
        <v>9.8000000000000007</v>
      </c>
      <c r="L1420">
        <v>5</v>
      </c>
      <c r="M1420" t="str">
        <f t="shared" si="176"/>
        <v>Medium</v>
      </c>
      <c r="N1420">
        <f>(winequality_red[[#This Row],[Updated Quality &amp; Alcohol Analysis]]+winequality_red[[#This Row],[volatile acidity]]+winequality_red[[#This Row],[citric acid]])</f>
        <v>8.34</v>
      </c>
      <c r="O1420">
        <f t="shared" si="177"/>
        <v>2.4877551020408162E-2</v>
      </c>
      <c r="S1420" t="e">
        <f t="shared" si="178"/>
        <v>#N/A</v>
      </c>
      <c r="T1420" t="e">
        <f t="shared" si="179"/>
        <v>#N/A</v>
      </c>
      <c r="U1420">
        <f t="shared" si="180"/>
        <v>9.8000000000000007</v>
      </c>
      <c r="V1420">
        <f t="shared" si="181"/>
        <v>5</v>
      </c>
      <c r="W1420" t="e">
        <f t="shared" si="182"/>
        <v>#N/A</v>
      </c>
      <c r="X1420" t="e">
        <f t="shared" si="183"/>
        <v>#N/A</v>
      </c>
    </row>
    <row r="1421" spans="1:24" x14ac:dyDescent="0.3">
      <c r="A1421">
        <v>7.7</v>
      </c>
      <c r="B1421">
        <v>0.64</v>
      </c>
      <c r="C1421">
        <v>0.21</v>
      </c>
      <c r="D1421">
        <v>2.2000000000000002</v>
      </c>
      <c r="E1421">
        <v>7.6999999999999999E-2</v>
      </c>
      <c r="F1421">
        <v>32</v>
      </c>
      <c r="G1421">
        <v>133</v>
      </c>
      <c r="H1421">
        <v>0.99560000000000004</v>
      </c>
      <c r="I1421">
        <v>3.27</v>
      </c>
      <c r="J1421">
        <v>0.45</v>
      </c>
      <c r="K1421">
        <v>9.9</v>
      </c>
      <c r="L1421">
        <v>5</v>
      </c>
      <c r="M1421" t="str">
        <f t="shared" si="176"/>
        <v>Medium</v>
      </c>
      <c r="N1421">
        <f>(winequality_red[[#This Row],[Updated Quality &amp; Alcohol Analysis]]+winequality_red[[#This Row],[volatile acidity]]+winequality_red[[#This Row],[citric acid]])</f>
        <v>8.5500000000000007</v>
      </c>
      <c r="O1421">
        <f t="shared" si="177"/>
        <v>2.9090909090909094E-2</v>
      </c>
      <c r="S1421" t="e">
        <f t="shared" si="178"/>
        <v>#N/A</v>
      </c>
      <c r="T1421" t="e">
        <f t="shared" si="179"/>
        <v>#N/A</v>
      </c>
      <c r="U1421">
        <f t="shared" si="180"/>
        <v>9.9</v>
      </c>
      <c r="V1421">
        <f t="shared" si="181"/>
        <v>5</v>
      </c>
      <c r="W1421" t="e">
        <f t="shared" si="182"/>
        <v>#N/A</v>
      </c>
      <c r="X1421" t="e">
        <f t="shared" si="183"/>
        <v>#N/A</v>
      </c>
    </row>
    <row r="1422" spans="1:24" x14ac:dyDescent="0.3">
      <c r="A1422">
        <v>7.8</v>
      </c>
      <c r="B1422">
        <v>0.53</v>
      </c>
      <c r="C1422">
        <v>0.01</v>
      </c>
      <c r="D1422">
        <v>1.6</v>
      </c>
      <c r="E1422">
        <v>7.6999999999999999E-2</v>
      </c>
      <c r="F1422">
        <v>3</v>
      </c>
      <c r="G1422">
        <v>19</v>
      </c>
      <c r="H1422">
        <v>0.995</v>
      </c>
      <c r="I1422">
        <v>3.16</v>
      </c>
      <c r="J1422">
        <v>0.46</v>
      </c>
      <c r="K1422">
        <v>9.8000000000000007</v>
      </c>
      <c r="L1422">
        <v>5</v>
      </c>
      <c r="M1422" t="str">
        <f t="shared" si="176"/>
        <v>Medium</v>
      </c>
      <c r="N1422">
        <f>(winequality_red[[#This Row],[Updated Quality &amp; Alcohol Analysis]]+winequality_red[[#This Row],[volatile acidity]]+winequality_red[[#This Row],[citric acid]])</f>
        <v>8.34</v>
      </c>
      <c r="O1422">
        <f t="shared" si="177"/>
        <v>2.4877551020408162E-2</v>
      </c>
      <c r="S1422" t="e">
        <f t="shared" si="178"/>
        <v>#N/A</v>
      </c>
      <c r="T1422" t="e">
        <f t="shared" si="179"/>
        <v>#N/A</v>
      </c>
      <c r="U1422">
        <f t="shared" si="180"/>
        <v>9.8000000000000007</v>
      </c>
      <c r="V1422">
        <f t="shared" si="181"/>
        <v>5</v>
      </c>
      <c r="W1422" t="e">
        <f t="shared" si="182"/>
        <v>#N/A</v>
      </c>
      <c r="X1422" t="e">
        <f t="shared" si="183"/>
        <v>#N/A</v>
      </c>
    </row>
    <row r="1423" spans="1:24" x14ac:dyDescent="0.3">
      <c r="A1423">
        <v>7.5</v>
      </c>
      <c r="B1423">
        <v>0.4</v>
      </c>
      <c r="C1423">
        <v>0.18</v>
      </c>
      <c r="D1423">
        <v>1.6</v>
      </c>
      <c r="E1423">
        <v>7.9000000000000001E-2</v>
      </c>
      <c r="F1423">
        <v>24</v>
      </c>
      <c r="G1423">
        <v>58</v>
      </c>
      <c r="H1423">
        <v>0.99650000000000005</v>
      </c>
      <c r="I1423">
        <v>3.34</v>
      </c>
      <c r="J1423">
        <v>0.57999999999999996</v>
      </c>
      <c r="K1423">
        <v>9.4</v>
      </c>
      <c r="L1423">
        <v>5</v>
      </c>
      <c r="M1423" t="str">
        <f t="shared" si="176"/>
        <v>Medium</v>
      </c>
      <c r="N1423">
        <f>(winequality_red[[#This Row],[Updated Quality &amp; Alcohol Analysis]]+winequality_red[[#This Row],[volatile acidity]]+winequality_red[[#This Row],[citric acid]])</f>
        <v>8.08</v>
      </c>
      <c r="O1423">
        <f t="shared" si="177"/>
        <v>2.4680851063829785E-2</v>
      </c>
      <c r="S1423" t="e">
        <f t="shared" si="178"/>
        <v>#N/A</v>
      </c>
      <c r="T1423" t="e">
        <f t="shared" si="179"/>
        <v>#N/A</v>
      </c>
      <c r="U1423">
        <f t="shared" si="180"/>
        <v>9.4</v>
      </c>
      <c r="V1423">
        <f t="shared" si="181"/>
        <v>5</v>
      </c>
      <c r="W1423" t="e">
        <f t="shared" si="182"/>
        <v>#N/A</v>
      </c>
      <c r="X1423" t="e">
        <f t="shared" si="183"/>
        <v>#N/A</v>
      </c>
    </row>
    <row r="1424" spans="1:24" x14ac:dyDescent="0.3">
      <c r="A1424">
        <v>7</v>
      </c>
      <c r="B1424">
        <v>0.54</v>
      </c>
      <c r="C1424">
        <v>0</v>
      </c>
      <c r="D1424">
        <v>2.1</v>
      </c>
      <c r="E1424">
        <v>7.9000000000000001E-2</v>
      </c>
      <c r="F1424">
        <v>39</v>
      </c>
      <c r="G1424">
        <v>55</v>
      </c>
      <c r="H1424">
        <v>0.99560000000000004</v>
      </c>
      <c r="I1424">
        <v>3.39</v>
      </c>
      <c r="J1424">
        <v>0.84</v>
      </c>
      <c r="K1424">
        <v>11.4</v>
      </c>
      <c r="L1424">
        <v>6</v>
      </c>
      <c r="M1424" t="str">
        <f t="shared" si="176"/>
        <v>Medium</v>
      </c>
      <c r="N1424">
        <f>(winequality_red[[#This Row],[Updated Quality &amp; Alcohol Analysis]]+winequality_red[[#This Row],[volatile acidity]]+winequality_red[[#This Row],[citric acid]])</f>
        <v>7.54</v>
      </c>
      <c r="O1424">
        <f t="shared" si="177"/>
        <v>3.9789473684210527E-2</v>
      </c>
      <c r="S1424" t="e">
        <f t="shared" si="178"/>
        <v>#N/A</v>
      </c>
      <c r="T1424" t="e">
        <f t="shared" si="179"/>
        <v>#N/A</v>
      </c>
      <c r="U1424">
        <f t="shared" si="180"/>
        <v>11.4</v>
      </c>
      <c r="V1424">
        <f t="shared" si="181"/>
        <v>6</v>
      </c>
      <c r="W1424" t="e">
        <f t="shared" si="182"/>
        <v>#N/A</v>
      </c>
      <c r="X1424" t="e">
        <f t="shared" si="183"/>
        <v>#N/A</v>
      </c>
    </row>
    <row r="1425" spans="1:24" x14ac:dyDescent="0.3">
      <c r="A1425">
        <v>6.4</v>
      </c>
      <c r="B1425">
        <v>0.53</v>
      </c>
      <c r="C1425">
        <v>0.09</v>
      </c>
      <c r="D1425">
        <v>3.9</v>
      </c>
      <c r="E1425">
        <v>0.12300000000000001</v>
      </c>
      <c r="F1425">
        <v>14</v>
      </c>
      <c r="G1425">
        <v>31</v>
      </c>
      <c r="H1425">
        <v>0.99680000000000002</v>
      </c>
      <c r="I1425">
        <v>3.5</v>
      </c>
      <c r="J1425">
        <v>0.67</v>
      </c>
      <c r="K1425">
        <v>11</v>
      </c>
      <c r="L1425">
        <v>4</v>
      </c>
      <c r="M1425" t="str">
        <f t="shared" si="176"/>
        <v>Low</v>
      </c>
      <c r="N1425">
        <f>(winequality_red[[#This Row],[Updated Quality &amp; Alcohol Analysis]]+winequality_red[[#This Row],[volatile acidity]]+winequality_red[[#This Row],[citric acid]])</f>
        <v>7.0200000000000005</v>
      </c>
      <c r="O1425">
        <f t="shared" si="177"/>
        <v>3.2281818181818182E-2</v>
      </c>
      <c r="S1425">
        <f t="shared" si="178"/>
        <v>11</v>
      </c>
      <c r="T1425">
        <f t="shared" si="179"/>
        <v>4</v>
      </c>
      <c r="U1425" t="e">
        <f t="shared" si="180"/>
        <v>#N/A</v>
      </c>
      <c r="V1425" t="e">
        <f t="shared" si="181"/>
        <v>#N/A</v>
      </c>
      <c r="W1425" t="e">
        <f t="shared" si="182"/>
        <v>#N/A</v>
      </c>
      <c r="X1425" t="e">
        <f t="shared" si="183"/>
        <v>#N/A</v>
      </c>
    </row>
    <row r="1426" spans="1:24" x14ac:dyDescent="0.3">
      <c r="A1426">
        <v>8.3000000000000007</v>
      </c>
      <c r="B1426">
        <v>0.26</v>
      </c>
      <c r="C1426">
        <v>0.37</v>
      </c>
      <c r="D1426">
        <v>1.4</v>
      </c>
      <c r="E1426">
        <v>7.5999999999999998E-2</v>
      </c>
      <c r="F1426">
        <v>8</v>
      </c>
      <c r="G1426">
        <v>23</v>
      </c>
      <c r="H1426">
        <v>0.99739999999999995</v>
      </c>
      <c r="I1426">
        <v>3.26</v>
      </c>
      <c r="J1426">
        <v>0.7</v>
      </c>
      <c r="K1426">
        <v>9.6</v>
      </c>
      <c r="L1426">
        <v>6</v>
      </c>
      <c r="M1426" t="str">
        <f t="shared" si="176"/>
        <v>Medium</v>
      </c>
      <c r="N1426">
        <f>(winequality_red[[#This Row],[Updated Quality &amp; Alcohol Analysis]]+winequality_red[[#This Row],[volatile acidity]]+winequality_red[[#This Row],[citric acid]])</f>
        <v>8.93</v>
      </c>
      <c r="O1426">
        <f t="shared" si="177"/>
        <v>1.8958333333333334E-2</v>
      </c>
      <c r="S1426" t="e">
        <f t="shared" si="178"/>
        <v>#N/A</v>
      </c>
      <c r="T1426" t="e">
        <f t="shared" si="179"/>
        <v>#N/A</v>
      </c>
      <c r="U1426">
        <f t="shared" si="180"/>
        <v>9.6</v>
      </c>
      <c r="V1426">
        <f t="shared" si="181"/>
        <v>6</v>
      </c>
      <c r="W1426" t="e">
        <f t="shared" si="182"/>
        <v>#N/A</v>
      </c>
      <c r="X1426" t="e">
        <f t="shared" si="183"/>
        <v>#N/A</v>
      </c>
    </row>
    <row r="1427" spans="1:24" x14ac:dyDescent="0.3">
      <c r="A1427">
        <v>8.3000000000000007</v>
      </c>
      <c r="B1427">
        <v>0.26</v>
      </c>
      <c r="C1427">
        <v>0.37</v>
      </c>
      <c r="D1427">
        <v>1.4</v>
      </c>
      <c r="E1427">
        <v>7.5999999999999998E-2</v>
      </c>
      <c r="F1427">
        <v>8</v>
      </c>
      <c r="G1427">
        <v>23</v>
      </c>
      <c r="H1427">
        <v>0.99739999999999995</v>
      </c>
      <c r="I1427">
        <v>3.26</v>
      </c>
      <c r="J1427">
        <v>0.7</v>
      </c>
      <c r="K1427">
        <v>9.6</v>
      </c>
      <c r="L1427">
        <v>6</v>
      </c>
      <c r="M1427" t="str">
        <f t="shared" si="176"/>
        <v>Medium</v>
      </c>
      <c r="N1427">
        <f>(winequality_red[[#This Row],[Updated Quality &amp; Alcohol Analysis]]+winequality_red[[#This Row],[volatile acidity]]+winequality_red[[#This Row],[citric acid]])</f>
        <v>8.93</v>
      </c>
      <c r="O1427">
        <f t="shared" si="177"/>
        <v>1.8958333333333334E-2</v>
      </c>
      <c r="S1427" t="e">
        <f t="shared" si="178"/>
        <v>#N/A</v>
      </c>
      <c r="T1427" t="e">
        <f t="shared" si="179"/>
        <v>#N/A</v>
      </c>
      <c r="U1427">
        <f t="shared" si="180"/>
        <v>9.6</v>
      </c>
      <c r="V1427">
        <f t="shared" si="181"/>
        <v>6</v>
      </c>
      <c r="W1427" t="e">
        <f t="shared" si="182"/>
        <v>#N/A</v>
      </c>
      <c r="X1427" t="e">
        <f t="shared" si="183"/>
        <v>#N/A</v>
      </c>
    </row>
    <row r="1428" spans="1:24" x14ac:dyDescent="0.3">
      <c r="A1428">
        <v>7.7</v>
      </c>
      <c r="B1428">
        <v>0.23</v>
      </c>
      <c r="C1428">
        <v>0.37</v>
      </c>
      <c r="D1428">
        <v>1.8</v>
      </c>
      <c r="E1428">
        <v>4.5999999999999999E-2</v>
      </c>
      <c r="F1428">
        <v>23</v>
      </c>
      <c r="G1428">
        <v>60</v>
      </c>
      <c r="H1428">
        <v>0.99709999999999999</v>
      </c>
      <c r="I1428">
        <v>3.41</v>
      </c>
      <c r="J1428">
        <v>0.71</v>
      </c>
      <c r="K1428">
        <v>12.1</v>
      </c>
      <c r="L1428">
        <v>6</v>
      </c>
      <c r="M1428" t="str">
        <f t="shared" si="176"/>
        <v>Medium</v>
      </c>
      <c r="N1428">
        <f>(winequality_red[[#This Row],[Updated Quality &amp; Alcohol Analysis]]+winequality_red[[#This Row],[volatile acidity]]+winequality_red[[#This Row],[citric acid]])</f>
        <v>8.3000000000000007</v>
      </c>
      <c r="O1428">
        <f t="shared" si="177"/>
        <v>1.3495867768595042E-2</v>
      </c>
      <c r="S1428" t="e">
        <f t="shared" si="178"/>
        <v>#N/A</v>
      </c>
      <c r="T1428" t="e">
        <f t="shared" si="179"/>
        <v>#N/A</v>
      </c>
      <c r="U1428">
        <f t="shared" si="180"/>
        <v>12.1</v>
      </c>
      <c r="V1428">
        <f t="shared" si="181"/>
        <v>6</v>
      </c>
      <c r="W1428" t="e">
        <f t="shared" si="182"/>
        <v>#N/A</v>
      </c>
      <c r="X1428" t="e">
        <f t="shared" si="183"/>
        <v>#N/A</v>
      </c>
    </row>
    <row r="1429" spans="1:24" x14ac:dyDescent="0.3">
      <c r="A1429">
        <v>7.6</v>
      </c>
      <c r="B1429">
        <v>0.41</v>
      </c>
      <c r="C1429">
        <v>0.33</v>
      </c>
      <c r="D1429">
        <v>2.5</v>
      </c>
      <c r="E1429">
        <v>7.8E-2</v>
      </c>
      <c r="F1429">
        <v>6</v>
      </c>
      <c r="G1429">
        <v>23</v>
      </c>
      <c r="H1429">
        <v>0.99570000000000003</v>
      </c>
      <c r="I1429">
        <v>3.3</v>
      </c>
      <c r="J1429">
        <v>0.57999999999999996</v>
      </c>
      <c r="K1429">
        <v>11.2</v>
      </c>
      <c r="L1429">
        <v>5</v>
      </c>
      <c r="M1429" t="str">
        <f t="shared" si="176"/>
        <v>Medium</v>
      </c>
      <c r="N1429">
        <f>(winequality_red[[#This Row],[Updated Quality &amp; Alcohol Analysis]]+winequality_red[[#This Row],[volatile acidity]]+winequality_red[[#This Row],[citric acid]])</f>
        <v>8.34</v>
      </c>
      <c r="O1429">
        <f t="shared" si="177"/>
        <v>2.1232142857142856E-2</v>
      </c>
      <c r="S1429" t="e">
        <f t="shared" si="178"/>
        <v>#N/A</v>
      </c>
      <c r="T1429" t="e">
        <f t="shared" si="179"/>
        <v>#N/A</v>
      </c>
      <c r="U1429">
        <f t="shared" si="180"/>
        <v>11.2</v>
      </c>
      <c r="V1429">
        <f t="shared" si="181"/>
        <v>5</v>
      </c>
      <c r="W1429" t="e">
        <f t="shared" si="182"/>
        <v>#N/A</v>
      </c>
      <c r="X1429" t="e">
        <f t="shared" si="183"/>
        <v>#N/A</v>
      </c>
    </row>
    <row r="1430" spans="1:24" x14ac:dyDescent="0.3">
      <c r="A1430">
        <v>7.8</v>
      </c>
      <c r="B1430">
        <v>0.64</v>
      </c>
      <c r="C1430">
        <v>0</v>
      </c>
      <c r="D1430">
        <v>1.9</v>
      </c>
      <c r="E1430">
        <v>7.2000000000000008E-2</v>
      </c>
      <c r="F1430">
        <v>27</v>
      </c>
      <c r="G1430">
        <v>55</v>
      </c>
      <c r="H1430">
        <v>0.99619999999999997</v>
      </c>
      <c r="I1430">
        <v>3.31</v>
      </c>
      <c r="J1430">
        <v>0.63</v>
      </c>
      <c r="K1430">
        <v>11</v>
      </c>
      <c r="L1430">
        <v>5</v>
      </c>
      <c r="M1430" t="str">
        <f t="shared" si="176"/>
        <v>Medium</v>
      </c>
      <c r="N1430">
        <f>(winequality_red[[#This Row],[Updated Quality &amp; Alcohol Analysis]]+winequality_red[[#This Row],[volatile acidity]]+winequality_red[[#This Row],[citric acid]])</f>
        <v>8.44</v>
      </c>
      <c r="O1430">
        <f t="shared" si="177"/>
        <v>3.6654545454545454E-2</v>
      </c>
      <c r="S1430" t="e">
        <f t="shared" si="178"/>
        <v>#N/A</v>
      </c>
      <c r="T1430" t="e">
        <f t="shared" si="179"/>
        <v>#N/A</v>
      </c>
      <c r="U1430">
        <f t="shared" si="180"/>
        <v>11</v>
      </c>
      <c r="V1430">
        <f t="shared" si="181"/>
        <v>5</v>
      </c>
      <c r="W1430" t="e">
        <f t="shared" si="182"/>
        <v>#N/A</v>
      </c>
      <c r="X1430" t="e">
        <f t="shared" si="183"/>
        <v>#N/A</v>
      </c>
    </row>
    <row r="1431" spans="1:24" x14ac:dyDescent="0.3">
      <c r="A1431">
        <v>7.9</v>
      </c>
      <c r="B1431">
        <v>0.18</v>
      </c>
      <c r="C1431">
        <v>0.4</v>
      </c>
      <c r="D1431">
        <v>2.2000000000000002</v>
      </c>
      <c r="E1431">
        <v>4.9000000000000002E-2</v>
      </c>
      <c r="F1431">
        <v>38</v>
      </c>
      <c r="G1431">
        <v>67</v>
      </c>
      <c r="H1431">
        <v>0.996</v>
      </c>
      <c r="I1431">
        <v>3.33</v>
      </c>
      <c r="J1431">
        <v>0.93</v>
      </c>
      <c r="K1431">
        <v>11.3</v>
      </c>
      <c r="L1431">
        <v>5</v>
      </c>
      <c r="M1431" t="str">
        <f t="shared" si="176"/>
        <v>Medium</v>
      </c>
      <c r="N1431">
        <f>(winequality_red[[#This Row],[Updated Quality &amp; Alcohol Analysis]]+winequality_red[[#This Row],[volatile acidity]]+winequality_red[[#This Row],[citric acid]])</f>
        <v>8.48</v>
      </c>
      <c r="O1431">
        <f t="shared" si="177"/>
        <v>1.4814159292035396E-2</v>
      </c>
      <c r="S1431" t="e">
        <f t="shared" si="178"/>
        <v>#N/A</v>
      </c>
      <c r="T1431" t="e">
        <f t="shared" si="179"/>
        <v>#N/A</v>
      </c>
      <c r="U1431">
        <f t="shared" si="180"/>
        <v>11.3</v>
      </c>
      <c r="V1431">
        <f t="shared" si="181"/>
        <v>5</v>
      </c>
      <c r="W1431" t="e">
        <f t="shared" si="182"/>
        <v>#N/A</v>
      </c>
      <c r="X1431" t="e">
        <f t="shared" si="183"/>
        <v>#N/A</v>
      </c>
    </row>
    <row r="1432" spans="1:24" x14ac:dyDescent="0.3">
      <c r="A1432">
        <v>7.4</v>
      </c>
      <c r="B1432">
        <v>0.41</v>
      </c>
      <c r="C1432">
        <v>0.24</v>
      </c>
      <c r="D1432">
        <v>1.8</v>
      </c>
      <c r="E1432">
        <v>6.6000000000000003E-2</v>
      </c>
      <c r="F1432">
        <v>18</v>
      </c>
      <c r="G1432">
        <v>47</v>
      </c>
      <c r="H1432">
        <v>0.99560000000000004</v>
      </c>
      <c r="I1432">
        <v>3.37</v>
      </c>
      <c r="J1432">
        <v>0.62</v>
      </c>
      <c r="K1432">
        <v>10.4</v>
      </c>
      <c r="L1432">
        <v>5</v>
      </c>
      <c r="M1432" t="str">
        <f t="shared" si="176"/>
        <v>Medium</v>
      </c>
      <c r="N1432">
        <f>(winequality_red[[#This Row],[Updated Quality &amp; Alcohol Analysis]]+winequality_red[[#This Row],[volatile acidity]]+winequality_red[[#This Row],[citric acid]])</f>
        <v>8.0500000000000007</v>
      </c>
      <c r="O1432">
        <f t="shared" si="177"/>
        <v>2.444230769230769E-2</v>
      </c>
      <c r="S1432" t="e">
        <f t="shared" si="178"/>
        <v>#N/A</v>
      </c>
      <c r="T1432" t="e">
        <f t="shared" si="179"/>
        <v>#N/A</v>
      </c>
      <c r="U1432">
        <f t="shared" si="180"/>
        <v>10.4</v>
      </c>
      <c r="V1432">
        <f t="shared" si="181"/>
        <v>5</v>
      </c>
      <c r="W1432" t="e">
        <f t="shared" si="182"/>
        <v>#N/A</v>
      </c>
      <c r="X1432" t="e">
        <f t="shared" si="183"/>
        <v>#N/A</v>
      </c>
    </row>
    <row r="1433" spans="1:24" x14ac:dyDescent="0.3">
      <c r="A1433">
        <v>7.6</v>
      </c>
      <c r="B1433">
        <v>0.43</v>
      </c>
      <c r="C1433">
        <v>0.31</v>
      </c>
      <c r="D1433">
        <v>2.1</v>
      </c>
      <c r="E1433">
        <v>6.9000000000000006E-2</v>
      </c>
      <c r="F1433">
        <v>13</v>
      </c>
      <c r="G1433">
        <v>74</v>
      </c>
      <c r="H1433">
        <v>0.99580000000000002</v>
      </c>
      <c r="I1433">
        <v>3.26</v>
      </c>
      <c r="J1433">
        <v>0.54</v>
      </c>
      <c r="K1433">
        <v>9.9</v>
      </c>
      <c r="L1433">
        <v>6</v>
      </c>
      <c r="M1433" t="str">
        <f t="shared" si="176"/>
        <v>Medium</v>
      </c>
      <c r="N1433">
        <f>(winequality_red[[#This Row],[Updated Quality &amp; Alcohol Analysis]]+winequality_red[[#This Row],[volatile acidity]]+winequality_red[[#This Row],[citric acid]])</f>
        <v>8.34</v>
      </c>
      <c r="O1433">
        <f t="shared" si="177"/>
        <v>2.3454545454545457E-2</v>
      </c>
      <c r="S1433" t="e">
        <f t="shared" si="178"/>
        <v>#N/A</v>
      </c>
      <c r="T1433" t="e">
        <f t="shared" si="179"/>
        <v>#N/A</v>
      </c>
      <c r="U1433">
        <f t="shared" si="180"/>
        <v>9.9</v>
      </c>
      <c r="V1433">
        <f t="shared" si="181"/>
        <v>6</v>
      </c>
      <c r="W1433" t="e">
        <f t="shared" si="182"/>
        <v>#N/A</v>
      </c>
      <c r="X1433" t="e">
        <f t="shared" si="183"/>
        <v>#N/A</v>
      </c>
    </row>
    <row r="1434" spans="1:24" x14ac:dyDescent="0.3">
      <c r="A1434">
        <v>5.9</v>
      </c>
      <c r="B1434">
        <v>0.44</v>
      </c>
      <c r="C1434">
        <v>0</v>
      </c>
      <c r="D1434">
        <v>1.6</v>
      </c>
      <c r="E1434">
        <v>4.2000000000000003E-2</v>
      </c>
      <c r="F1434">
        <v>3</v>
      </c>
      <c r="G1434">
        <v>11</v>
      </c>
      <c r="H1434">
        <v>0.99439999999999995</v>
      </c>
      <c r="I1434">
        <v>3.48</v>
      </c>
      <c r="J1434">
        <v>0.85</v>
      </c>
      <c r="K1434">
        <v>11.7</v>
      </c>
      <c r="L1434">
        <v>6</v>
      </c>
      <c r="M1434" t="str">
        <f t="shared" si="176"/>
        <v>Medium</v>
      </c>
      <c r="N1434">
        <f>(winequality_red[[#This Row],[Updated Quality &amp; Alcohol Analysis]]+winequality_red[[#This Row],[volatile acidity]]+winequality_red[[#This Row],[citric acid]])</f>
        <v>6.3400000000000007</v>
      </c>
      <c r="O1434">
        <f t="shared" si="177"/>
        <v>3.1965811965811969E-2</v>
      </c>
      <c r="S1434" t="e">
        <f t="shared" si="178"/>
        <v>#N/A</v>
      </c>
      <c r="T1434" t="e">
        <f t="shared" si="179"/>
        <v>#N/A</v>
      </c>
      <c r="U1434">
        <f t="shared" si="180"/>
        <v>11.7</v>
      </c>
      <c r="V1434">
        <f t="shared" si="181"/>
        <v>6</v>
      </c>
      <c r="W1434" t="e">
        <f t="shared" si="182"/>
        <v>#N/A</v>
      </c>
      <c r="X1434" t="e">
        <f t="shared" si="183"/>
        <v>#N/A</v>
      </c>
    </row>
    <row r="1435" spans="1:24" x14ac:dyDescent="0.3">
      <c r="A1435">
        <v>6.1</v>
      </c>
      <c r="B1435">
        <v>0.4</v>
      </c>
      <c r="C1435">
        <v>0.16</v>
      </c>
      <c r="D1435">
        <v>1.8</v>
      </c>
      <c r="E1435">
        <v>6.9000000000000006E-2</v>
      </c>
      <c r="F1435">
        <v>11</v>
      </c>
      <c r="G1435">
        <v>25</v>
      </c>
      <c r="H1435">
        <v>0.99550000000000005</v>
      </c>
      <c r="I1435">
        <v>3.42</v>
      </c>
      <c r="J1435">
        <v>0.74</v>
      </c>
      <c r="K1435">
        <v>10.1</v>
      </c>
      <c r="L1435">
        <v>7</v>
      </c>
      <c r="M1435" t="str">
        <f t="shared" si="176"/>
        <v>High</v>
      </c>
      <c r="N1435">
        <f>(winequality_red[[#This Row],[Updated Quality &amp; Alcohol Analysis]]+winequality_red[[#This Row],[volatile acidity]]+winequality_red[[#This Row],[citric acid]])</f>
        <v>6.66</v>
      </c>
      <c r="O1435">
        <f t="shared" si="177"/>
        <v>2.9306930693069305E-2</v>
      </c>
      <c r="S1435" t="e">
        <f t="shared" si="178"/>
        <v>#N/A</v>
      </c>
      <c r="T1435" t="e">
        <f t="shared" si="179"/>
        <v>#N/A</v>
      </c>
      <c r="U1435" t="e">
        <f t="shared" si="180"/>
        <v>#N/A</v>
      </c>
      <c r="V1435" t="e">
        <f t="shared" si="181"/>
        <v>#N/A</v>
      </c>
      <c r="W1435">
        <f t="shared" si="182"/>
        <v>10.1</v>
      </c>
      <c r="X1435">
        <f t="shared" si="183"/>
        <v>7</v>
      </c>
    </row>
    <row r="1436" spans="1:24" x14ac:dyDescent="0.3">
      <c r="A1436">
        <v>10.199999999999999</v>
      </c>
      <c r="B1436">
        <v>0.54</v>
      </c>
      <c r="C1436">
        <v>0.37</v>
      </c>
      <c r="D1436">
        <v>15.4</v>
      </c>
      <c r="E1436">
        <v>0.214</v>
      </c>
      <c r="F1436">
        <v>55</v>
      </c>
      <c r="G1436">
        <v>95</v>
      </c>
      <c r="H1436">
        <v>1.00369</v>
      </c>
      <c r="I1436">
        <v>3.18</v>
      </c>
      <c r="J1436">
        <v>0.77</v>
      </c>
      <c r="K1436">
        <v>9</v>
      </c>
      <c r="L1436">
        <v>6</v>
      </c>
      <c r="M1436" t="str">
        <f t="shared" si="176"/>
        <v>Medium</v>
      </c>
      <c r="N1436">
        <f>(winequality_red[[#This Row],[Updated Quality &amp; Alcohol Analysis]]+winequality_red[[#This Row],[volatile acidity]]+winequality_red[[#This Row],[citric acid]])</f>
        <v>11.109999999999998</v>
      </c>
      <c r="O1436">
        <f t="shared" si="177"/>
        <v>4.6200000000000005E-2</v>
      </c>
      <c r="S1436" t="e">
        <f t="shared" si="178"/>
        <v>#N/A</v>
      </c>
      <c r="T1436" t="e">
        <f t="shared" si="179"/>
        <v>#N/A</v>
      </c>
      <c r="U1436">
        <f t="shared" si="180"/>
        <v>9</v>
      </c>
      <c r="V1436">
        <f t="shared" si="181"/>
        <v>6</v>
      </c>
      <c r="W1436" t="e">
        <f t="shared" si="182"/>
        <v>#N/A</v>
      </c>
      <c r="X1436" t="e">
        <f t="shared" si="183"/>
        <v>#N/A</v>
      </c>
    </row>
    <row r="1437" spans="1:24" x14ac:dyDescent="0.3">
      <c r="A1437">
        <v>10.199999999999999</v>
      </c>
      <c r="B1437">
        <v>0.54</v>
      </c>
      <c r="C1437">
        <v>0.37</v>
      </c>
      <c r="D1437">
        <v>15.4</v>
      </c>
      <c r="E1437">
        <v>0.214</v>
      </c>
      <c r="F1437">
        <v>55</v>
      </c>
      <c r="G1437">
        <v>95</v>
      </c>
      <c r="H1437">
        <v>1.00369</v>
      </c>
      <c r="I1437">
        <v>3.18</v>
      </c>
      <c r="J1437">
        <v>0.77</v>
      </c>
      <c r="K1437">
        <v>9</v>
      </c>
      <c r="L1437">
        <v>6</v>
      </c>
      <c r="M1437" t="str">
        <f t="shared" si="176"/>
        <v>Medium</v>
      </c>
      <c r="N1437">
        <f>(winequality_red[[#This Row],[Updated Quality &amp; Alcohol Analysis]]+winequality_red[[#This Row],[volatile acidity]]+winequality_red[[#This Row],[citric acid]])</f>
        <v>11.109999999999998</v>
      </c>
      <c r="O1437">
        <f t="shared" si="177"/>
        <v>4.6200000000000005E-2</v>
      </c>
      <c r="S1437" t="e">
        <f t="shared" si="178"/>
        <v>#N/A</v>
      </c>
      <c r="T1437" t="e">
        <f t="shared" si="179"/>
        <v>#N/A</v>
      </c>
      <c r="U1437">
        <f t="shared" si="180"/>
        <v>9</v>
      </c>
      <c r="V1437">
        <f t="shared" si="181"/>
        <v>6</v>
      </c>
      <c r="W1437" t="e">
        <f t="shared" si="182"/>
        <v>#N/A</v>
      </c>
      <c r="X1437" t="e">
        <f t="shared" si="183"/>
        <v>#N/A</v>
      </c>
    </row>
    <row r="1438" spans="1:24" x14ac:dyDescent="0.3">
      <c r="A1438">
        <v>10</v>
      </c>
      <c r="B1438">
        <v>0.38</v>
      </c>
      <c r="C1438">
        <v>0.38</v>
      </c>
      <c r="D1438">
        <v>1.6</v>
      </c>
      <c r="E1438">
        <v>0.16899999999999998</v>
      </c>
      <c r="F1438">
        <v>27</v>
      </c>
      <c r="G1438">
        <v>90</v>
      </c>
      <c r="H1438">
        <v>0.99913999999999992</v>
      </c>
      <c r="I1438">
        <v>3.15</v>
      </c>
      <c r="J1438">
        <v>0.65</v>
      </c>
      <c r="K1438">
        <v>8.5</v>
      </c>
      <c r="L1438">
        <v>5</v>
      </c>
      <c r="M1438" t="str">
        <f t="shared" si="176"/>
        <v>Medium</v>
      </c>
      <c r="N1438">
        <f>(winequality_red[[#This Row],[Updated Quality &amp; Alcohol Analysis]]+winequality_red[[#This Row],[volatile acidity]]+winequality_red[[#This Row],[citric acid]])</f>
        <v>10.760000000000002</v>
      </c>
      <c r="O1438">
        <f t="shared" si="177"/>
        <v>2.9058823529411769E-2</v>
      </c>
      <c r="S1438" t="e">
        <f t="shared" si="178"/>
        <v>#N/A</v>
      </c>
      <c r="T1438" t="e">
        <f t="shared" si="179"/>
        <v>#N/A</v>
      </c>
      <c r="U1438">
        <f t="shared" si="180"/>
        <v>8.5</v>
      </c>
      <c r="V1438">
        <f t="shared" si="181"/>
        <v>5</v>
      </c>
      <c r="W1438" t="e">
        <f t="shared" si="182"/>
        <v>#N/A</v>
      </c>
      <c r="X1438" t="e">
        <f t="shared" si="183"/>
        <v>#N/A</v>
      </c>
    </row>
    <row r="1439" spans="1:24" x14ac:dyDescent="0.3">
      <c r="A1439">
        <v>6.8</v>
      </c>
      <c r="B1439">
        <v>0.91500000000000004</v>
      </c>
      <c r="C1439">
        <v>0.28999999999999998</v>
      </c>
      <c r="D1439">
        <v>4.8</v>
      </c>
      <c r="E1439">
        <v>7.0000000000000007E-2</v>
      </c>
      <c r="F1439">
        <v>15</v>
      </c>
      <c r="G1439">
        <v>39</v>
      </c>
      <c r="H1439">
        <v>0.99577000000000004</v>
      </c>
      <c r="I1439">
        <v>3.53</v>
      </c>
      <c r="J1439">
        <v>0.54</v>
      </c>
      <c r="K1439">
        <v>11.1</v>
      </c>
      <c r="L1439">
        <v>5</v>
      </c>
      <c r="M1439" t="str">
        <f t="shared" si="176"/>
        <v>Medium</v>
      </c>
      <c r="N1439">
        <f>(winequality_red[[#This Row],[Updated Quality &amp; Alcohol Analysis]]+winequality_red[[#This Row],[volatile acidity]]+winequality_red[[#This Row],[citric acid]])</f>
        <v>8.004999999999999</v>
      </c>
      <c r="O1439">
        <f t="shared" si="177"/>
        <v>4.4513513513513521E-2</v>
      </c>
      <c r="S1439" t="e">
        <f t="shared" si="178"/>
        <v>#N/A</v>
      </c>
      <c r="T1439" t="e">
        <f t="shared" si="179"/>
        <v>#N/A</v>
      </c>
      <c r="U1439">
        <f t="shared" si="180"/>
        <v>11.1</v>
      </c>
      <c r="V1439">
        <f t="shared" si="181"/>
        <v>5</v>
      </c>
      <c r="W1439" t="e">
        <f t="shared" si="182"/>
        <v>#N/A</v>
      </c>
      <c r="X1439" t="e">
        <f t="shared" si="183"/>
        <v>#N/A</v>
      </c>
    </row>
    <row r="1440" spans="1:24" x14ac:dyDescent="0.3">
      <c r="A1440">
        <v>7</v>
      </c>
      <c r="B1440">
        <v>0.59</v>
      </c>
      <c r="C1440">
        <v>0</v>
      </c>
      <c r="D1440">
        <v>1.7</v>
      </c>
      <c r="E1440">
        <v>5.2000000000000005E-2</v>
      </c>
      <c r="F1440">
        <v>3</v>
      </c>
      <c r="G1440">
        <v>8</v>
      </c>
      <c r="H1440">
        <v>0.996</v>
      </c>
      <c r="I1440">
        <v>3.41</v>
      </c>
      <c r="J1440">
        <v>0.47</v>
      </c>
      <c r="K1440">
        <v>10.3</v>
      </c>
      <c r="L1440">
        <v>5</v>
      </c>
      <c r="M1440" t="str">
        <f t="shared" si="176"/>
        <v>Medium</v>
      </c>
      <c r="N1440">
        <f>(winequality_red[[#This Row],[Updated Quality &amp; Alcohol Analysis]]+winequality_red[[#This Row],[volatile acidity]]+winequality_red[[#This Row],[citric acid]])</f>
        <v>7.59</v>
      </c>
      <c r="O1440">
        <f t="shared" si="177"/>
        <v>2.6922330097087378E-2</v>
      </c>
      <c r="S1440" t="e">
        <f t="shared" si="178"/>
        <v>#N/A</v>
      </c>
      <c r="T1440" t="e">
        <f t="shared" si="179"/>
        <v>#N/A</v>
      </c>
      <c r="U1440">
        <f t="shared" si="180"/>
        <v>10.3</v>
      </c>
      <c r="V1440">
        <f t="shared" si="181"/>
        <v>5</v>
      </c>
      <c r="W1440" t="e">
        <f t="shared" si="182"/>
        <v>#N/A</v>
      </c>
      <c r="X1440" t="e">
        <f t="shared" si="183"/>
        <v>#N/A</v>
      </c>
    </row>
    <row r="1441" spans="1:24" x14ac:dyDescent="0.3">
      <c r="A1441">
        <v>7.3</v>
      </c>
      <c r="B1441">
        <v>0.67</v>
      </c>
      <c r="C1441">
        <v>0.02</v>
      </c>
      <c r="D1441">
        <v>2.2000000000000002</v>
      </c>
      <c r="E1441">
        <v>7.2000000000000008E-2</v>
      </c>
      <c r="F1441">
        <v>31</v>
      </c>
      <c r="G1441">
        <v>92</v>
      </c>
      <c r="H1441">
        <v>0.99565999999999999</v>
      </c>
      <c r="I1441">
        <v>3.32</v>
      </c>
      <c r="J1441">
        <v>0.68</v>
      </c>
      <c r="K1441">
        <v>11.066666666666698</v>
      </c>
      <c r="L1441">
        <v>6</v>
      </c>
      <c r="M1441" t="str">
        <f t="shared" si="176"/>
        <v>Medium</v>
      </c>
      <c r="N1441">
        <f>(winequality_red[[#This Row],[Updated Quality &amp; Alcohol Analysis]]+winequality_red[[#This Row],[volatile acidity]]+winequality_red[[#This Row],[citric acid]])</f>
        <v>7.9899999999999993</v>
      </c>
      <c r="O1441">
        <f t="shared" si="177"/>
        <v>4.1168674698795066E-2</v>
      </c>
      <c r="S1441" t="e">
        <f t="shared" si="178"/>
        <v>#N/A</v>
      </c>
      <c r="T1441" t="e">
        <f t="shared" si="179"/>
        <v>#N/A</v>
      </c>
      <c r="U1441">
        <f t="shared" si="180"/>
        <v>11.066666666666698</v>
      </c>
      <c r="V1441">
        <f t="shared" si="181"/>
        <v>6</v>
      </c>
      <c r="W1441" t="e">
        <f t="shared" si="182"/>
        <v>#N/A</v>
      </c>
      <c r="X1441" t="e">
        <f t="shared" si="183"/>
        <v>#N/A</v>
      </c>
    </row>
    <row r="1442" spans="1:24" x14ac:dyDescent="0.3">
      <c r="A1442">
        <v>7.2</v>
      </c>
      <c r="B1442">
        <v>0.37</v>
      </c>
      <c r="C1442">
        <v>0.32</v>
      </c>
      <c r="D1442">
        <v>2</v>
      </c>
      <c r="E1442">
        <v>6.2E-2</v>
      </c>
      <c r="F1442">
        <v>15</v>
      </c>
      <c r="G1442">
        <v>28</v>
      </c>
      <c r="H1442">
        <v>0.99470000000000003</v>
      </c>
      <c r="I1442">
        <v>3.23</v>
      </c>
      <c r="J1442">
        <v>0.73</v>
      </c>
      <c r="K1442">
        <v>11.3</v>
      </c>
      <c r="L1442">
        <v>7</v>
      </c>
      <c r="M1442" t="str">
        <f t="shared" si="176"/>
        <v>High</v>
      </c>
      <c r="N1442">
        <f>(winequality_red[[#This Row],[Updated Quality &amp; Alcohol Analysis]]+winequality_red[[#This Row],[volatile acidity]]+winequality_red[[#This Row],[citric acid]])</f>
        <v>7.8900000000000006</v>
      </c>
      <c r="O1442">
        <f t="shared" si="177"/>
        <v>2.3902654867256637E-2</v>
      </c>
      <c r="S1442" t="e">
        <f t="shared" si="178"/>
        <v>#N/A</v>
      </c>
      <c r="T1442" t="e">
        <f t="shared" si="179"/>
        <v>#N/A</v>
      </c>
      <c r="U1442" t="e">
        <f t="shared" si="180"/>
        <v>#N/A</v>
      </c>
      <c r="V1442" t="e">
        <f t="shared" si="181"/>
        <v>#N/A</v>
      </c>
      <c r="W1442">
        <f t="shared" si="182"/>
        <v>11.3</v>
      </c>
      <c r="X1442">
        <f t="shared" si="183"/>
        <v>7</v>
      </c>
    </row>
    <row r="1443" spans="1:24" x14ac:dyDescent="0.3">
      <c r="A1443">
        <v>7.4</v>
      </c>
      <c r="B1443">
        <v>0.78500000000000003</v>
      </c>
      <c r="C1443">
        <v>0.19</v>
      </c>
      <c r="D1443">
        <v>5.2</v>
      </c>
      <c r="E1443">
        <v>9.4E-2</v>
      </c>
      <c r="F1443">
        <v>19</v>
      </c>
      <c r="G1443">
        <v>98</v>
      </c>
      <c r="H1443">
        <v>0.99712999999999996</v>
      </c>
      <c r="I1443">
        <v>3.16</v>
      </c>
      <c r="J1443">
        <v>0.52</v>
      </c>
      <c r="K1443">
        <v>9.56666666666667</v>
      </c>
      <c r="L1443">
        <v>6</v>
      </c>
      <c r="M1443" t="str">
        <f t="shared" si="176"/>
        <v>Medium</v>
      </c>
      <c r="N1443">
        <f>(winequality_red[[#This Row],[Updated Quality &amp; Alcohol Analysis]]+winequality_red[[#This Row],[volatile acidity]]+winequality_red[[#This Row],[citric acid]])</f>
        <v>8.375</v>
      </c>
      <c r="O1443">
        <f t="shared" si="177"/>
        <v>4.2668989547038315E-2</v>
      </c>
      <c r="S1443" t="e">
        <f t="shared" si="178"/>
        <v>#N/A</v>
      </c>
      <c r="T1443" t="e">
        <f t="shared" si="179"/>
        <v>#N/A</v>
      </c>
      <c r="U1443">
        <f t="shared" si="180"/>
        <v>9.56666666666667</v>
      </c>
      <c r="V1443">
        <f t="shared" si="181"/>
        <v>6</v>
      </c>
      <c r="W1443" t="e">
        <f t="shared" si="182"/>
        <v>#N/A</v>
      </c>
      <c r="X1443" t="e">
        <f t="shared" si="183"/>
        <v>#N/A</v>
      </c>
    </row>
    <row r="1444" spans="1:24" x14ac:dyDescent="0.3">
      <c r="A1444">
        <v>6.9</v>
      </c>
      <c r="B1444">
        <v>0.63</v>
      </c>
      <c r="C1444">
        <v>0.02</v>
      </c>
      <c r="D1444">
        <v>1.9</v>
      </c>
      <c r="E1444">
        <v>7.8E-2</v>
      </c>
      <c r="F1444">
        <v>18</v>
      </c>
      <c r="G1444">
        <v>30</v>
      </c>
      <c r="H1444">
        <v>0.99712000000000012</v>
      </c>
      <c r="I1444">
        <v>3.4</v>
      </c>
      <c r="J1444">
        <v>0.75</v>
      </c>
      <c r="K1444">
        <v>9.8000000000000007</v>
      </c>
      <c r="L1444">
        <v>5</v>
      </c>
      <c r="M1444" t="str">
        <f t="shared" si="176"/>
        <v>Medium</v>
      </c>
      <c r="N1444">
        <f>(winequality_red[[#This Row],[Updated Quality &amp; Alcohol Analysis]]+winequality_red[[#This Row],[volatile acidity]]+winequality_red[[#This Row],[citric acid]])</f>
        <v>7.55</v>
      </c>
      <c r="O1444">
        <f t="shared" si="177"/>
        <v>4.8214285714285716E-2</v>
      </c>
      <c r="S1444" t="e">
        <f t="shared" si="178"/>
        <v>#N/A</v>
      </c>
      <c r="T1444" t="e">
        <f t="shared" si="179"/>
        <v>#N/A</v>
      </c>
      <c r="U1444">
        <f t="shared" si="180"/>
        <v>9.8000000000000007</v>
      </c>
      <c r="V1444">
        <f t="shared" si="181"/>
        <v>5</v>
      </c>
      <c r="W1444" t="e">
        <f t="shared" si="182"/>
        <v>#N/A</v>
      </c>
      <c r="X1444" t="e">
        <f t="shared" si="183"/>
        <v>#N/A</v>
      </c>
    </row>
    <row r="1445" spans="1:24" x14ac:dyDescent="0.3">
      <c r="A1445">
        <v>6.9</v>
      </c>
      <c r="B1445">
        <v>0.57999999999999996</v>
      </c>
      <c r="C1445">
        <v>0.2</v>
      </c>
      <c r="D1445">
        <v>1.75</v>
      </c>
      <c r="E1445">
        <v>5.7999999999999996E-2</v>
      </c>
      <c r="F1445">
        <v>8</v>
      </c>
      <c r="G1445">
        <v>22</v>
      </c>
      <c r="H1445">
        <v>0.9932200000000001</v>
      </c>
      <c r="I1445">
        <v>3.38</v>
      </c>
      <c r="J1445">
        <v>0.49</v>
      </c>
      <c r="K1445">
        <v>11.7</v>
      </c>
      <c r="L1445">
        <v>5</v>
      </c>
      <c r="M1445" t="str">
        <f t="shared" si="176"/>
        <v>Medium</v>
      </c>
      <c r="N1445">
        <f>(winequality_red[[#This Row],[Updated Quality &amp; Alcohol Analysis]]+winequality_red[[#This Row],[volatile acidity]]+winequality_red[[#This Row],[citric acid]])</f>
        <v>7.6800000000000006</v>
      </c>
      <c r="O1445">
        <f t="shared" si="177"/>
        <v>2.4290598290598289E-2</v>
      </c>
      <c r="S1445" t="e">
        <f t="shared" si="178"/>
        <v>#N/A</v>
      </c>
      <c r="T1445" t="e">
        <f t="shared" si="179"/>
        <v>#N/A</v>
      </c>
      <c r="U1445">
        <f t="shared" si="180"/>
        <v>11.7</v>
      </c>
      <c r="V1445">
        <f t="shared" si="181"/>
        <v>5</v>
      </c>
      <c r="W1445" t="e">
        <f t="shared" si="182"/>
        <v>#N/A</v>
      </c>
      <c r="X1445" t="e">
        <f t="shared" si="183"/>
        <v>#N/A</v>
      </c>
    </row>
    <row r="1446" spans="1:24" x14ac:dyDescent="0.3">
      <c r="A1446">
        <v>7.3</v>
      </c>
      <c r="B1446">
        <v>0.67</v>
      </c>
      <c r="C1446">
        <v>0.02</v>
      </c>
      <c r="D1446">
        <v>2.2000000000000002</v>
      </c>
      <c r="E1446">
        <v>7.2000000000000008E-2</v>
      </c>
      <c r="F1446">
        <v>31</v>
      </c>
      <c r="G1446">
        <v>92</v>
      </c>
      <c r="H1446">
        <v>0.99565999999999999</v>
      </c>
      <c r="I1446">
        <v>3.32</v>
      </c>
      <c r="J1446">
        <v>0.68</v>
      </c>
      <c r="K1446">
        <v>11.1</v>
      </c>
      <c r="L1446">
        <v>6</v>
      </c>
      <c r="M1446" t="str">
        <f t="shared" si="176"/>
        <v>Medium</v>
      </c>
      <c r="N1446">
        <f>(winequality_red[[#This Row],[Updated Quality &amp; Alcohol Analysis]]+winequality_red[[#This Row],[volatile acidity]]+winequality_red[[#This Row],[citric acid]])</f>
        <v>7.9899999999999993</v>
      </c>
      <c r="O1446">
        <f t="shared" si="177"/>
        <v>4.1045045045045053E-2</v>
      </c>
      <c r="S1446" t="e">
        <f t="shared" si="178"/>
        <v>#N/A</v>
      </c>
      <c r="T1446" t="e">
        <f t="shared" si="179"/>
        <v>#N/A</v>
      </c>
      <c r="U1446">
        <f t="shared" si="180"/>
        <v>11.1</v>
      </c>
      <c r="V1446">
        <f t="shared" si="181"/>
        <v>6</v>
      </c>
      <c r="W1446" t="e">
        <f t="shared" si="182"/>
        <v>#N/A</v>
      </c>
      <c r="X1446" t="e">
        <f t="shared" si="183"/>
        <v>#N/A</v>
      </c>
    </row>
    <row r="1447" spans="1:24" x14ac:dyDescent="0.3">
      <c r="A1447">
        <v>7.4</v>
      </c>
      <c r="B1447">
        <v>0.78500000000000003</v>
      </c>
      <c r="C1447">
        <v>0.19</v>
      </c>
      <c r="D1447">
        <v>5.2</v>
      </c>
      <c r="E1447">
        <v>9.4E-2</v>
      </c>
      <c r="F1447">
        <v>19</v>
      </c>
      <c r="G1447">
        <v>98</v>
      </c>
      <c r="H1447">
        <v>0.99712999999999996</v>
      </c>
      <c r="I1447">
        <v>3.16</v>
      </c>
      <c r="J1447">
        <v>0.52</v>
      </c>
      <c r="K1447">
        <v>9.6</v>
      </c>
      <c r="L1447">
        <v>6</v>
      </c>
      <c r="M1447" t="str">
        <f t="shared" si="176"/>
        <v>Medium</v>
      </c>
      <c r="N1447">
        <f>(winequality_red[[#This Row],[Updated Quality &amp; Alcohol Analysis]]+winequality_red[[#This Row],[volatile acidity]]+winequality_red[[#This Row],[citric acid]])</f>
        <v>8.375</v>
      </c>
      <c r="O1447">
        <f t="shared" si="177"/>
        <v>4.2520833333333334E-2</v>
      </c>
      <c r="S1447" t="e">
        <f t="shared" si="178"/>
        <v>#N/A</v>
      </c>
      <c r="T1447" t="e">
        <f t="shared" si="179"/>
        <v>#N/A</v>
      </c>
      <c r="U1447">
        <f t="shared" si="180"/>
        <v>9.6</v>
      </c>
      <c r="V1447">
        <f t="shared" si="181"/>
        <v>6</v>
      </c>
      <c r="W1447" t="e">
        <f t="shared" si="182"/>
        <v>#N/A</v>
      </c>
      <c r="X1447" t="e">
        <f t="shared" si="183"/>
        <v>#N/A</v>
      </c>
    </row>
    <row r="1448" spans="1:24" x14ac:dyDescent="0.3">
      <c r="A1448">
        <v>6.9</v>
      </c>
      <c r="B1448">
        <v>0.63</v>
      </c>
      <c r="C1448">
        <v>0.02</v>
      </c>
      <c r="D1448">
        <v>1.9</v>
      </c>
      <c r="E1448">
        <v>7.8E-2</v>
      </c>
      <c r="F1448">
        <v>18</v>
      </c>
      <c r="G1448">
        <v>30</v>
      </c>
      <c r="H1448">
        <v>0.99712000000000012</v>
      </c>
      <c r="I1448">
        <v>3.4</v>
      </c>
      <c r="J1448">
        <v>0.75</v>
      </c>
      <c r="K1448">
        <v>9.8000000000000007</v>
      </c>
      <c r="L1448">
        <v>5</v>
      </c>
      <c r="M1448" t="str">
        <f t="shared" si="176"/>
        <v>Medium</v>
      </c>
      <c r="N1448">
        <f>(winequality_red[[#This Row],[Updated Quality &amp; Alcohol Analysis]]+winequality_red[[#This Row],[volatile acidity]]+winequality_red[[#This Row],[citric acid]])</f>
        <v>7.55</v>
      </c>
      <c r="O1448">
        <f t="shared" si="177"/>
        <v>4.8214285714285716E-2</v>
      </c>
      <c r="S1448" t="e">
        <f t="shared" si="178"/>
        <v>#N/A</v>
      </c>
      <c r="T1448" t="e">
        <f t="shared" si="179"/>
        <v>#N/A</v>
      </c>
      <c r="U1448">
        <f t="shared" si="180"/>
        <v>9.8000000000000007</v>
      </c>
      <c r="V1448">
        <f t="shared" si="181"/>
        <v>5</v>
      </c>
      <c r="W1448" t="e">
        <f t="shared" si="182"/>
        <v>#N/A</v>
      </c>
      <c r="X1448" t="e">
        <f t="shared" si="183"/>
        <v>#N/A</v>
      </c>
    </row>
    <row r="1449" spans="1:24" x14ac:dyDescent="0.3">
      <c r="A1449">
        <v>6.8</v>
      </c>
      <c r="B1449">
        <v>0.67</v>
      </c>
      <c r="C1449">
        <v>0</v>
      </c>
      <c r="D1449">
        <v>1.9</v>
      </c>
      <c r="E1449">
        <v>0.08</v>
      </c>
      <c r="F1449">
        <v>22</v>
      </c>
      <c r="G1449">
        <v>39</v>
      </c>
      <c r="H1449">
        <v>0.99701000000000006</v>
      </c>
      <c r="I1449">
        <v>3.4</v>
      </c>
      <c r="J1449">
        <v>0.74</v>
      </c>
      <c r="K1449">
        <v>9.6999999999999993</v>
      </c>
      <c r="L1449">
        <v>5</v>
      </c>
      <c r="M1449" t="str">
        <f t="shared" si="176"/>
        <v>Medium</v>
      </c>
      <c r="N1449">
        <f>(winequality_red[[#This Row],[Updated Quality &amp; Alcohol Analysis]]+winequality_red[[#This Row],[volatile acidity]]+winequality_red[[#This Row],[citric acid]])</f>
        <v>7.47</v>
      </c>
      <c r="O1449">
        <f t="shared" si="177"/>
        <v>5.1113402061855676E-2</v>
      </c>
      <c r="S1449" t="e">
        <f t="shared" si="178"/>
        <v>#N/A</v>
      </c>
      <c r="T1449" t="e">
        <f t="shared" si="179"/>
        <v>#N/A</v>
      </c>
      <c r="U1449">
        <f t="shared" si="180"/>
        <v>9.6999999999999993</v>
      </c>
      <c r="V1449">
        <f t="shared" si="181"/>
        <v>5</v>
      </c>
      <c r="W1449" t="e">
        <f t="shared" si="182"/>
        <v>#N/A</v>
      </c>
      <c r="X1449" t="e">
        <f t="shared" si="183"/>
        <v>#N/A</v>
      </c>
    </row>
    <row r="1450" spans="1:24" x14ac:dyDescent="0.3">
      <c r="A1450">
        <v>6.9</v>
      </c>
      <c r="B1450">
        <v>0.57999999999999996</v>
      </c>
      <c r="C1450">
        <v>0.01</v>
      </c>
      <c r="D1450">
        <v>1.9</v>
      </c>
      <c r="E1450">
        <v>0.08</v>
      </c>
      <c r="F1450">
        <v>40</v>
      </c>
      <c r="G1450">
        <v>54</v>
      </c>
      <c r="H1450">
        <v>0.99682999999999988</v>
      </c>
      <c r="I1450">
        <v>3.4</v>
      </c>
      <c r="J1450">
        <v>0.73</v>
      </c>
      <c r="K1450">
        <v>9.6999999999999993</v>
      </c>
      <c r="L1450">
        <v>5</v>
      </c>
      <c r="M1450" t="str">
        <f t="shared" si="176"/>
        <v>Medium</v>
      </c>
      <c r="N1450">
        <f>(winequality_red[[#This Row],[Updated Quality &amp; Alcohol Analysis]]+winequality_red[[#This Row],[volatile acidity]]+winequality_red[[#This Row],[citric acid]])</f>
        <v>7.49</v>
      </c>
      <c r="O1450">
        <f t="shared" si="177"/>
        <v>4.3649484536082472E-2</v>
      </c>
      <c r="S1450" t="e">
        <f t="shared" si="178"/>
        <v>#N/A</v>
      </c>
      <c r="T1450" t="e">
        <f t="shared" si="179"/>
        <v>#N/A</v>
      </c>
      <c r="U1450">
        <f t="shared" si="180"/>
        <v>9.6999999999999993</v>
      </c>
      <c r="V1450">
        <f t="shared" si="181"/>
        <v>5</v>
      </c>
      <c r="W1450" t="e">
        <f t="shared" si="182"/>
        <v>#N/A</v>
      </c>
      <c r="X1450" t="e">
        <f t="shared" si="183"/>
        <v>#N/A</v>
      </c>
    </row>
    <row r="1451" spans="1:24" x14ac:dyDescent="0.3">
      <c r="A1451">
        <v>7.2</v>
      </c>
      <c r="B1451">
        <v>0.38</v>
      </c>
      <c r="C1451">
        <v>0.31</v>
      </c>
      <c r="D1451">
        <v>2</v>
      </c>
      <c r="E1451">
        <v>5.5999999999999994E-2</v>
      </c>
      <c r="F1451">
        <v>15</v>
      </c>
      <c r="G1451">
        <v>29</v>
      </c>
      <c r="H1451">
        <v>0.99472000000000005</v>
      </c>
      <c r="I1451">
        <v>3.23</v>
      </c>
      <c r="J1451">
        <v>0.76</v>
      </c>
      <c r="K1451">
        <v>11.3</v>
      </c>
      <c r="L1451">
        <v>8</v>
      </c>
      <c r="M1451" t="str">
        <f t="shared" si="176"/>
        <v>High</v>
      </c>
      <c r="N1451">
        <f>(winequality_red[[#This Row],[Updated Quality &amp; Alcohol Analysis]]+winequality_red[[#This Row],[volatile acidity]]+winequality_red[[#This Row],[citric acid]])</f>
        <v>7.89</v>
      </c>
      <c r="O1451">
        <f t="shared" si="177"/>
        <v>2.5557522123893804E-2</v>
      </c>
      <c r="S1451" t="e">
        <f t="shared" si="178"/>
        <v>#N/A</v>
      </c>
      <c r="T1451" t="e">
        <f t="shared" si="179"/>
        <v>#N/A</v>
      </c>
      <c r="U1451" t="e">
        <f t="shared" si="180"/>
        <v>#N/A</v>
      </c>
      <c r="V1451" t="e">
        <f t="shared" si="181"/>
        <v>#N/A</v>
      </c>
      <c r="W1451">
        <f t="shared" si="182"/>
        <v>11.3</v>
      </c>
      <c r="X1451">
        <f t="shared" si="183"/>
        <v>8</v>
      </c>
    </row>
    <row r="1452" spans="1:24" x14ac:dyDescent="0.3">
      <c r="A1452">
        <v>7.2</v>
      </c>
      <c r="B1452">
        <v>0.37</v>
      </c>
      <c r="C1452">
        <v>0.32</v>
      </c>
      <c r="D1452">
        <v>2</v>
      </c>
      <c r="E1452">
        <v>6.2E-2</v>
      </c>
      <c r="F1452">
        <v>15</v>
      </c>
      <c r="G1452">
        <v>28</v>
      </c>
      <c r="H1452">
        <v>0.99470000000000003</v>
      </c>
      <c r="I1452">
        <v>3.23</v>
      </c>
      <c r="J1452">
        <v>0.73</v>
      </c>
      <c r="K1452">
        <v>11.3</v>
      </c>
      <c r="L1452">
        <v>7</v>
      </c>
      <c r="M1452" t="str">
        <f t="shared" si="176"/>
        <v>High</v>
      </c>
      <c r="N1452">
        <f>(winequality_red[[#This Row],[Updated Quality &amp; Alcohol Analysis]]+winequality_red[[#This Row],[volatile acidity]]+winequality_red[[#This Row],[citric acid]])</f>
        <v>7.8900000000000006</v>
      </c>
      <c r="O1452">
        <f t="shared" si="177"/>
        <v>2.3902654867256637E-2</v>
      </c>
      <c r="S1452" t="e">
        <f t="shared" si="178"/>
        <v>#N/A</v>
      </c>
      <c r="T1452" t="e">
        <f t="shared" si="179"/>
        <v>#N/A</v>
      </c>
      <c r="U1452" t="e">
        <f t="shared" si="180"/>
        <v>#N/A</v>
      </c>
      <c r="V1452" t="e">
        <f t="shared" si="181"/>
        <v>#N/A</v>
      </c>
      <c r="W1452">
        <f t="shared" si="182"/>
        <v>11.3</v>
      </c>
      <c r="X1452">
        <f t="shared" si="183"/>
        <v>7</v>
      </c>
    </row>
    <row r="1453" spans="1:24" x14ac:dyDescent="0.3">
      <c r="A1453">
        <v>7.8</v>
      </c>
      <c r="B1453">
        <v>0.32</v>
      </c>
      <c r="C1453">
        <v>0.44</v>
      </c>
      <c r="D1453">
        <v>2.7</v>
      </c>
      <c r="E1453">
        <v>0.10400000000000001</v>
      </c>
      <c r="F1453">
        <v>8</v>
      </c>
      <c r="G1453">
        <v>17</v>
      </c>
      <c r="H1453">
        <v>0.9973200000000001</v>
      </c>
      <c r="I1453">
        <v>3.33</v>
      </c>
      <c r="J1453">
        <v>0.78</v>
      </c>
      <c r="K1453">
        <v>11</v>
      </c>
      <c r="L1453">
        <v>7</v>
      </c>
      <c r="M1453" t="str">
        <f t="shared" si="176"/>
        <v>High</v>
      </c>
      <c r="N1453">
        <f>(winequality_red[[#This Row],[Updated Quality &amp; Alcohol Analysis]]+winequality_red[[#This Row],[volatile acidity]]+winequality_red[[#This Row],[citric acid]])</f>
        <v>8.5599999999999987</v>
      </c>
      <c r="O1453">
        <f t="shared" si="177"/>
        <v>2.2690909090909091E-2</v>
      </c>
      <c r="S1453" t="e">
        <f t="shared" si="178"/>
        <v>#N/A</v>
      </c>
      <c r="T1453" t="e">
        <f t="shared" si="179"/>
        <v>#N/A</v>
      </c>
      <c r="U1453" t="e">
        <f t="shared" si="180"/>
        <v>#N/A</v>
      </c>
      <c r="V1453" t="e">
        <f t="shared" si="181"/>
        <v>#N/A</v>
      </c>
      <c r="W1453">
        <f t="shared" si="182"/>
        <v>11</v>
      </c>
      <c r="X1453">
        <f t="shared" si="183"/>
        <v>7</v>
      </c>
    </row>
    <row r="1454" spans="1:24" x14ac:dyDescent="0.3">
      <c r="A1454">
        <v>6.6</v>
      </c>
      <c r="B1454">
        <v>0.57999999999999996</v>
      </c>
      <c r="C1454">
        <v>0.02</v>
      </c>
      <c r="D1454">
        <v>2</v>
      </c>
      <c r="E1454">
        <v>6.2E-2</v>
      </c>
      <c r="F1454">
        <v>37</v>
      </c>
      <c r="G1454">
        <v>53</v>
      </c>
      <c r="H1454">
        <v>0.99373999999999996</v>
      </c>
      <c r="I1454">
        <v>3.35</v>
      </c>
      <c r="J1454">
        <v>0.76</v>
      </c>
      <c r="K1454">
        <v>11.6</v>
      </c>
      <c r="L1454">
        <v>7</v>
      </c>
      <c r="M1454" t="str">
        <f t="shared" si="176"/>
        <v>High</v>
      </c>
      <c r="N1454">
        <f>(winequality_red[[#This Row],[Updated Quality &amp; Alcohol Analysis]]+winequality_red[[#This Row],[volatile acidity]]+winequality_red[[#This Row],[citric acid]])</f>
        <v>7.1999999999999993</v>
      </c>
      <c r="O1454">
        <f t="shared" si="177"/>
        <v>3.7999999999999999E-2</v>
      </c>
      <c r="S1454" t="e">
        <f t="shared" si="178"/>
        <v>#N/A</v>
      </c>
      <c r="T1454" t="e">
        <f t="shared" si="179"/>
        <v>#N/A</v>
      </c>
      <c r="U1454" t="e">
        <f t="shared" si="180"/>
        <v>#N/A</v>
      </c>
      <c r="V1454" t="e">
        <f t="shared" si="181"/>
        <v>#N/A</v>
      </c>
      <c r="W1454">
        <f t="shared" si="182"/>
        <v>11.6</v>
      </c>
      <c r="X1454">
        <f t="shared" si="183"/>
        <v>7</v>
      </c>
    </row>
    <row r="1455" spans="1:24" x14ac:dyDescent="0.3">
      <c r="A1455">
        <v>7.6</v>
      </c>
      <c r="B1455">
        <v>0.49</v>
      </c>
      <c r="C1455">
        <v>0.33</v>
      </c>
      <c r="D1455">
        <v>1.9</v>
      </c>
      <c r="E1455">
        <v>7.400000000000001E-2</v>
      </c>
      <c r="F1455">
        <v>27</v>
      </c>
      <c r="G1455">
        <v>85</v>
      </c>
      <c r="H1455">
        <v>0.99706000000000006</v>
      </c>
      <c r="I1455">
        <v>3.41</v>
      </c>
      <c r="J1455">
        <v>0.57999999999999996</v>
      </c>
      <c r="K1455">
        <v>9</v>
      </c>
      <c r="L1455">
        <v>5</v>
      </c>
      <c r="M1455" t="str">
        <f t="shared" si="176"/>
        <v>Medium</v>
      </c>
      <c r="N1455">
        <f>(winequality_red[[#This Row],[Updated Quality &amp; Alcohol Analysis]]+winequality_red[[#This Row],[volatile acidity]]+winequality_red[[#This Row],[citric acid]])</f>
        <v>8.42</v>
      </c>
      <c r="O1455">
        <f t="shared" si="177"/>
        <v>3.1577777777777774E-2</v>
      </c>
      <c r="S1455" t="e">
        <f t="shared" si="178"/>
        <v>#N/A</v>
      </c>
      <c r="T1455" t="e">
        <f t="shared" si="179"/>
        <v>#N/A</v>
      </c>
      <c r="U1455">
        <f t="shared" si="180"/>
        <v>9</v>
      </c>
      <c r="V1455">
        <f t="shared" si="181"/>
        <v>5</v>
      </c>
      <c r="W1455" t="e">
        <f t="shared" si="182"/>
        <v>#N/A</v>
      </c>
      <c r="X1455" t="e">
        <f t="shared" si="183"/>
        <v>#N/A</v>
      </c>
    </row>
    <row r="1456" spans="1:24" x14ac:dyDescent="0.3">
      <c r="A1456">
        <v>11.7</v>
      </c>
      <c r="B1456">
        <v>0.45</v>
      </c>
      <c r="C1456">
        <v>0.63</v>
      </c>
      <c r="D1456">
        <v>2.2000000000000002</v>
      </c>
      <c r="E1456">
        <v>7.2999999999999995E-2</v>
      </c>
      <c r="F1456">
        <v>7</v>
      </c>
      <c r="G1456">
        <v>23</v>
      </c>
      <c r="H1456">
        <v>0.99973999999999996</v>
      </c>
      <c r="I1456">
        <v>3.21</v>
      </c>
      <c r="J1456">
        <v>0.69</v>
      </c>
      <c r="K1456">
        <v>10.9</v>
      </c>
      <c r="L1456">
        <v>6</v>
      </c>
      <c r="M1456" t="str">
        <f t="shared" si="176"/>
        <v>Medium</v>
      </c>
      <c r="N1456">
        <f>(winequality_red[[#This Row],[Updated Quality &amp; Alcohol Analysis]]+winequality_red[[#This Row],[volatile acidity]]+winequality_red[[#This Row],[citric acid]])</f>
        <v>12.78</v>
      </c>
      <c r="O1456">
        <f t="shared" si="177"/>
        <v>2.8486238532110089E-2</v>
      </c>
      <c r="S1456" t="e">
        <f t="shared" si="178"/>
        <v>#N/A</v>
      </c>
      <c r="T1456" t="e">
        <f t="shared" si="179"/>
        <v>#N/A</v>
      </c>
      <c r="U1456">
        <f t="shared" si="180"/>
        <v>10.9</v>
      </c>
      <c r="V1456">
        <f t="shared" si="181"/>
        <v>6</v>
      </c>
      <c r="W1456" t="e">
        <f t="shared" si="182"/>
        <v>#N/A</v>
      </c>
      <c r="X1456" t="e">
        <f t="shared" si="183"/>
        <v>#N/A</v>
      </c>
    </row>
    <row r="1457" spans="1:24" x14ac:dyDescent="0.3">
      <c r="A1457">
        <v>6.5</v>
      </c>
      <c r="B1457">
        <v>0.9</v>
      </c>
      <c r="C1457">
        <v>0</v>
      </c>
      <c r="D1457">
        <v>1.6</v>
      </c>
      <c r="E1457">
        <v>5.2000000000000005E-2</v>
      </c>
      <c r="F1457">
        <v>9</v>
      </c>
      <c r="G1457">
        <v>17</v>
      </c>
      <c r="H1457">
        <v>0.99467000000000005</v>
      </c>
      <c r="I1457">
        <v>3.5</v>
      </c>
      <c r="J1457">
        <v>0.63</v>
      </c>
      <c r="K1457">
        <v>10.9</v>
      </c>
      <c r="L1457">
        <v>6</v>
      </c>
      <c r="M1457" t="str">
        <f t="shared" si="176"/>
        <v>Medium</v>
      </c>
      <c r="N1457">
        <f>(winequality_red[[#This Row],[Updated Quality &amp; Alcohol Analysis]]+winequality_red[[#This Row],[volatile acidity]]+winequality_red[[#This Row],[citric acid]])</f>
        <v>7.4</v>
      </c>
      <c r="O1457">
        <f t="shared" si="177"/>
        <v>5.2018348623853218E-2</v>
      </c>
      <c r="S1457" t="e">
        <f t="shared" si="178"/>
        <v>#N/A</v>
      </c>
      <c r="T1457" t="e">
        <f t="shared" si="179"/>
        <v>#N/A</v>
      </c>
      <c r="U1457">
        <f t="shared" si="180"/>
        <v>10.9</v>
      </c>
      <c r="V1457">
        <f t="shared" si="181"/>
        <v>6</v>
      </c>
      <c r="W1457" t="e">
        <f t="shared" si="182"/>
        <v>#N/A</v>
      </c>
      <c r="X1457" t="e">
        <f t="shared" si="183"/>
        <v>#N/A</v>
      </c>
    </row>
    <row r="1458" spans="1:24" x14ac:dyDescent="0.3">
      <c r="A1458">
        <v>6</v>
      </c>
      <c r="B1458">
        <v>0.54</v>
      </c>
      <c r="C1458">
        <v>0.06</v>
      </c>
      <c r="D1458">
        <v>1.8</v>
      </c>
      <c r="E1458">
        <v>0.05</v>
      </c>
      <c r="F1458">
        <v>38</v>
      </c>
      <c r="G1458">
        <v>89</v>
      </c>
      <c r="H1458">
        <v>0.99236000000000002</v>
      </c>
      <c r="I1458">
        <v>3.3</v>
      </c>
      <c r="J1458">
        <v>0.5</v>
      </c>
      <c r="K1458">
        <v>10.55</v>
      </c>
      <c r="L1458">
        <v>6</v>
      </c>
      <c r="M1458" t="str">
        <f t="shared" si="176"/>
        <v>Medium</v>
      </c>
      <c r="N1458">
        <f>(winequality_red[[#This Row],[Updated Quality &amp; Alcohol Analysis]]+winequality_red[[#This Row],[volatile acidity]]+winequality_red[[#This Row],[citric acid]])</f>
        <v>6.6</v>
      </c>
      <c r="O1458">
        <f t="shared" si="177"/>
        <v>2.5592417061611375E-2</v>
      </c>
      <c r="S1458" t="e">
        <f t="shared" si="178"/>
        <v>#N/A</v>
      </c>
      <c r="T1458" t="e">
        <f t="shared" si="179"/>
        <v>#N/A</v>
      </c>
      <c r="U1458">
        <f t="shared" si="180"/>
        <v>10.55</v>
      </c>
      <c r="V1458">
        <f t="shared" si="181"/>
        <v>6</v>
      </c>
      <c r="W1458" t="e">
        <f t="shared" si="182"/>
        <v>#N/A</v>
      </c>
      <c r="X1458" t="e">
        <f t="shared" si="183"/>
        <v>#N/A</v>
      </c>
    </row>
    <row r="1459" spans="1:24" x14ac:dyDescent="0.3">
      <c r="A1459">
        <v>7.6</v>
      </c>
      <c r="B1459">
        <v>0.49</v>
      </c>
      <c r="C1459">
        <v>0.33</v>
      </c>
      <c r="D1459">
        <v>1.9</v>
      </c>
      <c r="E1459">
        <v>7.400000000000001E-2</v>
      </c>
      <c r="F1459">
        <v>27</v>
      </c>
      <c r="G1459">
        <v>85</v>
      </c>
      <c r="H1459">
        <v>0.99706000000000006</v>
      </c>
      <c r="I1459">
        <v>3.41</v>
      </c>
      <c r="J1459">
        <v>0.57999999999999996</v>
      </c>
      <c r="K1459">
        <v>9</v>
      </c>
      <c r="L1459">
        <v>5</v>
      </c>
      <c r="M1459" t="str">
        <f t="shared" si="176"/>
        <v>Medium</v>
      </c>
      <c r="N1459">
        <f>(winequality_red[[#This Row],[Updated Quality &amp; Alcohol Analysis]]+winequality_red[[#This Row],[volatile acidity]]+winequality_red[[#This Row],[citric acid]])</f>
        <v>8.42</v>
      </c>
      <c r="O1459">
        <f t="shared" si="177"/>
        <v>3.1577777777777774E-2</v>
      </c>
      <c r="S1459" t="e">
        <f t="shared" si="178"/>
        <v>#N/A</v>
      </c>
      <c r="T1459" t="e">
        <f t="shared" si="179"/>
        <v>#N/A</v>
      </c>
      <c r="U1459">
        <f t="shared" si="180"/>
        <v>9</v>
      </c>
      <c r="V1459">
        <f t="shared" si="181"/>
        <v>5</v>
      </c>
      <c r="W1459" t="e">
        <f t="shared" si="182"/>
        <v>#N/A</v>
      </c>
      <c r="X1459" t="e">
        <f t="shared" si="183"/>
        <v>#N/A</v>
      </c>
    </row>
    <row r="1460" spans="1:24" x14ac:dyDescent="0.3">
      <c r="A1460">
        <v>8.4</v>
      </c>
      <c r="B1460">
        <v>0.28999999999999998</v>
      </c>
      <c r="C1460">
        <v>0.4</v>
      </c>
      <c r="D1460">
        <v>1.7</v>
      </c>
      <c r="E1460">
        <v>6.7000000000000004E-2</v>
      </c>
      <c r="F1460">
        <v>8</v>
      </c>
      <c r="G1460">
        <v>20</v>
      </c>
      <c r="H1460">
        <v>0.99602999999999997</v>
      </c>
      <c r="I1460">
        <v>3.39</v>
      </c>
      <c r="J1460">
        <v>0.6</v>
      </c>
      <c r="K1460">
        <v>10.5</v>
      </c>
      <c r="L1460">
        <v>5</v>
      </c>
      <c r="M1460" t="str">
        <f t="shared" si="176"/>
        <v>Medium</v>
      </c>
      <c r="N1460">
        <f>(winequality_red[[#This Row],[Updated Quality &amp; Alcohol Analysis]]+winequality_red[[#This Row],[volatile acidity]]+winequality_red[[#This Row],[citric acid]])</f>
        <v>9.09</v>
      </c>
      <c r="O1460">
        <f t="shared" si="177"/>
        <v>1.657142857142857E-2</v>
      </c>
      <c r="S1460" t="e">
        <f t="shared" si="178"/>
        <v>#N/A</v>
      </c>
      <c r="T1460" t="e">
        <f t="shared" si="179"/>
        <v>#N/A</v>
      </c>
      <c r="U1460">
        <f t="shared" si="180"/>
        <v>10.5</v>
      </c>
      <c r="V1460">
        <f t="shared" si="181"/>
        <v>5</v>
      </c>
      <c r="W1460" t="e">
        <f t="shared" si="182"/>
        <v>#N/A</v>
      </c>
      <c r="X1460" t="e">
        <f t="shared" si="183"/>
        <v>#N/A</v>
      </c>
    </row>
    <row r="1461" spans="1:24" x14ac:dyDescent="0.3">
      <c r="A1461">
        <v>7.9</v>
      </c>
      <c r="B1461">
        <v>0.2</v>
      </c>
      <c r="C1461">
        <v>0.35</v>
      </c>
      <c r="D1461">
        <v>1.7</v>
      </c>
      <c r="E1461">
        <v>5.4000000000000006E-2</v>
      </c>
      <c r="F1461">
        <v>7</v>
      </c>
      <c r="G1461">
        <v>15</v>
      </c>
      <c r="H1461">
        <v>0.99457999999999991</v>
      </c>
      <c r="I1461">
        <v>3.32</v>
      </c>
      <c r="J1461">
        <v>0.8</v>
      </c>
      <c r="K1461">
        <v>11.9</v>
      </c>
      <c r="L1461">
        <v>7</v>
      </c>
      <c r="M1461" t="str">
        <f t="shared" si="176"/>
        <v>High</v>
      </c>
      <c r="N1461">
        <f>(winequality_red[[#This Row],[Updated Quality &amp; Alcohol Analysis]]+winequality_red[[#This Row],[volatile acidity]]+winequality_red[[#This Row],[citric acid]])</f>
        <v>8.4499999999999993</v>
      </c>
      <c r="O1461">
        <f t="shared" si="177"/>
        <v>1.3445378151260507E-2</v>
      </c>
      <c r="S1461" t="e">
        <f t="shared" si="178"/>
        <v>#N/A</v>
      </c>
      <c r="T1461" t="e">
        <f t="shared" si="179"/>
        <v>#N/A</v>
      </c>
      <c r="U1461" t="e">
        <f t="shared" si="180"/>
        <v>#N/A</v>
      </c>
      <c r="V1461" t="e">
        <f t="shared" si="181"/>
        <v>#N/A</v>
      </c>
      <c r="W1461">
        <f t="shared" si="182"/>
        <v>11.9</v>
      </c>
      <c r="X1461">
        <f t="shared" si="183"/>
        <v>7</v>
      </c>
    </row>
    <row r="1462" spans="1:24" x14ac:dyDescent="0.3">
      <c r="A1462">
        <v>6.4</v>
      </c>
      <c r="B1462">
        <v>0.42</v>
      </c>
      <c r="C1462">
        <v>0.09</v>
      </c>
      <c r="D1462">
        <v>2.2999999999999998</v>
      </c>
      <c r="E1462">
        <v>5.4000000000000006E-2</v>
      </c>
      <c r="F1462">
        <v>34</v>
      </c>
      <c r="G1462">
        <v>64</v>
      </c>
      <c r="H1462">
        <v>0.99724000000000002</v>
      </c>
      <c r="I1462">
        <v>3.41</v>
      </c>
      <c r="J1462">
        <v>0.68</v>
      </c>
      <c r="K1462">
        <v>10.4</v>
      </c>
      <c r="L1462">
        <v>6</v>
      </c>
      <c r="M1462" t="str">
        <f t="shared" si="176"/>
        <v>Medium</v>
      </c>
      <c r="N1462">
        <f>(winequality_red[[#This Row],[Updated Quality &amp; Alcohol Analysis]]+winequality_red[[#This Row],[volatile acidity]]+winequality_red[[#This Row],[citric acid]])</f>
        <v>6.91</v>
      </c>
      <c r="O1462">
        <f t="shared" si="177"/>
        <v>2.7461538461538461E-2</v>
      </c>
      <c r="S1462" t="e">
        <f t="shared" si="178"/>
        <v>#N/A</v>
      </c>
      <c r="T1462" t="e">
        <f t="shared" si="179"/>
        <v>#N/A</v>
      </c>
      <c r="U1462">
        <f t="shared" si="180"/>
        <v>10.4</v>
      </c>
      <c r="V1462">
        <f t="shared" si="181"/>
        <v>6</v>
      </c>
      <c r="W1462" t="e">
        <f t="shared" si="182"/>
        <v>#N/A</v>
      </c>
      <c r="X1462" t="e">
        <f t="shared" si="183"/>
        <v>#N/A</v>
      </c>
    </row>
    <row r="1463" spans="1:24" x14ac:dyDescent="0.3">
      <c r="A1463">
        <v>6.2</v>
      </c>
      <c r="B1463">
        <v>0.78500000000000003</v>
      </c>
      <c r="C1463">
        <v>0</v>
      </c>
      <c r="D1463">
        <v>2.1</v>
      </c>
      <c r="E1463">
        <v>0.06</v>
      </c>
      <c r="F1463">
        <v>6</v>
      </c>
      <c r="G1463">
        <v>13</v>
      </c>
      <c r="H1463">
        <v>0.99663999999999997</v>
      </c>
      <c r="I1463">
        <v>3.59</v>
      </c>
      <c r="J1463">
        <v>0.61</v>
      </c>
      <c r="K1463">
        <v>10</v>
      </c>
      <c r="L1463">
        <v>4</v>
      </c>
      <c r="M1463" t="str">
        <f t="shared" si="176"/>
        <v>Low</v>
      </c>
      <c r="N1463">
        <f>(winequality_red[[#This Row],[Updated Quality &amp; Alcohol Analysis]]+winequality_red[[#This Row],[volatile acidity]]+winequality_red[[#This Row],[citric acid]])</f>
        <v>6.9850000000000003</v>
      </c>
      <c r="O1463">
        <f t="shared" si="177"/>
        <v>4.7884999999999997E-2</v>
      </c>
      <c r="S1463">
        <f t="shared" si="178"/>
        <v>10</v>
      </c>
      <c r="T1463">
        <f t="shared" si="179"/>
        <v>4</v>
      </c>
      <c r="U1463" t="e">
        <f t="shared" si="180"/>
        <v>#N/A</v>
      </c>
      <c r="V1463" t="e">
        <f t="shared" si="181"/>
        <v>#N/A</v>
      </c>
      <c r="W1463" t="e">
        <f t="shared" si="182"/>
        <v>#N/A</v>
      </c>
      <c r="X1463" t="e">
        <f t="shared" si="183"/>
        <v>#N/A</v>
      </c>
    </row>
    <row r="1464" spans="1:24" x14ac:dyDescent="0.3">
      <c r="A1464">
        <v>6.8</v>
      </c>
      <c r="B1464">
        <v>0.64</v>
      </c>
      <c r="C1464">
        <v>0.03</v>
      </c>
      <c r="D1464">
        <v>2.2999999999999998</v>
      </c>
      <c r="E1464">
        <v>7.4999999999999997E-2</v>
      </c>
      <c r="F1464">
        <v>14</v>
      </c>
      <c r="G1464">
        <v>31</v>
      </c>
      <c r="H1464">
        <v>0.99544999999999995</v>
      </c>
      <c r="I1464">
        <v>3.36</v>
      </c>
      <c r="J1464">
        <v>0.57999999999999996</v>
      </c>
      <c r="K1464">
        <v>10.4</v>
      </c>
      <c r="L1464">
        <v>6</v>
      </c>
      <c r="M1464" t="str">
        <f t="shared" si="176"/>
        <v>Medium</v>
      </c>
      <c r="N1464">
        <f>(winequality_red[[#This Row],[Updated Quality &amp; Alcohol Analysis]]+winequality_red[[#This Row],[volatile acidity]]+winequality_red[[#This Row],[citric acid]])</f>
        <v>7.47</v>
      </c>
      <c r="O1464">
        <f t="shared" si="177"/>
        <v>3.569230769230769E-2</v>
      </c>
      <c r="S1464" t="e">
        <f t="shared" si="178"/>
        <v>#N/A</v>
      </c>
      <c r="T1464" t="e">
        <f t="shared" si="179"/>
        <v>#N/A</v>
      </c>
      <c r="U1464">
        <f t="shared" si="180"/>
        <v>10.4</v>
      </c>
      <c r="V1464">
        <f t="shared" si="181"/>
        <v>6</v>
      </c>
      <c r="W1464" t="e">
        <f t="shared" si="182"/>
        <v>#N/A</v>
      </c>
      <c r="X1464" t="e">
        <f t="shared" si="183"/>
        <v>#N/A</v>
      </c>
    </row>
    <row r="1465" spans="1:24" x14ac:dyDescent="0.3">
      <c r="A1465">
        <v>6.9</v>
      </c>
      <c r="B1465">
        <v>0.63</v>
      </c>
      <c r="C1465">
        <v>0.01</v>
      </c>
      <c r="D1465">
        <v>2.4</v>
      </c>
      <c r="E1465">
        <v>7.5999999999999998E-2</v>
      </c>
      <c r="F1465">
        <v>14</v>
      </c>
      <c r="G1465">
        <v>39</v>
      </c>
      <c r="H1465">
        <v>0.9952200000000001</v>
      </c>
      <c r="I1465">
        <v>3.34</v>
      </c>
      <c r="J1465">
        <v>0.53</v>
      </c>
      <c r="K1465">
        <v>10.8</v>
      </c>
      <c r="L1465">
        <v>6</v>
      </c>
      <c r="M1465" t="str">
        <f t="shared" si="176"/>
        <v>Medium</v>
      </c>
      <c r="N1465">
        <f>(winequality_red[[#This Row],[Updated Quality &amp; Alcohol Analysis]]+winequality_red[[#This Row],[volatile acidity]]+winequality_red[[#This Row],[citric acid]])</f>
        <v>7.54</v>
      </c>
      <c r="O1465">
        <f t="shared" si="177"/>
        <v>3.0916666666666669E-2</v>
      </c>
      <c r="S1465" t="e">
        <f t="shared" si="178"/>
        <v>#N/A</v>
      </c>
      <c r="T1465" t="e">
        <f t="shared" si="179"/>
        <v>#N/A</v>
      </c>
      <c r="U1465">
        <f t="shared" si="180"/>
        <v>10.8</v>
      </c>
      <c r="V1465">
        <f t="shared" si="181"/>
        <v>6</v>
      </c>
      <c r="W1465" t="e">
        <f t="shared" si="182"/>
        <v>#N/A</v>
      </c>
      <c r="X1465" t="e">
        <f t="shared" si="183"/>
        <v>#N/A</v>
      </c>
    </row>
    <row r="1466" spans="1:24" x14ac:dyDescent="0.3">
      <c r="A1466">
        <v>6.8</v>
      </c>
      <c r="B1466">
        <v>0.59</v>
      </c>
      <c r="C1466">
        <v>0.1</v>
      </c>
      <c r="D1466">
        <v>1.7</v>
      </c>
      <c r="E1466">
        <v>6.3E-2</v>
      </c>
      <c r="F1466">
        <v>34</v>
      </c>
      <c r="G1466">
        <v>53</v>
      </c>
      <c r="H1466">
        <v>0.99580000000000002</v>
      </c>
      <c r="I1466">
        <v>3.41</v>
      </c>
      <c r="J1466">
        <v>0.67</v>
      </c>
      <c r="K1466">
        <v>9.6999999999999993</v>
      </c>
      <c r="L1466">
        <v>5</v>
      </c>
      <c r="M1466" t="str">
        <f t="shared" si="176"/>
        <v>Medium</v>
      </c>
      <c r="N1466">
        <f>(winequality_red[[#This Row],[Updated Quality &amp; Alcohol Analysis]]+winequality_red[[#This Row],[volatile acidity]]+winequality_red[[#This Row],[citric acid]])</f>
        <v>7.4899999999999993</v>
      </c>
      <c r="O1466">
        <f t="shared" si="177"/>
        <v>4.0752577319587632E-2</v>
      </c>
      <c r="S1466" t="e">
        <f t="shared" si="178"/>
        <v>#N/A</v>
      </c>
      <c r="T1466" t="e">
        <f t="shared" si="179"/>
        <v>#N/A</v>
      </c>
      <c r="U1466">
        <f t="shared" si="180"/>
        <v>9.6999999999999993</v>
      </c>
      <c r="V1466">
        <f t="shared" si="181"/>
        <v>5</v>
      </c>
      <c r="W1466" t="e">
        <f t="shared" si="182"/>
        <v>#N/A</v>
      </c>
      <c r="X1466" t="e">
        <f t="shared" si="183"/>
        <v>#N/A</v>
      </c>
    </row>
    <row r="1467" spans="1:24" x14ac:dyDescent="0.3">
      <c r="A1467">
        <v>6.8</v>
      </c>
      <c r="B1467">
        <v>0.59</v>
      </c>
      <c r="C1467">
        <v>0.1</v>
      </c>
      <c r="D1467">
        <v>1.7</v>
      </c>
      <c r="E1467">
        <v>6.3E-2</v>
      </c>
      <c r="F1467">
        <v>34</v>
      </c>
      <c r="G1467">
        <v>53</v>
      </c>
      <c r="H1467">
        <v>0.99580000000000002</v>
      </c>
      <c r="I1467">
        <v>3.41</v>
      </c>
      <c r="J1467">
        <v>0.67</v>
      </c>
      <c r="K1467">
        <v>9.6999999999999993</v>
      </c>
      <c r="L1467">
        <v>5</v>
      </c>
      <c r="M1467" t="str">
        <f t="shared" si="176"/>
        <v>Medium</v>
      </c>
      <c r="N1467">
        <f>(winequality_red[[#This Row],[Updated Quality &amp; Alcohol Analysis]]+winequality_red[[#This Row],[volatile acidity]]+winequality_red[[#This Row],[citric acid]])</f>
        <v>7.4899999999999993</v>
      </c>
      <c r="O1467">
        <f t="shared" si="177"/>
        <v>4.0752577319587632E-2</v>
      </c>
      <c r="S1467" t="e">
        <f t="shared" si="178"/>
        <v>#N/A</v>
      </c>
      <c r="T1467" t="e">
        <f t="shared" si="179"/>
        <v>#N/A</v>
      </c>
      <c r="U1467">
        <f t="shared" si="180"/>
        <v>9.6999999999999993</v>
      </c>
      <c r="V1467">
        <f t="shared" si="181"/>
        <v>5</v>
      </c>
      <c r="W1467" t="e">
        <f t="shared" si="182"/>
        <v>#N/A</v>
      </c>
      <c r="X1467" t="e">
        <f t="shared" si="183"/>
        <v>#N/A</v>
      </c>
    </row>
    <row r="1468" spans="1:24" x14ac:dyDescent="0.3">
      <c r="A1468">
        <v>7.3</v>
      </c>
      <c r="B1468">
        <v>0.48</v>
      </c>
      <c r="C1468">
        <v>0.32</v>
      </c>
      <c r="D1468">
        <v>2.1</v>
      </c>
      <c r="E1468">
        <v>6.2E-2</v>
      </c>
      <c r="F1468">
        <v>31</v>
      </c>
      <c r="G1468">
        <v>54</v>
      </c>
      <c r="H1468">
        <v>0.99727999999999994</v>
      </c>
      <c r="I1468">
        <v>3.3</v>
      </c>
      <c r="J1468">
        <v>0.65</v>
      </c>
      <c r="K1468">
        <v>10</v>
      </c>
      <c r="L1468">
        <v>7</v>
      </c>
      <c r="M1468" t="str">
        <f t="shared" si="176"/>
        <v>High</v>
      </c>
      <c r="N1468">
        <f>(winequality_red[[#This Row],[Updated Quality &amp; Alcohol Analysis]]+winequality_red[[#This Row],[volatile acidity]]+winequality_red[[#This Row],[citric acid]])</f>
        <v>8.1</v>
      </c>
      <c r="O1468">
        <f t="shared" si="177"/>
        <v>3.1199999999999999E-2</v>
      </c>
      <c r="S1468" t="e">
        <f t="shared" si="178"/>
        <v>#N/A</v>
      </c>
      <c r="T1468" t="e">
        <f t="shared" si="179"/>
        <v>#N/A</v>
      </c>
      <c r="U1468" t="e">
        <f t="shared" si="180"/>
        <v>#N/A</v>
      </c>
      <c r="V1468" t="e">
        <f t="shared" si="181"/>
        <v>#N/A</v>
      </c>
      <c r="W1468">
        <f t="shared" si="182"/>
        <v>10</v>
      </c>
      <c r="X1468">
        <f t="shared" si="183"/>
        <v>7</v>
      </c>
    </row>
    <row r="1469" spans="1:24" x14ac:dyDescent="0.3">
      <c r="A1469">
        <v>6.7</v>
      </c>
      <c r="B1469">
        <v>1.04</v>
      </c>
      <c r="C1469">
        <v>0.08</v>
      </c>
      <c r="D1469">
        <v>2.2999999999999998</v>
      </c>
      <c r="E1469">
        <v>6.7000000000000004E-2</v>
      </c>
      <c r="F1469">
        <v>19</v>
      </c>
      <c r="G1469">
        <v>32</v>
      </c>
      <c r="H1469">
        <v>0.99647999999999992</v>
      </c>
      <c r="I1469">
        <v>3.52</v>
      </c>
      <c r="J1469">
        <v>0.56999999999999995</v>
      </c>
      <c r="K1469">
        <v>11</v>
      </c>
      <c r="L1469">
        <v>4</v>
      </c>
      <c r="M1469" t="str">
        <f t="shared" si="176"/>
        <v>Low</v>
      </c>
      <c r="N1469">
        <f>(winequality_red[[#This Row],[Updated Quality &amp; Alcohol Analysis]]+winequality_red[[#This Row],[volatile acidity]]+winequality_red[[#This Row],[citric acid]])</f>
        <v>7.82</v>
      </c>
      <c r="O1469">
        <f t="shared" si="177"/>
        <v>5.3890909090909093E-2</v>
      </c>
      <c r="S1469">
        <f t="shared" si="178"/>
        <v>11</v>
      </c>
      <c r="T1469">
        <f t="shared" si="179"/>
        <v>4</v>
      </c>
      <c r="U1469" t="e">
        <f t="shared" si="180"/>
        <v>#N/A</v>
      </c>
      <c r="V1469" t="e">
        <f t="shared" si="181"/>
        <v>#N/A</v>
      </c>
      <c r="W1469" t="e">
        <f t="shared" si="182"/>
        <v>#N/A</v>
      </c>
      <c r="X1469" t="e">
        <f t="shared" si="183"/>
        <v>#N/A</v>
      </c>
    </row>
    <row r="1470" spans="1:24" x14ac:dyDescent="0.3">
      <c r="A1470">
        <v>7.3</v>
      </c>
      <c r="B1470">
        <v>0.48</v>
      </c>
      <c r="C1470">
        <v>0.32</v>
      </c>
      <c r="D1470">
        <v>2.1</v>
      </c>
      <c r="E1470">
        <v>6.2E-2</v>
      </c>
      <c r="F1470">
        <v>31</v>
      </c>
      <c r="G1470">
        <v>54</v>
      </c>
      <c r="H1470">
        <v>0.99727999999999994</v>
      </c>
      <c r="I1470">
        <v>3.3</v>
      </c>
      <c r="J1470">
        <v>0.65</v>
      </c>
      <c r="K1470">
        <v>10</v>
      </c>
      <c r="L1470">
        <v>7</v>
      </c>
      <c r="M1470" t="str">
        <f t="shared" si="176"/>
        <v>High</v>
      </c>
      <c r="N1470">
        <f>(winequality_red[[#This Row],[Updated Quality &amp; Alcohol Analysis]]+winequality_red[[#This Row],[volatile acidity]]+winequality_red[[#This Row],[citric acid]])</f>
        <v>8.1</v>
      </c>
      <c r="O1470">
        <f t="shared" si="177"/>
        <v>3.1199999999999999E-2</v>
      </c>
      <c r="S1470" t="e">
        <f t="shared" si="178"/>
        <v>#N/A</v>
      </c>
      <c r="T1470" t="e">
        <f t="shared" si="179"/>
        <v>#N/A</v>
      </c>
      <c r="U1470" t="e">
        <f t="shared" si="180"/>
        <v>#N/A</v>
      </c>
      <c r="V1470" t="e">
        <f t="shared" si="181"/>
        <v>#N/A</v>
      </c>
      <c r="W1470">
        <f t="shared" si="182"/>
        <v>10</v>
      </c>
      <c r="X1470">
        <f t="shared" si="183"/>
        <v>7</v>
      </c>
    </row>
    <row r="1471" spans="1:24" x14ac:dyDescent="0.3">
      <c r="A1471">
        <v>7.3</v>
      </c>
      <c r="B1471">
        <v>0.98</v>
      </c>
      <c r="C1471">
        <v>0.05</v>
      </c>
      <c r="D1471">
        <v>2.1</v>
      </c>
      <c r="E1471">
        <v>6.0999999999999999E-2</v>
      </c>
      <c r="F1471">
        <v>20</v>
      </c>
      <c r="G1471">
        <v>49</v>
      </c>
      <c r="H1471">
        <v>0.99704999999999999</v>
      </c>
      <c r="I1471">
        <v>3.31</v>
      </c>
      <c r="J1471">
        <v>0.55000000000000004</v>
      </c>
      <c r="K1471">
        <v>9.6999999999999993</v>
      </c>
      <c r="L1471">
        <v>3</v>
      </c>
      <c r="M1471" t="str">
        <f t="shared" si="176"/>
        <v>Low</v>
      </c>
      <c r="N1471">
        <f>(winequality_red[[#This Row],[Updated Quality &amp; Alcohol Analysis]]+winequality_red[[#This Row],[volatile acidity]]+winequality_red[[#This Row],[citric acid]])</f>
        <v>8.33</v>
      </c>
      <c r="O1471">
        <f t="shared" si="177"/>
        <v>5.556701030927836E-2</v>
      </c>
      <c r="S1471">
        <f t="shared" si="178"/>
        <v>9.6999999999999993</v>
      </c>
      <c r="T1471">
        <f t="shared" si="179"/>
        <v>3</v>
      </c>
      <c r="U1471" t="e">
        <f t="shared" si="180"/>
        <v>#N/A</v>
      </c>
      <c r="V1471" t="e">
        <f t="shared" si="181"/>
        <v>#N/A</v>
      </c>
      <c r="W1471" t="e">
        <f t="shared" si="182"/>
        <v>#N/A</v>
      </c>
      <c r="X1471" t="e">
        <f t="shared" si="183"/>
        <v>#N/A</v>
      </c>
    </row>
    <row r="1472" spans="1:24" x14ac:dyDescent="0.3">
      <c r="A1472">
        <v>10</v>
      </c>
      <c r="B1472">
        <v>0.69</v>
      </c>
      <c r="C1472">
        <v>0.11</v>
      </c>
      <c r="D1472">
        <v>1.4</v>
      </c>
      <c r="E1472">
        <v>8.4000000000000005E-2</v>
      </c>
      <c r="F1472">
        <v>8</v>
      </c>
      <c r="G1472">
        <v>24</v>
      </c>
      <c r="H1472">
        <v>0.99577999999999989</v>
      </c>
      <c r="I1472">
        <v>2.88</v>
      </c>
      <c r="J1472">
        <v>0.47</v>
      </c>
      <c r="K1472">
        <v>9.6999999999999993</v>
      </c>
      <c r="L1472">
        <v>5</v>
      </c>
      <c r="M1472" t="str">
        <f t="shared" si="176"/>
        <v>Medium</v>
      </c>
      <c r="N1472">
        <f>(winequality_red[[#This Row],[Updated Quality &amp; Alcohol Analysis]]+winequality_red[[#This Row],[volatile acidity]]+winequality_red[[#This Row],[citric acid]])</f>
        <v>10.799999999999999</v>
      </c>
      <c r="O1472">
        <f t="shared" si="177"/>
        <v>3.343298969072165E-2</v>
      </c>
      <c r="S1472" t="e">
        <f t="shared" si="178"/>
        <v>#N/A</v>
      </c>
      <c r="T1472" t="e">
        <f t="shared" si="179"/>
        <v>#N/A</v>
      </c>
      <c r="U1472">
        <f t="shared" si="180"/>
        <v>9.6999999999999993</v>
      </c>
      <c r="V1472">
        <f t="shared" si="181"/>
        <v>5</v>
      </c>
      <c r="W1472" t="e">
        <f t="shared" si="182"/>
        <v>#N/A</v>
      </c>
      <c r="X1472" t="e">
        <f t="shared" si="183"/>
        <v>#N/A</v>
      </c>
    </row>
    <row r="1473" spans="1:24" x14ac:dyDescent="0.3">
      <c r="A1473">
        <v>6.7</v>
      </c>
      <c r="B1473">
        <v>0.7</v>
      </c>
      <c r="C1473">
        <v>0.08</v>
      </c>
      <c r="D1473">
        <v>3.75</v>
      </c>
      <c r="E1473">
        <v>6.7000000000000004E-2</v>
      </c>
      <c r="F1473">
        <v>8</v>
      </c>
      <c r="G1473">
        <v>16</v>
      </c>
      <c r="H1473">
        <v>0.99334</v>
      </c>
      <c r="I1473">
        <v>3.43</v>
      </c>
      <c r="J1473">
        <v>0.52</v>
      </c>
      <c r="K1473">
        <v>12.6</v>
      </c>
      <c r="L1473">
        <v>5</v>
      </c>
      <c r="M1473" t="str">
        <f t="shared" si="176"/>
        <v>Medium</v>
      </c>
      <c r="N1473">
        <f>(winequality_red[[#This Row],[Updated Quality &amp; Alcohol Analysis]]+winequality_red[[#This Row],[volatile acidity]]+winequality_red[[#This Row],[citric acid]])</f>
        <v>7.48</v>
      </c>
      <c r="O1473">
        <f t="shared" si="177"/>
        <v>2.8888888888888888E-2</v>
      </c>
      <c r="S1473" t="e">
        <f t="shared" si="178"/>
        <v>#N/A</v>
      </c>
      <c r="T1473" t="e">
        <f t="shared" si="179"/>
        <v>#N/A</v>
      </c>
      <c r="U1473">
        <f t="shared" si="180"/>
        <v>12.6</v>
      </c>
      <c r="V1473">
        <f t="shared" si="181"/>
        <v>5</v>
      </c>
      <c r="W1473" t="e">
        <f t="shared" si="182"/>
        <v>#N/A</v>
      </c>
      <c r="X1473" t="e">
        <f t="shared" si="183"/>
        <v>#N/A</v>
      </c>
    </row>
    <row r="1474" spans="1:24" x14ac:dyDescent="0.3">
      <c r="A1474">
        <v>7.6</v>
      </c>
      <c r="B1474">
        <v>0.35</v>
      </c>
      <c r="C1474">
        <v>0.6</v>
      </c>
      <c r="D1474">
        <v>2.6</v>
      </c>
      <c r="E1474">
        <v>7.2999999999999995E-2</v>
      </c>
      <c r="F1474">
        <v>23</v>
      </c>
      <c r="G1474">
        <v>44</v>
      </c>
      <c r="H1474">
        <v>0.99656</v>
      </c>
      <c r="I1474">
        <v>3.38</v>
      </c>
      <c r="J1474">
        <v>0.79</v>
      </c>
      <c r="K1474">
        <v>11.1</v>
      </c>
      <c r="L1474">
        <v>6</v>
      </c>
      <c r="M1474" t="str">
        <f t="shared" ref="M1474:M1537" si="184">IF($L1474&gt;=7,"High",IF($L1474&gt;=5,"Medium","Low"))</f>
        <v>Medium</v>
      </c>
      <c r="N1474">
        <f>(winequality_red[[#This Row],[Updated Quality &amp; Alcohol Analysis]]+winequality_red[[#This Row],[volatile acidity]]+winequality_red[[#This Row],[citric acid]])</f>
        <v>8.5499999999999989</v>
      </c>
      <c r="O1474">
        <f t="shared" ref="O1474:O1537" si="185">($B1474*$J1474)/$K1474</f>
        <v>2.4909909909909909E-2</v>
      </c>
      <c r="S1474" t="e">
        <f t="shared" si="178"/>
        <v>#N/A</v>
      </c>
      <c r="T1474" t="e">
        <f t="shared" si="179"/>
        <v>#N/A</v>
      </c>
      <c r="U1474">
        <f t="shared" si="180"/>
        <v>11.1</v>
      </c>
      <c r="V1474">
        <f t="shared" si="181"/>
        <v>6</v>
      </c>
      <c r="W1474" t="e">
        <f t="shared" si="182"/>
        <v>#N/A</v>
      </c>
      <c r="X1474" t="e">
        <f t="shared" si="183"/>
        <v>#N/A</v>
      </c>
    </row>
    <row r="1475" spans="1:24" x14ac:dyDescent="0.3">
      <c r="A1475">
        <v>6.1</v>
      </c>
      <c r="B1475">
        <v>0.6</v>
      </c>
      <c r="C1475">
        <v>0.08</v>
      </c>
      <c r="D1475">
        <v>1.8</v>
      </c>
      <c r="E1475">
        <v>7.0999999999999994E-2</v>
      </c>
      <c r="F1475">
        <v>14</v>
      </c>
      <c r="G1475">
        <v>45</v>
      </c>
      <c r="H1475">
        <v>0.99336000000000002</v>
      </c>
      <c r="I1475">
        <v>3.38</v>
      </c>
      <c r="J1475">
        <v>0.54</v>
      </c>
      <c r="K1475">
        <v>11</v>
      </c>
      <c r="L1475">
        <v>5</v>
      </c>
      <c r="M1475" t="str">
        <f t="shared" si="184"/>
        <v>Medium</v>
      </c>
      <c r="N1475">
        <f>(winequality_red[[#This Row],[Updated Quality &amp; Alcohol Analysis]]+winequality_red[[#This Row],[volatile acidity]]+winequality_red[[#This Row],[citric acid]])</f>
        <v>6.7799999999999994</v>
      </c>
      <c r="O1475">
        <f t="shared" si="185"/>
        <v>2.9454545454545455E-2</v>
      </c>
      <c r="S1475" t="e">
        <f t="shared" ref="S1475:S1538" si="186">IF($M1475="Low",$K1475,NA())</f>
        <v>#N/A</v>
      </c>
      <c r="T1475" t="e">
        <f t="shared" ref="T1475:T1538" si="187">IF($M1475="Low",$L1475,NA())</f>
        <v>#N/A</v>
      </c>
      <c r="U1475">
        <f t="shared" ref="U1475:U1538" si="188">IF($M1475="Medium",$K1475,NA())</f>
        <v>11</v>
      </c>
      <c r="V1475">
        <f t="shared" ref="V1475:V1538" si="189">IF($M1475="Medium",$L1475,NA())</f>
        <v>5</v>
      </c>
      <c r="W1475" t="e">
        <f t="shared" ref="W1475:W1538" si="190">IF($M1475="High",$K1475,NA())</f>
        <v>#N/A</v>
      </c>
      <c r="X1475" t="e">
        <f t="shared" ref="X1475:X1538" si="191">IF($M1475="High",$L1475,NA())</f>
        <v>#N/A</v>
      </c>
    </row>
    <row r="1476" spans="1:24" x14ac:dyDescent="0.3">
      <c r="A1476">
        <v>9.9</v>
      </c>
      <c r="B1476">
        <v>0.5</v>
      </c>
      <c r="C1476">
        <v>0.5</v>
      </c>
      <c r="D1476">
        <v>13.8</v>
      </c>
      <c r="E1476">
        <v>0.20499999999999999</v>
      </c>
      <c r="F1476">
        <v>48</v>
      </c>
      <c r="G1476">
        <v>82</v>
      </c>
      <c r="H1476">
        <v>1.0024200000000001</v>
      </c>
      <c r="I1476">
        <v>3.16</v>
      </c>
      <c r="J1476">
        <v>0.75</v>
      </c>
      <c r="K1476">
        <v>8.8000000000000007</v>
      </c>
      <c r="L1476">
        <v>5</v>
      </c>
      <c r="M1476" t="str">
        <f t="shared" si="184"/>
        <v>Medium</v>
      </c>
      <c r="N1476">
        <f>(winequality_red[[#This Row],[Updated Quality &amp; Alcohol Analysis]]+winequality_red[[#This Row],[volatile acidity]]+winequality_red[[#This Row],[citric acid]])</f>
        <v>10.9</v>
      </c>
      <c r="O1476">
        <f t="shared" si="185"/>
        <v>4.261363636363636E-2</v>
      </c>
      <c r="S1476" t="e">
        <f t="shared" si="186"/>
        <v>#N/A</v>
      </c>
      <c r="T1476" t="e">
        <f t="shared" si="187"/>
        <v>#N/A</v>
      </c>
      <c r="U1476">
        <f t="shared" si="188"/>
        <v>8.8000000000000007</v>
      </c>
      <c r="V1476">
        <f t="shared" si="189"/>
        <v>5</v>
      </c>
      <c r="W1476" t="e">
        <f t="shared" si="190"/>
        <v>#N/A</v>
      </c>
      <c r="X1476" t="e">
        <f t="shared" si="191"/>
        <v>#N/A</v>
      </c>
    </row>
    <row r="1477" spans="1:24" x14ac:dyDescent="0.3">
      <c r="A1477">
        <v>5.3</v>
      </c>
      <c r="B1477">
        <v>0.47</v>
      </c>
      <c r="C1477">
        <v>0.11</v>
      </c>
      <c r="D1477">
        <v>2.2000000000000002</v>
      </c>
      <c r="E1477">
        <v>4.8000000000000001E-2</v>
      </c>
      <c r="F1477">
        <v>16</v>
      </c>
      <c r="G1477">
        <v>89</v>
      </c>
      <c r="H1477">
        <v>0.99182000000000003</v>
      </c>
      <c r="I1477">
        <v>3.54</v>
      </c>
      <c r="J1477">
        <v>0.88</v>
      </c>
      <c r="K1477">
        <v>13.566666666666698</v>
      </c>
      <c r="L1477">
        <v>7</v>
      </c>
      <c r="M1477" t="str">
        <f t="shared" si="184"/>
        <v>High</v>
      </c>
      <c r="N1477">
        <f>(winequality_red[[#This Row],[Updated Quality &amp; Alcohol Analysis]]+winequality_red[[#This Row],[volatile acidity]]+winequality_red[[#This Row],[citric acid]])</f>
        <v>5.88</v>
      </c>
      <c r="O1477">
        <f t="shared" si="185"/>
        <v>3.0486486486486414E-2</v>
      </c>
      <c r="S1477" t="e">
        <f t="shared" si="186"/>
        <v>#N/A</v>
      </c>
      <c r="T1477" t="e">
        <f t="shared" si="187"/>
        <v>#N/A</v>
      </c>
      <c r="U1477" t="e">
        <f t="shared" si="188"/>
        <v>#N/A</v>
      </c>
      <c r="V1477" t="e">
        <f t="shared" si="189"/>
        <v>#N/A</v>
      </c>
      <c r="W1477">
        <f t="shared" si="190"/>
        <v>13.566666666666698</v>
      </c>
      <c r="X1477">
        <f t="shared" si="191"/>
        <v>7</v>
      </c>
    </row>
    <row r="1478" spans="1:24" x14ac:dyDescent="0.3">
      <c r="A1478">
        <v>9.9</v>
      </c>
      <c r="B1478">
        <v>0.5</v>
      </c>
      <c r="C1478">
        <v>0.5</v>
      </c>
      <c r="D1478">
        <v>13.8</v>
      </c>
      <c r="E1478">
        <v>0.20499999999999999</v>
      </c>
      <c r="F1478">
        <v>48</v>
      </c>
      <c r="G1478">
        <v>82</v>
      </c>
      <c r="H1478">
        <v>1.0024200000000001</v>
      </c>
      <c r="I1478">
        <v>3.16</v>
      </c>
      <c r="J1478">
        <v>0.75</v>
      </c>
      <c r="K1478">
        <v>8.8000000000000007</v>
      </c>
      <c r="L1478">
        <v>5</v>
      </c>
      <c r="M1478" t="str">
        <f t="shared" si="184"/>
        <v>Medium</v>
      </c>
      <c r="N1478">
        <f>(winequality_red[[#This Row],[Updated Quality &amp; Alcohol Analysis]]+winequality_red[[#This Row],[volatile acidity]]+winequality_red[[#This Row],[citric acid]])</f>
        <v>10.9</v>
      </c>
      <c r="O1478">
        <f t="shared" si="185"/>
        <v>4.261363636363636E-2</v>
      </c>
      <c r="S1478" t="e">
        <f t="shared" si="186"/>
        <v>#N/A</v>
      </c>
      <c r="T1478" t="e">
        <f t="shared" si="187"/>
        <v>#N/A</v>
      </c>
      <c r="U1478">
        <f t="shared" si="188"/>
        <v>8.8000000000000007</v>
      </c>
      <c r="V1478">
        <f t="shared" si="189"/>
        <v>5</v>
      </c>
      <c r="W1478" t="e">
        <f t="shared" si="190"/>
        <v>#N/A</v>
      </c>
      <c r="X1478" t="e">
        <f t="shared" si="191"/>
        <v>#N/A</v>
      </c>
    </row>
    <row r="1479" spans="1:24" x14ac:dyDescent="0.3">
      <c r="A1479">
        <v>5.3</v>
      </c>
      <c r="B1479">
        <v>0.47</v>
      </c>
      <c r="C1479">
        <v>0.11</v>
      </c>
      <c r="D1479">
        <v>2.2000000000000002</v>
      </c>
      <c r="E1479">
        <v>4.8000000000000001E-2</v>
      </c>
      <c r="F1479">
        <v>16</v>
      </c>
      <c r="G1479">
        <v>89</v>
      </c>
      <c r="H1479">
        <v>0.99182000000000003</v>
      </c>
      <c r="I1479">
        <v>3.54</v>
      </c>
      <c r="J1479">
        <v>0.88</v>
      </c>
      <c r="K1479">
        <v>13.6</v>
      </c>
      <c r="L1479">
        <v>7</v>
      </c>
      <c r="M1479" t="str">
        <f t="shared" si="184"/>
        <v>High</v>
      </c>
      <c r="N1479">
        <f>(winequality_red[[#This Row],[Updated Quality &amp; Alcohol Analysis]]+winequality_red[[#This Row],[volatile acidity]]+winequality_red[[#This Row],[citric acid]])</f>
        <v>5.88</v>
      </c>
      <c r="O1479">
        <f t="shared" si="185"/>
        <v>3.041176470588235E-2</v>
      </c>
      <c r="S1479" t="e">
        <f t="shared" si="186"/>
        <v>#N/A</v>
      </c>
      <c r="T1479" t="e">
        <f t="shared" si="187"/>
        <v>#N/A</v>
      </c>
      <c r="U1479" t="e">
        <f t="shared" si="188"/>
        <v>#N/A</v>
      </c>
      <c r="V1479" t="e">
        <f t="shared" si="189"/>
        <v>#N/A</v>
      </c>
      <c r="W1479">
        <f t="shared" si="190"/>
        <v>13.6</v>
      </c>
      <c r="X1479">
        <f t="shared" si="191"/>
        <v>7</v>
      </c>
    </row>
    <row r="1480" spans="1:24" x14ac:dyDescent="0.3">
      <c r="A1480">
        <v>7.1</v>
      </c>
      <c r="B1480">
        <v>0.875</v>
      </c>
      <c r="C1480">
        <v>0.05</v>
      </c>
      <c r="D1480">
        <v>5.7</v>
      </c>
      <c r="E1480">
        <v>8.199999999999999E-2</v>
      </c>
      <c r="F1480">
        <v>3</v>
      </c>
      <c r="G1480">
        <v>14</v>
      </c>
      <c r="H1480">
        <v>0.99807999999999997</v>
      </c>
      <c r="I1480">
        <v>3.4</v>
      </c>
      <c r="J1480">
        <v>0.52</v>
      </c>
      <c r="K1480">
        <v>10.199999999999999</v>
      </c>
      <c r="L1480">
        <v>3</v>
      </c>
      <c r="M1480" t="str">
        <f t="shared" si="184"/>
        <v>Low</v>
      </c>
      <c r="N1480">
        <f>(winequality_red[[#This Row],[Updated Quality &amp; Alcohol Analysis]]+winequality_red[[#This Row],[volatile acidity]]+winequality_red[[#This Row],[citric acid]])</f>
        <v>8.0250000000000004</v>
      </c>
      <c r="O1480">
        <f t="shared" si="185"/>
        <v>4.460784313725491E-2</v>
      </c>
      <c r="S1480">
        <f t="shared" si="186"/>
        <v>10.199999999999999</v>
      </c>
      <c r="T1480">
        <f t="shared" si="187"/>
        <v>3</v>
      </c>
      <c r="U1480" t="e">
        <f t="shared" si="188"/>
        <v>#N/A</v>
      </c>
      <c r="V1480" t="e">
        <f t="shared" si="189"/>
        <v>#N/A</v>
      </c>
      <c r="W1480" t="e">
        <f t="shared" si="190"/>
        <v>#N/A</v>
      </c>
      <c r="X1480" t="e">
        <f t="shared" si="191"/>
        <v>#N/A</v>
      </c>
    </row>
    <row r="1481" spans="1:24" x14ac:dyDescent="0.3">
      <c r="A1481">
        <v>8.1999999999999993</v>
      </c>
      <c r="B1481">
        <v>0.28000000000000003</v>
      </c>
      <c r="C1481">
        <v>0.6</v>
      </c>
      <c r="D1481">
        <v>3</v>
      </c>
      <c r="E1481">
        <v>0.10400000000000001</v>
      </c>
      <c r="F1481">
        <v>10</v>
      </c>
      <c r="G1481">
        <v>22</v>
      </c>
      <c r="H1481">
        <v>0.99827999999999995</v>
      </c>
      <c r="I1481">
        <v>3.39</v>
      </c>
      <c r="J1481">
        <v>0.68</v>
      </c>
      <c r="K1481">
        <v>10.6</v>
      </c>
      <c r="L1481">
        <v>5</v>
      </c>
      <c r="M1481" t="str">
        <f t="shared" si="184"/>
        <v>Medium</v>
      </c>
      <c r="N1481">
        <f>(winequality_red[[#This Row],[Updated Quality &amp; Alcohol Analysis]]+winequality_red[[#This Row],[volatile acidity]]+winequality_red[[#This Row],[citric acid]])</f>
        <v>9.0799999999999983</v>
      </c>
      <c r="O1481">
        <f t="shared" si="185"/>
        <v>1.7962264150943402E-2</v>
      </c>
      <c r="S1481" t="e">
        <f t="shared" si="186"/>
        <v>#N/A</v>
      </c>
      <c r="T1481" t="e">
        <f t="shared" si="187"/>
        <v>#N/A</v>
      </c>
      <c r="U1481">
        <f t="shared" si="188"/>
        <v>10.6</v>
      </c>
      <c r="V1481">
        <f t="shared" si="189"/>
        <v>5</v>
      </c>
      <c r="W1481" t="e">
        <f t="shared" si="190"/>
        <v>#N/A</v>
      </c>
      <c r="X1481" t="e">
        <f t="shared" si="191"/>
        <v>#N/A</v>
      </c>
    </row>
    <row r="1482" spans="1:24" x14ac:dyDescent="0.3">
      <c r="A1482">
        <v>5.6</v>
      </c>
      <c r="B1482">
        <v>0.62</v>
      </c>
      <c r="C1482">
        <v>0.03</v>
      </c>
      <c r="D1482">
        <v>1.5</v>
      </c>
      <c r="E1482">
        <v>0.08</v>
      </c>
      <c r="F1482">
        <v>6</v>
      </c>
      <c r="G1482">
        <v>13</v>
      </c>
      <c r="H1482">
        <v>0.99497999999999998</v>
      </c>
      <c r="I1482">
        <v>3.66</v>
      </c>
      <c r="J1482">
        <v>0.62</v>
      </c>
      <c r="K1482">
        <v>10.1</v>
      </c>
      <c r="L1482">
        <v>4</v>
      </c>
      <c r="M1482" t="str">
        <f t="shared" si="184"/>
        <v>Low</v>
      </c>
      <c r="N1482">
        <f>(winequality_red[[#This Row],[Updated Quality &amp; Alcohol Analysis]]+winequality_red[[#This Row],[volatile acidity]]+winequality_red[[#This Row],[citric acid]])</f>
        <v>6.25</v>
      </c>
      <c r="O1482">
        <f t="shared" si="185"/>
        <v>3.8059405940594065E-2</v>
      </c>
      <c r="S1482">
        <f t="shared" si="186"/>
        <v>10.1</v>
      </c>
      <c r="T1482">
        <f t="shared" si="187"/>
        <v>4</v>
      </c>
      <c r="U1482" t="e">
        <f t="shared" si="188"/>
        <v>#N/A</v>
      </c>
      <c r="V1482" t="e">
        <f t="shared" si="189"/>
        <v>#N/A</v>
      </c>
      <c r="W1482" t="e">
        <f t="shared" si="190"/>
        <v>#N/A</v>
      </c>
      <c r="X1482" t="e">
        <f t="shared" si="191"/>
        <v>#N/A</v>
      </c>
    </row>
    <row r="1483" spans="1:24" x14ac:dyDescent="0.3">
      <c r="A1483">
        <v>8.1999999999999993</v>
      </c>
      <c r="B1483">
        <v>0.28000000000000003</v>
      </c>
      <c r="C1483">
        <v>0.6</v>
      </c>
      <c r="D1483">
        <v>3</v>
      </c>
      <c r="E1483">
        <v>0.10400000000000001</v>
      </c>
      <c r="F1483">
        <v>10</v>
      </c>
      <c r="G1483">
        <v>22</v>
      </c>
      <c r="H1483">
        <v>0.99827999999999995</v>
      </c>
      <c r="I1483">
        <v>3.39</v>
      </c>
      <c r="J1483">
        <v>0.68</v>
      </c>
      <c r="K1483">
        <v>10.6</v>
      </c>
      <c r="L1483">
        <v>5</v>
      </c>
      <c r="M1483" t="str">
        <f t="shared" si="184"/>
        <v>Medium</v>
      </c>
      <c r="N1483">
        <f>(winequality_red[[#This Row],[Updated Quality &amp; Alcohol Analysis]]+winequality_red[[#This Row],[volatile acidity]]+winequality_red[[#This Row],[citric acid]])</f>
        <v>9.0799999999999983</v>
      </c>
      <c r="O1483">
        <f t="shared" si="185"/>
        <v>1.7962264150943402E-2</v>
      </c>
      <c r="S1483" t="e">
        <f t="shared" si="186"/>
        <v>#N/A</v>
      </c>
      <c r="T1483" t="e">
        <f t="shared" si="187"/>
        <v>#N/A</v>
      </c>
      <c r="U1483">
        <f t="shared" si="188"/>
        <v>10.6</v>
      </c>
      <c r="V1483">
        <f t="shared" si="189"/>
        <v>5</v>
      </c>
      <c r="W1483" t="e">
        <f t="shared" si="190"/>
        <v>#N/A</v>
      </c>
      <c r="X1483" t="e">
        <f t="shared" si="191"/>
        <v>#N/A</v>
      </c>
    </row>
    <row r="1484" spans="1:24" x14ac:dyDescent="0.3">
      <c r="A1484">
        <v>7.2</v>
      </c>
      <c r="B1484">
        <v>0.57999999999999996</v>
      </c>
      <c r="C1484">
        <v>0.54</v>
      </c>
      <c r="D1484">
        <v>2.1</v>
      </c>
      <c r="E1484">
        <v>0.114</v>
      </c>
      <c r="F1484">
        <v>3</v>
      </c>
      <c r="G1484">
        <v>9</v>
      </c>
      <c r="H1484">
        <v>0.99718999999999991</v>
      </c>
      <c r="I1484">
        <v>3.33</v>
      </c>
      <c r="J1484">
        <v>0.56999999999999995</v>
      </c>
      <c r="K1484">
        <v>10.3</v>
      </c>
      <c r="L1484">
        <v>4</v>
      </c>
      <c r="M1484" t="str">
        <f t="shared" si="184"/>
        <v>Low</v>
      </c>
      <c r="N1484">
        <f>(winequality_red[[#This Row],[Updated Quality &amp; Alcohol Analysis]]+winequality_red[[#This Row],[volatile acidity]]+winequality_red[[#This Row],[citric acid]])</f>
        <v>8.32</v>
      </c>
      <c r="O1484">
        <f t="shared" si="185"/>
        <v>3.2097087378640768E-2</v>
      </c>
      <c r="S1484">
        <f t="shared" si="186"/>
        <v>10.3</v>
      </c>
      <c r="T1484">
        <f t="shared" si="187"/>
        <v>4</v>
      </c>
      <c r="U1484" t="e">
        <f t="shared" si="188"/>
        <v>#N/A</v>
      </c>
      <c r="V1484" t="e">
        <f t="shared" si="189"/>
        <v>#N/A</v>
      </c>
      <c r="W1484" t="e">
        <f t="shared" si="190"/>
        <v>#N/A</v>
      </c>
      <c r="X1484" t="e">
        <f t="shared" si="191"/>
        <v>#N/A</v>
      </c>
    </row>
    <row r="1485" spans="1:24" x14ac:dyDescent="0.3">
      <c r="A1485">
        <v>8.1</v>
      </c>
      <c r="B1485">
        <v>0.33</v>
      </c>
      <c r="C1485">
        <v>0.44</v>
      </c>
      <c r="D1485">
        <v>1.5</v>
      </c>
      <c r="E1485">
        <v>4.2000000000000003E-2</v>
      </c>
      <c r="F1485">
        <v>6</v>
      </c>
      <c r="G1485">
        <v>12</v>
      </c>
      <c r="H1485">
        <v>0.99542000000000008</v>
      </c>
      <c r="I1485">
        <v>3.35</v>
      </c>
      <c r="J1485">
        <v>0.61</v>
      </c>
      <c r="K1485">
        <v>10.7</v>
      </c>
      <c r="L1485">
        <v>5</v>
      </c>
      <c r="M1485" t="str">
        <f t="shared" si="184"/>
        <v>Medium</v>
      </c>
      <c r="N1485">
        <f>(winequality_red[[#This Row],[Updated Quality &amp; Alcohol Analysis]]+winequality_red[[#This Row],[volatile acidity]]+winequality_red[[#This Row],[citric acid]])</f>
        <v>8.8699999999999992</v>
      </c>
      <c r="O1485">
        <f t="shared" si="185"/>
        <v>1.8813084112149533E-2</v>
      </c>
      <c r="S1485" t="e">
        <f t="shared" si="186"/>
        <v>#N/A</v>
      </c>
      <c r="T1485" t="e">
        <f t="shared" si="187"/>
        <v>#N/A</v>
      </c>
      <c r="U1485">
        <f t="shared" si="188"/>
        <v>10.7</v>
      </c>
      <c r="V1485">
        <f t="shared" si="189"/>
        <v>5</v>
      </c>
      <c r="W1485" t="e">
        <f t="shared" si="190"/>
        <v>#N/A</v>
      </c>
      <c r="X1485" t="e">
        <f t="shared" si="191"/>
        <v>#N/A</v>
      </c>
    </row>
    <row r="1486" spans="1:24" x14ac:dyDescent="0.3">
      <c r="A1486">
        <v>6.8</v>
      </c>
      <c r="B1486">
        <v>0.91</v>
      </c>
      <c r="C1486">
        <v>0.06</v>
      </c>
      <c r="D1486">
        <v>2</v>
      </c>
      <c r="E1486">
        <v>0.06</v>
      </c>
      <c r="F1486">
        <v>4</v>
      </c>
      <c r="G1486">
        <v>11</v>
      </c>
      <c r="H1486">
        <v>0.99592000000000003</v>
      </c>
      <c r="I1486">
        <v>3.53</v>
      </c>
      <c r="J1486">
        <v>0.64</v>
      </c>
      <c r="K1486">
        <v>10.9</v>
      </c>
      <c r="L1486">
        <v>4</v>
      </c>
      <c r="M1486" t="str">
        <f t="shared" si="184"/>
        <v>Low</v>
      </c>
      <c r="N1486">
        <f>(winequality_red[[#This Row],[Updated Quality &amp; Alcohol Analysis]]+winequality_red[[#This Row],[volatile acidity]]+winequality_red[[#This Row],[citric acid]])</f>
        <v>7.77</v>
      </c>
      <c r="O1486">
        <f t="shared" si="185"/>
        <v>5.3431192660550457E-2</v>
      </c>
      <c r="S1486">
        <f t="shared" si="186"/>
        <v>10.9</v>
      </c>
      <c r="T1486">
        <f t="shared" si="187"/>
        <v>4</v>
      </c>
      <c r="U1486" t="e">
        <f t="shared" si="188"/>
        <v>#N/A</v>
      </c>
      <c r="V1486" t="e">
        <f t="shared" si="189"/>
        <v>#N/A</v>
      </c>
      <c r="W1486" t="e">
        <f t="shared" si="190"/>
        <v>#N/A</v>
      </c>
      <c r="X1486" t="e">
        <f t="shared" si="191"/>
        <v>#N/A</v>
      </c>
    </row>
    <row r="1487" spans="1:24" x14ac:dyDescent="0.3">
      <c r="A1487">
        <v>7</v>
      </c>
      <c r="B1487">
        <v>0.65500000000000003</v>
      </c>
      <c r="C1487">
        <v>0.16</v>
      </c>
      <c r="D1487">
        <v>2.1</v>
      </c>
      <c r="E1487">
        <v>7.400000000000001E-2</v>
      </c>
      <c r="F1487">
        <v>8</v>
      </c>
      <c r="G1487">
        <v>25</v>
      </c>
      <c r="H1487">
        <v>0.99606000000000006</v>
      </c>
      <c r="I1487">
        <v>3.37</v>
      </c>
      <c r="J1487">
        <v>0.55000000000000004</v>
      </c>
      <c r="K1487">
        <v>9.6999999999999993</v>
      </c>
      <c r="L1487">
        <v>5</v>
      </c>
      <c r="M1487" t="str">
        <f t="shared" si="184"/>
        <v>Medium</v>
      </c>
      <c r="N1487">
        <f>(winequality_red[[#This Row],[Updated Quality &amp; Alcohol Analysis]]+winequality_red[[#This Row],[volatile acidity]]+winequality_red[[#This Row],[citric acid]])</f>
        <v>7.8150000000000004</v>
      </c>
      <c r="O1487">
        <f t="shared" si="185"/>
        <v>3.7139175257731971E-2</v>
      </c>
      <c r="S1487" t="e">
        <f t="shared" si="186"/>
        <v>#N/A</v>
      </c>
      <c r="T1487" t="e">
        <f t="shared" si="187"/>
        <v>#N/A</v>
      </c>
      <c r="U1487">
        <f t="shared" si="188"/>
        <v>9.6999999999999993</v>
      </c>
      <c r="V1487">
        <f t="shared" si="189"/>
        <v>5</v>
      </c>
      <c r="W1487" t="e">
        <f t="shared" si="190"/>
        <v>#N/A</v>
      </c>
      <c r="X1487" t="e">
        <f t="shared" si="191"/>
        <v>#N/A</v>
      </c>
    </row>
    <row r="1488" spans="1:24" x14ac:dyDescent="0.3">
      <c r="A1488">
        <v>6.8</v>
      </c>
      <c r="B1488">
        <v>0.68</v>
      </c>
      <c r="C1488">
        <v>0.21</v>
      </c>
      <c r="D1488">
        <v>2.1</v>
      </c>
      <c r="E1488">
        <v>7.0000000000000007E-2</v>
      </c>
      <c r="F1488">
        <v>9</v>
      </c>
      <c r="G1488">
        <v>23</v>
      </c>
      <c r="H1488">
        <v>0.99546000000000001</v>
      </c>
      <c r="I1488">
        <v>3.38</v>
      </c>
      <c r="J1488">
        <v>0.6</v>
      </c>
      <c r="K1488">
        <v>10.3</v>
      </c>
      <c r="L1488">
        <v>5</v>
      </c>
      <c r="M1488" t="str">
        <f t="shared" si="184"/>
        <v>Medium</v>
      </c>
      <c r="N1488">
        <f>(winequality_red[[#This Row],[Updated Quality &amp; Alcohol Analysis]]+winequality_red[[#This Row],[volatile acidity]]+winequality_red[[#This Row],[citric acid]])</f>
        <v>7.6899999999999995</v>
      </c>
      <c r="O1488">
        <f t="shared" si="185"/>
        <v>3.961165048543689E-2</v>
      </c>
      <c r="S1488" t="e">
        <f t="shared" si="186"/>
        <v>#N/A</v>
      </c>
      <c r="T1488" t="e">
        <f t="shared" si="187"/>
        <v>#N/A</v>
      </c>
      <c r="U1488">
        <f t="shared" si="188"/>
        <v>10.3</v>
      </c>
      <c r="V1488">
        <f t="shared" si="189"/>
        <v>5</v>
      </c>
      <c r="W1488" t="e">
        <f t="shared" si="190"/>
        <v>#N/A</v>
      </c>
      <c r="X1488" t="e">
        <f t="shared" si="191"/>
        <v>#N/A</v>
      </c>
    </row>
    <row r="1489" spans="1:24" x14ac:dyDescent="0.3">
      <c r="A1489">
        <v>6</v>
      </c>
      <c r="B1489">
        <v>0.64</v>
      </c>
      <c r="C1489">
        <v>0.05</v>
      </c>
      <c r="D1489">
        <v>1.9</v>
      </c>
      <c r="E1489">
        <v>6.6000000000000003E-2</v>
      </c>
      <c r="F1489">
        <v>9</v>
      </c>
      <c r="G1489">
        <v>17</v>
      </c>
      <c r="H1489">
        <v>0.99496000000000007</v>
      </c>
      <c r="I1489">
        <v>3.52</v>
      </c>
      <c r="J1489">
        <v>0.78</v>
      </c>
      <c r="K1489">
        <v>10.6</v>
      </c>
      <c r="L1489">
        <v>5</v>
      </c>
      <c r="M1489" t="str">
        <f t="shared" si="184"/>
        <v>Medium</v>
      </c>
      <c r="N1489">
        <f>(winequality_red[[#This Row],[Updated Quality &amp; Alcohol Analysis]]+winequality_red[[#This Row],[volatile acidity]]+winequality_red[[#This Row],[citric acid]])</f>
        <v>6.6899999999999995</v>
      </c>
      <c r="O1489">
        <f t="shared" si="185"/>
        <v>4.7094339622641514E-2</v>
      </c>
      <c r="S1489" t="e">
        <f t="shared" si="186"/>
        <v>#N/A</v>
      </c>
      <c r="T1489" t="e">
        <f t="shared" si="187"/>
        <v>#N/A</v>
      </c>
      <c r="U1489">
        <f t="shared" si="188"/>
        <v>10.6</v>
      </c>
      <c r="V1489">
        <f t="shared" si="189"/>
        <v>5</v>
      </c>
      <c r="W1489" t="e">
        <f t="shared" si="190"/>
        <v>#N/A</v>
      </c>
      <c r="X1489" t="e">
        <f t="shared" si="191"/>
        <v>#N/A</v>
      </c>
    </row>
    <row r="1490" spans="1:24" x14ac:dyDescent="0.3">
      <c r="A1490">
        <v>5.6</v>
      </c>
      <c r="B1490">
        <v>0.54</v>
      </c>
      <c r="C1490">
        <v>0.04</v>
      </c>
      <c r="D1490">
        <v>1.7</v>
      </c>
      <c r="E1490">
        <v>4.9000000000000002E-2</v>
      </c>
      <c r="F1490">
        <v>5</v>
      </c>
      <c r="G1490">
        <v>13</v>
      </c>
      <c r="H1490">
        <v>0.99419999999999997</v>
      </c>
      <c r="I1490">
        <v>3.72</v>
      </c>
      <c r="J1490">
        <v>0.57999999999999996</v>
      </c>
      <c r="K1490">
        <v>11.4</v>
      </c>
      <c r="L1490">
        <v>5</v>
      </c>
      <c r="M1490" t="str">
        <f t="shared" si="184"/>
        <v>Medium</v>
      </c>
      <c r="N1490">
        <f>(winequality_red[[#This Row],[Updated Quality &amp; Alcohol Analysis]]+winequality_red[[#This Row],[volatile acidity]]+winequality_red[[#This Row],[citric acid]])</f>
        <v>6.18</v>
      </c>
      <c r="O1490">
        <f t="shared" si="185"/>
        <v>2.7473684210526313E-2</v>
      </c>
      <c r="S1490" t="e">
        <f t="shared" si="186"/>
        <v>#N/A</v>
      </c>
      <c r="T1490" t="e">
        <f t="shared" si="187"/>
        <v>#N/A</v>
      </c>
      <c r="U1490">
        <f t="shared" si="188"/>
        <v>11.4</v>
      </c>
      <c r="V1490">
        <f t="shared" si="189"/>
        <v>5</v>
      </c>
      <c r="W1490" t="e">
        <f t="shared" si="190"/>
        <v>#N/A</v>
      </c>
      <c r="X1490" t="e">
        <f t="shared" si="191"/>
        <v>#N/A</v>
      </c>
    </row>
    <row r="1491" spans="1:24" x14ac:dyDescent="0.3">
      <c r="A1491">
        <v>6.2</v>
      </c>
      <c r="B1491">
        <v>0.56999999999999995</v>
      </c>
      <c r="C1491">
        <v>0.1</v>
      </c>
      <c r="D1491">
        <v>2.1</v>
      </c>
      <c r="E1491">
        <v>4.8000000000000001E-2</v>
      </c>
      <c r="F1491">
        <v>4</v>
      </c>
      <c r="G1491">
        <v>11</v>
      </c>
      <c r="H1491">
        <v>0.99447999999999992</v>
      </c>
      <c r="I1491">
        <v>3.44</v>
      </c>
      <c r="J1491">
        <v>0.76</v>
      </c>
      <c r="K1491">
        <v>10.8</v>
      </c>
      <c r="L1491">
        <v>6</v>
      </c>
      <c r="M1491" t="str">
        <f t="shared" si="184"/>
        <v>Medium</v>
      </c>
      <c r="N1491">
        <f>(winequality_red[[#This Row],[Updated Quality &amp; Alcohol Analysis]]+winequality_red[[#This Row],[volatile acidity]]+winequality_red[[#This Row],[citric acid]])</f>
        <v>6.87</v>
      </c>
      <c r="O1491">
        <f t="shared" si="185"/>
        <v>4.0111111111111104E-2</v>
      </c>
      <c r="S1491" t="e">
        <f t="shared" si="186"/>
        <v>#N/A</v>
      </c>
      <c r="T1491" t="e">
        <f t="shared" si="187"/>
        <v>#N/A</v>
      </c>
      <c r="U1491">
        <f t="shared" si="188"/>
        <v>10.8</v>
      </c>
      <c r="V1491">
        <f t="shared" si="189"/>
        <v>6</v>
      </c>
      <c r="W1491" t="e">
        <f t="shared" si="190"/>
        <v>#N/A</v>
      </c>
      <c r="X1491" t="e">
        <f t="shared" si="191"/>
        <v>#N/A</v>
      </c>
    </row>
    <row r="1492" spans="1:24" x14ac:dyDescent="0.3">
      <c r="A1492">
        <v>7.1</v>
      </c>
      <c r="B1492">
        <v>0.22</v>
      </c>
      <c r="C1492">
        <v>0.49</v>
      </c>
      <c r="D1492">
        <v>1.8</v>
      </c>
      <c r="E1492">
        <v>3.9E-2</v>
      </c>
      <c r="F1492">
        <v>8</v>
      </c>
      <c r="G1492">
        <v>18</v>
      </c>
      <c r="H1492">
        <v>0.99343999999999999</v>
      </c>
      <c r="I1492">
        <v>3.39</v>
      </c>
      <c r="J1492">
        <v>0.56000000000000005</v>
      </c>
      <c r="K1492">
        <v>12.4</v>
      </c>
      <c r="L1492">
        <v>6</v>
      </c>
      <c r="M1492" t="str">
        <f t="shared" si="184"/>
        <v>Medium</v>
      </c>
      <c r="N1492">
        <f>(winequality_red[[#This Row],[Updated Quality &amp; Alcohol Analysis]]+winequality_red[[#This Row],[volatile acidity]]+winequality_red[[#This Row],[citric acid]])</f>
        <v>7.81</v>
      </c>
      <c r="O1492">
        <f t="shared" si="185"/>
        <v>9.9354838709677425E-3</v>
      </c>
      <c r="S1492" t="e">
        <f t="shared" si="186"/>
        <v>#N/A</v>
      </c>
      <c r="T1492" t="e">
        <f t="shared" si="187"/>
        <v>#N/A</v>
      </c>
      <c r="U1492">
        <f t="shared" si="188"/>
        <v>12.4</v>
      </c>
      <c r="V1492">
        <f t="shared" si="189"/>
        <v>6</v>
      </c>
      <c r="W1492" t="e">
        <f t="shared" si="190"/>
        <v>#N/A</v>
      </c>
      <c r="X1492" t="e">
        <f t="shared" si="191"/>
        <v>#N/A</v>
      </c>
    </row>
    <row r="1493" spans="1:24" x14ac:dyDescent="0.3">
      <c r="A1493">
        <v>5.6</v>
      </c>
      <c r="B1493">
        <v>0.54</v>
      </c>
      <c r="C1493">
        <v>0.04</v>
      </c>
      <c r="D1493">
        <v>1.7</v>
      </c>
      <c r="E1493">
        <v>4.9000000000000002E-2</v>
      </c>
      <c r="F1493">
        <v>5</v>
      </c>
      <c r="G1493">
        <v>13</v>
      </c>
      <c r="H1493">
        <v>0.99419999999999997</v>
      </c>
      <c r="I1493">
        <v>3.72</v>
      </c>
      <c r="J1493">
        <v>0.57999999999999996</v>
      </c>
      <c r="K1493">
        <v>11.4</v>
      </c>
      <c r="L1493">
        <v>5</v>
      </c>
      <c r="M1493" t="str">
        <f t="shared" si="184"/>
        <v>Medium</v>
      </c>
      <c r="N1493">
        <f>(winequality_red[[#This Row],[Updated Quality &amp; Alcohol Analysis]]+winequality_red[[#This Row],[volatile acidity]]+winequality_red[[#This Row],[citric acid]])</f>
        <v>6.18</v>
      </c>
      <c r="O1493">
        <f t="shared" si="185"/>
        <v>2.7473684210526313E-2</v>
      </c>
      <c r="S1493" t="e">
        <f t="shared" si="186"/>
        <v>#N/A</v>
      </c>
      <c r="T1493" t="e">
        <f t="shared" si="187"/>
        <v>#N/A</v>
      </c>
      <c r="U1493">
        <f t="shared" si="188"/>
        <v>11.4</v>
      </c>
      <c r="V1493">
        <f t="shared" si="189"/>
        <v>5</v>
      </c>
      <c r="W1493" t="e">
        <f t="shared" si="190"/>
        <v>#N/A</v>
      </c>
      <c r="X1493" t="e">
        <f t="shared" si="191"/>
        <v>#N/A</v>
      </c>
    </row>
    <row r="1494" spans="1:24" x14ac:dyDescent="0.3">
      <c r="A1494">
        <v>6.2</v>
      </c>
      <c r="B1494">
        <v>0.65</v>
      </c>
      <c r="C1494">
        <v>0.06</v>
      </c>
      <c r="D1494">
        <v>1.6</v>
      </c>
      <c r="E1494">
        <v>0.05</v>
      </c>
      <c r="F1494">
        <v>6</v>
      </c>
      <c r="G1494">
        <v>18</v>
      </c>
      <c r="H1494">
        <v>0.99347999999999992</v>
      </c>
      <c r="I1494">
        <v>3.57</v>
      </c>
      <c r="J1494">
        <v>0.54</v>
      </c>
      <c r="K1494">
        <v>11.95</v>
      </c>
      <c r="L1494">
        <v>5</v>
      </c>
      <c r="M1494" t="str">
        <f t="shared" si="184"/>
        <v>Medium</v>
      </c>
      <c r="N1494">
        <f>(winequality_red[[#This Row],[Updated Quality &amp; Alcohol Analysis]]+winequality_red[[#This Row],[volatile acidity]]+winequality_red[[#This Row],[citric acid]])</f>
        <v>6.91</v>
      </c>
      <c r="O1494">
        <f t="shared" si="185"/>
        <v>2.93723849372385E-2</v>
      </c>
      <c r="S1494" t="e">
        <f t="shared" si="186"/>
        <v>#N/A</v>
      </c>
      <c r="T1494" t="e">
        <f t="shared" si="187"/>
        <v>#N/A</v>
      </c>
      <c r="U1494">
        <f t="shared" si="188"/>
        <v>11.95</v>
      </c>
      <c r="V1494">
        <f t="shared" si="189"/>
        <v>5</v>
      </c>
      <c r="W1494" t="e">
        <f t="shared" si="190"/>
        <v>#N/A</v>
      </c>
      <c r="X1494" t="e">
        <f t="shared" si="191"/>
        <v>#N/A</v>
      </c>
    </row>
    <row r="1495" spans="1:24" x14ac:dyDescent="0.3">
      <c r="A1495">
        <v>7.7</v>
      </c>
      <c r="B1495">
        <v>0.54</v>
      </c>
      <c r="C1495">
        <v>0.26</v>
      </c>
      <c r="D1495">
        <v>1.9</v>
      </c>
      <c r="E1495">
        <v>8.900000000000001E-2</v>
      </c>
      <c r="F1495">
        <v>23</v>
      </c>
      <c r="G1495">
        <v>147</v>
      </c>
      <c r="H1495">
        <v>0.99636000000000002</v>
      </c>
      <c r="I1495">
        <v>3.26</v>
      </c>
      <c r="J1495">
        <v>0.59</v>
      </c>
      <c r="K1495">
        <v>9.6999999999999993</v>
      </c>
      <c r="L1495">
        <v>5</v>
      </c>
      <c r="M1495" t="str">
        <f t="shared" si="184"/>
        <v>Medium</v>
      </c>
      <c r="N1495">
        <f>(winequality_red[[#This Row],[Updated Quality &amp; Alcohol Analysis]]+winequality_red[[#This Row],[volatile acidity]]+winequality_red[[#This Row],[citric acid]])</f>
        <v>8.5</v>
      </c>
      <c r="O1495">
        <f t="shared" si="185"/>
        <v>3.2845360824742272E-2</v>
      </c>
      <c r="S1495" t="e">
        <f t="shared" si="186"/>
        <v>#N/A</v>
      </c>
      <c r="T1495" t="e">
        <f t="shared" si="187"/>
        <v>#N/A</v>
      </c>
      <c r="U1495">
        <f t="shared" si="188"/>
        <v>9.6999999999999993</v>
      </c>
      <c r="V1495">
        <f t="shared" si="189"/>
        <v>5</v>
      </c>
      <c r="W1495" t="e">
        <f t="shared" si="190"/>
        <v>#N/A</v>
      </c>
      <c r="X1495" t="e">
        <f t="shared" si="191"/>
        <v>#N/A</v>
      </c>
    </row>
    <row r="1496" spans="1:24" x14ac:dyDescent="0.3">
      <c r="A1496">
        <v>6.4</v>
      </c>
      <c r="B1496">
        <v>0.31</v>
      </c>
      <c r="C1496">
        <v>0.09</v>
      </c>
      <c r="D1496">
        <v>1.4</v>
      </c>
      <c r="E1496">
        <v>6.6000000000000003E-2</v>
      </c>
      <c r="F1496">
        <v>15</v>
      </c>
      <c r="G1496">
        <v>28</v>
      </c>
      <c r="H1496">
        <v>0.99458999999999997</v>
      </c>
      <c r="I1496">
        <v>3.42</v>
      </c>
      <c r="J1496">
        <v>0.7</v>
      </c>
      <c r="K1496">
        <v>10</v>
      </c>
      <c r="L1496">
        <v>7</v>
      </c>
      <c r="M1496" t="str">
        <f t="shared" si="184"/>
        <v>High</v>
      </c>
      <c r="N1496">
        <f>(winequality_red[[#This Row],[Updated Quality &amp; Alcohol Analysis]]+winequality_red[[#This Row],[volatile acidity]]+winequality_red[[#This Row],[citric acid]])</f>
        <v>6.8</v>
      </c>
      <c r="O1496">
        <f t="shared" si="185"/>
        <v>2.1700000000000001E-2</v>
      </c>
      <c r="S1496" t="e">
        <f t="shared" si="186"/>
        <v>#N/A</v>
      </c>
      <c r="T1496" t="e">
        <f t="shared" si="187"/>
        <v>#N/A</v>
      </c>
      <c r="U1496" t="e">
        <f t="shared" si="188"/>
        <v>#N/A</v>
      </c>
      <c r="V1496" t="e">
        <f t="shared" si="189"/>
        <v>#N/A</v>
      </c>
      <c r="W1496">
        <f t="shared" si="190"/>
        <v>10</v>
      </c>
      <c r="X1496">
        <f t="shared" si="191"/>
        <v>7</v>
      </c>
    </row>
    <row r="1497" spans="1:24" x14ac:dyDescent="0.3">
      <c r="A1497">
        <v>7</v>
      </c>
      <c r="B1497">
        <v>0.43</v>
      </c>
      <c r="C1497">
        <v>0.02</v>
      </c>
      <c r="D1497">
        <v>1.9</v>
      </c>
      <c r="E1497">
        <v>0.08</v>
      </c>
      <c r="F1497">
        <v>15</v>
      </c>
      <c r="G1497">
        <v>28</v>
      </c>
      <c r="H1497">
        <v>0.99492000000000003</v>
      </c>
      <c r="I1497">
        <v>3.35</v>
      </c>
      <c r="J1497">
        <v>0.81</v>
      </c>
      <c r="K1497">
        <v>10.6</v>
      </c>
      <c r="L1497">
        <v>6</v>
      </c>
      <c r="M1497" t="str">
        <f t="shared" si="184"/>
        <v>Medium</v>
      </c>
      <c r="N1497">
        <f>(winequality_red[[#This Row],[Updated Quality &amp; Alcohol Analysis]]+winequality_red[[#This Row],[volatile acidity]]+winequality_red[[#This Row],[citric acid]])</f>
        <v>7.4499999999999993</v>
      </c>
      <c r="O1497">
        <f t="shared" si="185"/>
        <v>3.2858490566037735E-2</v>
      </c>
      <c r="S1497" t="e">
        <f t="shared" si="186"/>
        <v>#N/A</v>
      </c>
      <c r="T1497" t="e">
        <f t="shared" si="187"/>
        <v>#N/A</v>
      </c>
      <c r="U1497">
        <f t="shared" si="188"/>
        <v>10.6</v>
      </c>
      <c r="V1497">
        <f t="shared" si="189"/>
        <v>6</v>
      </c>
      <c r="W1497" t="e">
        <f t="shared" si="190"/>
        <v>#N/A</v>
      </c>
      <c r="X1497" t="e">
        <f t="shared" si="191"/>
        <v>#N/A</v>
      </c>
    </row>
    <row r="1498" spans="1:24" x14ac:dyDescent="0.3">
      <c r="A1498">
        <v>7.7</v>
      </c>
      <c r="B1498">
        <v>0.54</v>
      </c>
      <c r="C1498">
        <v>0.26</v>
      </c>
      <c r="D1498">
        <v>1.9</v>
      </c>
      <c r="E1498">
        <v>8.900000000000001E-2</v>
      </c>
      <c r="F1498">
        <v>23</v>
      </c>
      <c r="G1498">
        <v>147</v>
      </c>
      <c r="H1498">
        <v>0.99636000000000002</v>
      </c>
      <c r="I1498">
        <v>3.26</v>
      </c>
      <c r="J1498">
        <v>0.59</v>
      </c>
      <c r="K1498">
        <v>9.6999999999999993</v>
      </c>
      <c r="L1498">
        <v>5</v>
      </c>
      <c r="M1498" t="str">
        <f t="shared" si="184"/>
        <v>Medium</v>
      </c>
      <c r="N1498">
        <f>(winequality_red[[#This Row],[Updated Quality &amp; Alcohol Analysis]]+winequality_red[[#This Row],[volatile acidity]]+winequality_red[[#This Row],[citric acid]])</f>
        <v>8.5</v>
      </c>
      <c r="O1498">
        <f t="shared" si="185"/>
        <v>3.2845360824742272E-2</v>
      </c>
      <c r="S1498" t="e">
        <f t="shared" si="186"/>
        <v>#N/A</v>
      </c>
      <c r="T1498" t="e">
        <f t="shared" si="187"/>
        <v>#N/A</v>
      </c>
      <c r="U1498">
        <f t="shared" si="188"/>
        <v>9.6999999999999993</v>
      </c>
      <c r="V1498">
        <f t="shared" si="189"/>
        <v>5</v>
      </c>
      <c r="W1498" t="e">
        <f t="shared" si="190"/>
        <v>#N/A</v>
      </c>
      <c r="X1498" t="e">
        <f t="shared" si="191"/>
        <v>#N/A</v>
      </c>
    </row>
    <row r="1499" spans="1:24" x14ac:dyDescent="0.3">
      <c r="A1499">
        <v>6.9</v>
      </c>
      <c r="B1499">
        <v>0.74</v>
      </c>
      <c r="C1499">
        <v>0.03</v>
      </c>
      <c r="D1499">
        <v>2.2999999999999998</v>
      </c>
      <c r="E1499">
        <v>5.4000000000000006E-2</v>
      </c>
      <c r="F1499">
        <v>7</v>
      </c>
      <c r="G1499">
        <v>16</v>
      </c>
      <c r="H1499">
        <v>0.99507999999999996</v>
      </c>
      <c r="I1499">
        <v>3.45</v>
      </c>
      <c r="J1499">
        <v>0.63</v>
      </c>
      <c r="K1499">
        <v>11.5</v>
      </c>
      <c r="L1499">
        <v>6</v>
      </c>
      <c r="M1499" t="str">
        <f t="shared" si="184"/>
        <v>Medium</v>
      </c>
      <c r="N1499">
        <f>(winequality_red[[#This Row],[Updated Quality &amp; Alcohol Analysis]]+winequality_red[[#This Row],[volatile acidity]]+winequality_red[[#This Row],[citric acid]])</f>
        <v>7.6700000000000008</v>
      </c>
      <c r="O1499">
        <f t="shared" si="185"/>
        <v>4.0539130434782612E-2</v>
      </c>
      <c r="S1499" t="e">
        <f t="shared" si="186"/>
        <v>#N/A</v>
      </c>
      <c r="T1499" t="e">
        <f t="shared" si="187"/>
        <v>#N/A</v>
      </c>
      <c r="U1499">
        <f t="shared" si="188"/>
        <v>11.5</v>
      </c>
      <c r="V1499">
        <f t="shared" si="189"/>
        <v>6</v>
      </c>
      <c r="W1499" t="e">
        <f t="shared" si="190"/>
        <v>#N/A</v>
      </c>
      <c r="X1499" t="e">
        <f t="shared" si="191"/>
        <v>#N/A</v>
      </c>
    </row>
    <row r="1500" spans="1:24" x14ac:dyDescent="0.3">
      <c r="A1500">
        <v>6.6</v>
      </c>
      <c r="B1500">
        <v>0.89500000000000002</v>
      </c>
      <c r="C1500">
        <v>0.04</v>
      </c>
      <c r="D1500">
        <v>2.2999999999999998</v>
      </c>
      <c r="E1500">
        <v>6.8000000000000005E-2</v>
      </c>
      <c r="F1500">
        <v>7</v>
      </c>
      <c r="G1500">
        <v>13</v>
      </c>
      <c r="H1500">
        <v>0.99582000000000004</v>
      </c>
      <c r="I1500">
        <v>3.53</v>
      </c>
      <c r="J1500">
        <v>0.57999999999999996</v>
      </c>
      <c r="K1500">
        <v>10.8</v>
      </c>
      <c r="L1500">
        <v>6</v>
      </c>
      <c r="M1500" t="str">
        <f t="shared" si="184"/>
        <v>Medium</v>
      </c>
      <c r="N1500">
        <f>(winequality_red[[#This Row],[Updated Quality &amp; Alcohol Analysis]]+winequality_red[[#This Row],[volatile acidity]]+winequality_red[[#This Row],[citric acid]])</f>
        <v>7.5349999999999993</v>
      </c>
      <c r="O1500">
        <f t="shared" si="185"/>
        <v>4.806481481481481E-2</v>
      </c>
      <c r="S1500" t="e">
        <f t="shared" si="186"/>
        <v>#N/A</v>
      </c>
      <c r="T1500" t="e">
        <f t="shared" si="187"/>
        <v>#N/A</v>
      </c>
      <c r="U1500">
        <f t="shared" si="188"/>
        <v>10.8</v>
      </c>
      <c r="V1500">
        <f t="shared" si="189"/>
        <v>6</v>
      </c>
      <c r="W1500" t="e">
        <f t="shared" si="190"/>
        <v>#N/A</v>
      </c>
      <c r="X1500" t="e">
        <f t="shared" si="191"/>
        <v>#N/A</v>
      </c>
    </row>
    <row r="1501" spans="1:24" x14ac:dyDescent="0.3">
      <c r="A1501">
        <v>6.9</v>
      </c>
      <c r="B1501">
        <v>0.74</v>
      </c>
      <c r="C1501">
        <v>0.03</v>
      </c>
      <c r="D1501">
        <v>2.2999999999999998</v>
      </c>
      <c r="E1501">
        <v>5.4000000000000006E-2</v>
      </c>
      <c r="F1501">
        <v>7</v>
      </c>
      <c r="G1501">
        <v>16</v>
      </c>
      <c r="H1501">
        <v>0.99507999999999996</v>
      </c>
      <c r="I1501">
        <v>3.45</v>
      </c>
      <c r="J1501">
        <v>0.63</v>
      </c>
      <c r="K1501">
        <v>11.5</v>
      </c>
      <c r="L1501">
        <v>6</v>
      </c>
      <c r="M1501" t="str">
        <f t="shared" si="184"/>
        <v>Medium</v>
      </c>
      <c r="N1501">
        <f>(winequality_red[[#This Row],[Updated Quality &amp; Alcohol Analysis]]+winequality_red[[#This Row],[volatile acidity]]+winequality_red[[#This Row],[citric acid]])</f>
        <v>7.6700000000000008</v>
      </c>
      <c r="O1501">
        <f t="shared" si="185"/>
        <v>4.0539130434782612E-2</v>
      </c>
      <c r="S1501" t="e">
        <f t="shared" si="186"/>
        <v>#N/A</v>
      </c>
      <c r="T1501" t="e">
        <f t="shared" si="187"/>
        <v>#N/A</v>
      </c>
      <c r="U1501">
        <f t="shared" si="188"/>
        <v>11.5</v>
      </c>
      <c r="V1501">
        <f t="shared" si="189"/>
        <v>6</v>
      </c>
      <c r="W1501" t="e">
        <f t="shared" si="190"/>
        <v>#N/A</v>
      </c>
      <c r="X1501" t="e">
        <f t="shared" si="191"/>
        <v>#N/A</v>
      </c>
    </row>
    <row r="1502" spans="1:24" x14ac:dyDescent="0.3">
      <c r="A1502">
        <v>7.5</v>
      </c>
      <c r="B1502">
        <v>0.72499999999999998</v>
      </c>
      <c r="C1502">
        <v>0.04</v>
      </c>
      <c r="D1502">
        <v>1.5</v>
      </c>
      <c r="E1502">
        <v>7.5999999999999998E-2</v>
      </c>
      <c r="F1502">
        <v>8</v>
      </c>
      <c r="G1502">
        <v>15</v>
      </c>
      <c r="H1502">
        <v>0.99507999999999996</v>
      </c>
      <c r="I1502">
        <v>3.26</v>
      </c>
      <c r="J1502">
        <v>0.53</v>
      </c>
      <c r="K1502">
        <v>9.6</v>
      </c>
      <c r="L1502">
        <v>5</v>
      </c>
      <c r="M1502" t="str">
        <f t="shared" si="184"/>
        <v>Medium</v>
      </c>
      <c r="N1502">
        <f>(winequality_red[[#This Row],[Updated Quality &amp; Alcohol Analysis]]+winequality_red[[#This Row],[volatile acidity]]+winequality_red[[#This Row],[citric acid]])</f>
        <v>8.2649999999999988</v>
      </c>
      <c r="O1502">
        <f t="shared" si="185"/>
        <v>4.0026041666666665E-2</v>
      </c>
      <c r="S1502" t="e">
        <f t="shared" si="186"/>
        <v>#N/A</v>
      </c>
      <c r="T1502" t="e">
        <f t="shared" si="187"/>
        <v>#N/A</v>
      </c>
      <c r="U1502">
        <f t="shared" si="188"/>
        <v>9.6</v>
      </c>
      <c r="V1502">
        <f t="shared" si="189"/>
        <v>5</v>
      </c>
      <c r="W1502" t="e">
        <f t="shared" si="190"/>
        <v>#N/A</v>
      </c>
      <c r="X1502" t="e">
        <f t="shared" si="191"/>
        <v>#N/A</v>
      </c>
    </row>
    <row r="1503" spans="1:24" x14ac:dyDescent="0.3">
      <c r="A1503">
        <v>7.8</v>
      </c>
      <c r="B1503">
        <v>0.82</v>
      </c>
      <c r="C1503">
        <v>0.28999999999999998</v>
      </c>
      <c r="D1503">
        <v>4.3</v>
      </c>
      <c r="E1503">
        <v>8.3000000000000004E-2</v>
      </c>
      <c r="F1503">
        <v>21</v>
      </c>
      <c r="G1503">
        <v>64</v>
      </c>
      <c r="H1503">
        <v>0.99642000000000008</v>
      </c>
      <c r="I1503">
        <v>3.16</v>
      </c>
      <c r="J1503">
        <v>0.53</v>
      </c>
      <c r="K1503">
        <v>9.4</v>
      </c>
      <c r="L1503">
        <v>5</v>
      </c>
      <c r="M1503" t="str">
        <f t="shared" si="184"/>
        <v>Medium</v>
      </c>
      <c r="N1503">
        <f>(winequality_red[[#This Row],[Updated Quality &amp; Alcohol Analysis]]+winequality_red[[#This Row],[volatile acidity]]+winequality_red[[#This Row],[citric acid]])</f>
        <v>8.9099999999999984</v>
      </c>
      <c r="O1503">
        <f t="shared" si="185"/>
        <v>4.6234042553191489E-2</v>
      </c>
      <c r="S1503" t="e">
        <f t="shared" si="186"/>
        <v>#N/A</v>
      </c>
      <c r="T1503" t="e">
        <f t="shared" si="187"/>
        <v>#N/A</v>
      </c>
      <c r="U1503">
        <f t="shared" si="188"/>
        <v>9.4</v>
      </c>
      <c r="V1503">
        <f t="shared" si="189"/>
        <v>5</v>
      </c>
      <c r="W1503" t="e">
        <f t="shared" si="190"/>
        <v>#N/A</v>
      </c>
      <c r="X1503" t="e">
        <f t="shared" si="191"/>
        <v>#N/A</v>
      </c>
    </row>
    <row r="1504" spans="1:24" x14ac:dyDescent="0.3">
      <c r="A1504">
        <v>7.3</v>
      </c>
      <c r="B1504">
        <v>0.58499999999999996</v>
      </c>
      <c r="C1504">
        <v>0.18</v>
      </c>
      <c r="D1504">
        <v>2.4</v>
      </c>
      <c r="E1504">
        <v>7.8E-2</v>
      </c>
      <c r="F1504">
        <v>15</v>
      </c>
      <c r="G1504">
        <v>60</v>
      </c>
      <c r="H1504">
        <v>0.99637999999999993</v>
      </c>
      <c r="I1504">
        <v>3.31</v>
      </c>
      <c r="J1504">
        <v>0.54</v>
      </c>
      <c r="K1504">
        <v>9.8000000000000007</v>
      </c>
      <c r="L1504">
        <v>5</v>
      </c>
      <c r="M1504" t="str">
        <f t="shared" si="184"/>
        <v>Medium</v>
      </c>
      <c r="N1504">
        <f>(winequality_red[[#This Row],[Updated Quality &amp; Alcohol Analysis]]+winequality_red[[#This Row],[volatile acidity]]+winequality_red[[#This Row],[citric acid]])</f>
        <v>8.0649999999999995</v>
      </c>
      <c r="O1504">
        <f t="shared" si="185"/>
        <v>3.223469387755102E-2</v>
      </c>
      <c r="S1504" t="e">
        <f t="shared" si="186"/>
        <v>#N/A</v>
      </c>
      <c r="T1504" t="e">
        <f t="shared" si="187"/>
        <v>#N/A</v>
      </c>
      <c r="U1504">
        <f t="shared" si="188"/>
        <v>9.8000000000000007</v>
      </c>
      <c r="V1504">
        <f t="shared" si="189"/>
        <v>5</v>
      </c>
      <c r="W1504" t="e">
        <f t="shared" si="190"/>
        <v>#N/A</v>
      </c>
      <c r="X1504" t="e">
        <f t="shared" si="191"/>
        <v>#N/A</v>
      </c>
    </row>
    <row r="1505" spans="1:24" x14ac:dyDescent="0.3">
      <c r="A1505">
        <v>6.2</v>
      </c>
      <c r="B1505">
        <v>0.44</v>
      </c>
      <c r="C1505">
        <v>0.39</v>
      </c>
      <c r="D1505">
        <v>2.5</v>
      </c>
      <c r="E1505">
        <v>7.6999999999999999E-2</v>
      </c>
      <c r="F1505">
        <v>6</v>
      </c>
      <c r="G1505">
        <v>14</v>
      </c>
      <c r="H1505">
        <v>0.99555000000000005</v>
      </c>
      <c r="I1505">
        <v>3.51</v>
      </c>
      <c r="J1505">
        <v>0.69</v>
      </c>
      <c r="K1505">
        <v>11</v>
      </c>
      <c r="L1505">
        <v>6</v>
      </c>
      <c r="M1505" t="str">
        <f t="shared" si="184"/>
        <v>Medium</v>
      </c>
      <c r="N1505">
        <f>(winequality_red[[#This Row],[Updated Quality &amp; Alcohol Analysis]]+winequality_red[[#This Row],[volatile acidity]]+winequality_red[[#This Row],[citric acid]])</f>
        <v>7.03</v>
      </c>
      <c r="O1505">
        <f t="shared" si="185"/>
        <v>2.76E-2</v>
      </c>
      <c r="S1505" t="e">
        <f t="shared" si="186"/>
        <v>#N/A</v>
      </c>
      <c r="T1505" t="e">
        <f t="shared" si="187"/>
        <v>#N/A</v>
      </c>
      <c r="U1505">
        <f t="shared" si="188"/>
        <v>11</v>
      </c>
      <c r="V1505">
        <f t="shared" si="189"/>
        <v>6</v>
      </c>
      <c r="W1505" t="e">
        <f t="shared" si="190"/>
        <v>#N/A</v>
      </c>
      <c r="X1505" t="e">
        <f t="shared" si="191"/>
        <v>#N/A</v>
      </c>
    </row>
    <row r="1506" spans="1:24" x14ac:dyDescent="0.3">
      <c r="A1506">
        <v>7.5</v>
      </c>
      <c r="B1506">
        <v>0.38</v>
      </c>
      <c r="C1506">
        <v>0.56999999999999995</v>
      </c>
      <c r="D1506">
        <v>2.2999999999999998</v>
      </c>
      <c r="E1506">
        <v>0.106</v>
      </c>
      <c r="F1506">
        <v>5</v>
      </c>
      <c r="G1506">
        <v>12</v>
      </c>
      <c r="H1506">
        <v>0.99604999999999999</v>
      </c>
      <c r="I1506">
        <v>3.36</v>
      </c>
      <c r="J1506">
        <v>0.55000000000000004</v>
      </c>
      <c r="K1506">
        <v>11.4</v>
      </c>
      <c r="L1506">
        <v>6</v>
      </c>
      <c r="M1506" t="str">
        <f t="shared" si="184"/>
        <v>Medium</v>
      </c>
      <c r="N1506">
        <f>(winequality_red[[#This Row],[Updated Quality &amp; Alcohol Analysis]]+winequality_red[[#This Row],[volatile acidity]]+winequality_red[[#This Row],[citric acid]])</f>
        <v>8.4499999999999993</v>
      </c>
      <c r="O1506">
        <f t="shared" si="185"/>
        <v>1.8333333333333333E-2</v>
      </c>
      <c r="S1506" t="e">
        <f t="shared" si="186"/>
        <v>#N/A</v>
      </c>
      <c r="T1506" t="e">
        <f t="shared" si="187"/>
        <v>#N/A</v>
      </c>
      <c r="U1506">
        <f t="shared" si="188"/>
        <v>11.4</v>
      </c>
      <c r="V1506">
        <f t="shared" si="189"/>
        <v>6</v>
      </c>
      <c r="W1506" t="e">
        <f t="shared" si="190"/>
        <v>#N/A</v>
      </c>
      <c r="X1506" t="e">
        <f t="shared" si="191"/>
        <v>#N/A</v>
      </c>
    </row>
    <row r="1507" spans="1:24" x14ac:dyDescent="0.3">
      <c r="A1507">
        <v>6.7</v>
      </c>
      <c r="B1507">
        <v>0.76</v>
      </c>
      <c r="C1507">
        <v>0.02</v>
      </c>
      <c r="D1507">
        <v>1.8</v>
      </c>
      <c r="E1507">
        <v>7.8E-2</v>
      </c>
      <c r="F1507">
        <v>6</v>
      </c>
      <c r="G1507">
        <v>12</v>
      </c>
      <c r="H1507">
        <v>0.996</v>
      </c>
      <c r="I1507">
        <v>3.55</v>
      </c>
      <c r="J1507">
        <v>0.63</v>
      </c>
      <c r="K1507">
        <v>9.9499999999999993</v>
      </c>
      <c r="L1507">
        <v>3</v>
      </c>
      <c r="M1507" t="str">
        <f t="shared" si="184"/>
        <v>Low</v>
      </c>
      <c r="N1507">
        <f>(winequality_red[[#This Row],[Updated Quality &amp; Alcohol Analysis]]+winequality_red[[#This Row],[volatile acidity]]+winequality_red[[#This Row],[citric acid]])</f>
        <v>7.4799999999999995</v>
      </c>
      <c r="O1507">
        <f t="shared" si="185"/>
        <v>4.8120603015075383E-2</v>
      </c>
      <c r="S1507">
        <f t="shared" si="186"/>
        <v>9.9499999999999993</v>
      </c>
      <c r="T1507">
        <f t="shared" si="187"/>
        <v>3</v>
      </c>
      <c r="U1507" t="e">
        <f t="shared" si="188"/>
        <v>#N/A</v>
      </c>
      <c r="V1507" t="e">
        <f t="shared" si="189"/>
        <v>#N/A</v>
      </c>
      <c r="W1507" t="e">
        <f t="shared" si="190"/>
        <v>#N/A</v>
      </c>
      <c r="X1507" t="e">
        <f t="shared" si="191"/>
        <v>#N/A</v>
      </c>
    </row>
    <row r="1508" spans="1:24" x14ac:dyDescent="0.3">
      <c r="A1508">
        <v>6.8</v>
      </c>
      <c r="B1508">
        <v>0.81</v>
      </c>
      <c r="C1508">
        <v>0.05</v>
      </c>
      <c r="D1508">
        <v>2</v>
      </c>
      <c r="E1508">
        <v>7.0000000000000007E-2</v>
      </c>
      <c r="F1508">
        <v>6</v>
      </c>
      <c r="G1508">
        <v>14</v>
      </c>
      <c r="H1508">
        <v>0.99562000000000006</v>
      </c>
      <c r="I1508">
        <v>3.51</v>
      </c>
      <c r="J1508">
        <v>0.66</v>
      </c>
      <c r="K1508">
        <v>10.8</v>
      </c>
      <c r="L1508">
        <v>6</v>
      </c>
      <c r="M1508" t="str">
        <f t="shared" si="184"/>
        <v>Medium</v>
      </c>
      <c r="N1508">
        <f>(winequality_red[[#This Row],[Updated Quality &amp; Alcohol Analysis]]+winequality_red[[#This Row],[volatile acidity]]+winequality_red[[#This Row],[citric acid]])</f>
        <v>7.6599999999999993</v>
      </c>
      <c r="O1508">
        <f t="shared" si="185"/>
        <v>4.9500000000000002E-2</v>
      </c>
      <c r="S1508" t="e">
        <f t="shared" si="186"/>
        <v>#N/A</v>
      </c>
      <c r="T1508" t="e">
        <f t="shared" si="187"/>
        <v>#N/A</v>
      </c>
      <c r="U1508">
        <f t="shared" si="188"/>
        <v>10.8</v>
      </c>
      <c r="V1508">
        <f t="shared" si="189"/>
        <v>6</v>
      </c>
      <c r="W1508" t="e">
        <f t="shared" si="190"/>
        <v>#N/A</v>
      </c>
      <c r="X1508" t="e">
        <f t="shared" si="191"/>
        <v>#N/A</v>
      </c>
    </row>
    <row r="1509" spans="1:24" x14ac:dyDescent="0.3">
      <c r="A1509">
        <v>7.5</v>
      </c>
      <c r="B1509">
        <v>0.38</v>
      </c>
      <c r="C1509">
        <v>0.56999999999999995</v>
      </c>
      <c r="D1509">
        <v>2.2999999999999998</v>
      </c>
      <c r="E1509">
        <v>0.106</v>
      </c>
      <c r="F1509">
        <v>5</v>
      </c>
      <c r="G1509">
        <v>12</v>
      </c>
      <c r="H1509">
        <v>0.99604999999999999</v>
      </c>
      <c r="I1509">
        <v>3.36</v>
      </c>
      <c r="J1509">
        <v>0.55000000000000004</v>
      </c>
      <c r="K1509">
        <v>11.4</v>
      </c>
      <c r="L1509">
        <v>6</v>
      </c>
      <c r="M1509" t="str">
        <f t="shared" si="184"/>
        <v>Medium</v>
      </c>
      <c r="N1509">
        <f>(winequality_red[[#This Row],[Updated Quality &amp; Alcohol Analysis]]+winequality_red[[#This Row],[volatile acidity]]+winequality_red[[#This Row],[citric acid]])</f>
        <v>8.4499999999999993</v>
      </c>
      <c r="O1509">
        <f t="shared" si="185"/>
        <v>1.8333333333333333E-2</v>
      </c>
      <c r="S1509" t="e">
        <f t="shared" si="186"/>
        <v>#N/A</v>
      </c>
      <c r="T1509" t="e">
        <f t="shared" si="187"/>
        <v>#N/A</v>
      </c>
      <c r="U1509">
        <f t="shared" si="188"/>
        <v>11.4</v>
      </c>
      <c r="V1509">
        <f t="shared" si="189"/>
        <v>6</v>
      </c>
      <c r="W1509" t="e">
        <f t="shared" si="190"/>
        <v>#N/A</v>
      </c>
      <c r="X1509" t="e">
        <f t="shared" si="191"/>
        <v>#N/A</v>
      </c>
    </row>
    <row r="1510" spans="1:24" x14ac:dyDescent="0.3">
      <c r="A1510">
        <v>7.1</v>
      </c>
      <c r="B1510">
        <v>0.27</v>
      </c>
      <c r="C1510">
        <v>0.6</v>
      </c>
      <c r="D1510">
        <v>2.1</v>
      </c>
      <c r="E1510">
        <v>7.400000000000001E-2</v>
      </c>
      <c r="F1510">
        <v>17</v>
      </c>
      <c r="G1510">
        <v>25</v>
      </c>
      <c r="H1510">
        <v>0.99813999999999992</v>
      </c>
      <c r="I1510">
        <v>3.38</v>
      </c>
      <c r="J1510">
        <v>0.72</v>
      </c>
      <c r="K1510">
        <v>10.6</v>
      </c>
      <c r="L1510">
        <v>6</v>
      </c>
      <c r="M1510" t="str">
        <f t="shared" si="184"/>
        <v>Medium</v>
      </c>
      <c r="N1510">
        <f>(winequality_red[[#This Row],[Updated Quality &amp; Alcohol Analysis]]+winequality_red[[#This Row],[volatile acidity]]+winequality_red[[#This Row],[citric acid]])</f>
        <v>7.9699999999999989</v>
      </c>
      <c r="O1510">
        <f t="shared" si="185"/>
        <v>1.8339622641509436E-2</v>
      </c>
      <c r="S1510" t="e">
        <f t="shared" si="186"/>
        <v>#N/A</v>
      </c>
      <c r="T1510" t="e">
        <f t="shared" si="187"/>
        <v>#N/A</v>
      </c>
      <c r="U1510">
        <f t="shared" si="188"/>
        <v>10.6</v>
      </c>
      <c r="V1510">
        <f t="shared" si="189"/>
        <v>6</v>
      </c>
      <c r="W1510" t="e">
        <f t="shared" si="190"/>
        <v>#N/A</v>
      </c>
      <c r="X1510" t="e">
        <f t="shared" si="191"/>
        <v>#N/A</v>
      </c>
    </row>
    <row r="1511" spans="1:24" x14ac:dyDescent="0.3">
      <c r="A1511">
        <v>7.9</v>
      </c>
      <c r="B1511">
        <v>0.18</v>
      </c>
      <c r="C1511">
        <v>0.4</v>
      </c>
      <c r="D1511">
        <v>1.8</v>
      </c>
      <c r="E1511">
        <v>6.2E-2</v>
      </c>
      <c r="F1511">
        <v>7</v>
      </c>
      <c r="G1511">
        <v>20</v>
      </c>
      <c r="H1511">
        <v>0.99409999999999998</v>
      </c>
      <c r="I1511">
        <v>3.28</v>
      </c>
      <c r="J1511">
        <v>0.7</v>
      </c>
      <c r="K1511">
        <v>11.1</v>
      </c>
      <c r="L1511">
        <v>5</v>
      </c>
      <c r="M1511" t="str">
        <f t="shared" si="184"/>
        <v>Medium</v>
      </c>
      <c r="N1511">
        <f>(winequality_red[[#This Row],[Updated Quality &amp; Alcohol Analysis]]+winequality_red[[#This Row],[volatile acidity]]+winequality_red[[#This Row],[citric acid]])</f>
        <v>8.48</v>
      </c>
      <c r="O1511">
        <f t="shared" si="185"/>
        <v>1.1351351351351352E-2</v>
      </c>
      <c r="S1511" t="e">
        <f t="shared" si="186"/>
        <v>#N/A</v>
      </c>
      <c r="T1511" t="e">
        <f t="shared" si="187"/>
        <v>#N/A</v>
      </c>
      <c r="U1511">
        <f t="shared" si="188"/>
        <v>11.1</v>
      </c>
      <c r="V1511">
        <f t="shared" si="189"/>
        <v>5</v>
      </c>
      <c r="W1511" t="e">
        <f t="shared" si="190"/>
        <v>#N/A</v>
      </c>
      <c r="X1511" t="e">
        <f t="shared" si="191"/>
        <v>#N/A</v>
      </c>
    </row>
    <row r="1512" spans="1:24" x14ac:dyDescent="0.3">
      <c r="A1512">
        <v>6.4</v>
      </c>
      <c r="B1512">
        <v>0.36</v>
      </c>
      <c r="C1512">
        <v>0.21</v>
      </c>
      <c r="D1512">
        <v>2.2000000000000002</v>
      </c>
      <c r="E1512">
        <v>4.7E-2</v>
      </c>
      <c r="F1512">
        <v>26</v>
      </c>
      <c r="G1512">
        <v>48</v>
      </c>
      <c r="H1512">
        <v>0.99661</v>
      </c>
      <c r="I1512">
        <v>3.47</v>
      </c>
      <c r="J1512">
        <v>0.77</v>
      </c>
      <c r="K1512">
        <v>9.6999999999999993</v>
      </c>
      <c r="L1512">
        <v>6</v>
      </c>
      <c r="M1512" t="str">
        <f t="shared" si="184"/>
        <v>Medium</v>
      </c>
      <c r="N1512">
        <f>(winequality_red[[#This Row],[Updated Quality &amp; Alcohol Analysis]]+winequality_red[[#This Row],[volatile acidity]]+winequality_red[[#This Row],[citric acid]])</f>
        <v>6.9700000000000006</v>
      </c>
      <c r="O1512">
        <f t="shared" si="185"/>
        <v>2.857731958762887E-2</v>
      </c>
      <c r="S1512" t="e">
        <f t="shared" si="186"/>
        <v>#N/A</v>
      </c>
      <c r="T1512" t="e">
        <f t="shared" si="187"/>
        <v>#N/A</v>
      </c>
      <c r="U1512">
        <f t="shared" si="188"/>
        <v>9.6999999999999993</v>
      </c>
      <c r="V1512">
        <f t="shared" si="189"/>
        <v>6</v>
      </c>
      <c r="W1512" t="e">
        <f t="shared" si="190"/>
        <v>#N/A</v>
      </c>
      <c r="X1512" t="e">
        <f t="shared" si="191"/>
        <v>#N/A</v>
      </c>
    </row>
    <row r="1513" spans="1:24" x14ac:dyDescent="0.3">
      <c r="A1513">
        <v>7.1</v>
      </c>
      <c r="B1513">
        <v>0.69</v>
      </c>
      <c r="C1513">
        <v>0.04</v>
      </c>
      <c r="D1513">
        <v>2.1</v>
      </c>
      <c r="E1513">
        <v>6.8000000000000005E-2</v>
      </c>
      <c r="F1513">
        <v>19</v>
      </c>
      <c r="G1513">
        <v>27</v>
      </c>
      <c r="H1513">
        <v>0.99712000000000012</v>
      </c>
      <c r="I1513">
        <v>3.44</v>
      </c>
      <c r="J1513">
        <v>0.67</v>
      </c>
      <c r="K1513">
        <v>9.8000000000000007</v>
      </c>
      <c r="L1513">
        <v>5</v>
      </c>
      <c r="M1513" t="str">
        <f t="shared" si="184"/>
        <v>Medium</v>
      </c>
      <c r="N1513">
        <f>(winequality_red[[#This Row],[Updated Quality &amp; Alcohol Analysis]]+winequality_red[[#This Row],[volatile acidity]]+winequality_red[[#This Row],[citric acid]])</f>
        <v>7.8299999999999992</v>
      </c>
      <c r="O1513">
        <f t="shared" si="185"/>
        <v>4.7173469387755095E-2</v>
      </c>
      <c r="S1513" t="e">
        <f t="shared" si="186"/>
        <v>#N/A</v>
      </c>
      <c r="T1513" t="e">
        <f t="shared" si="187"/>
        <v>#N/A</v>
      </c>
      <c r="U1513">
        <f t="shared" si="188"/>
        <v>9.8000000000000007</v>
      </c>
      <c r="V1513">
        <f t="shared" si="189"/>
        <v>5</v>
      </c>
      <c r="W1513" t="e">
        <f t="shared" si="190"/>
        <v>#N/A</v>
      </c>
      <c r="X1513" t="e">
        <f t="shared" si="191"/>
        <v>#N/A</v>
      </c>
    </row>
    <row r="1514" spans="1:24" x14ac:dyDescent="0.3">
      <c r="A1514">
        <v>6.4</v>
      </c>
      <c r="B1514">
        <v>0.79</v>
      </c>
      <c r="C1514">
        <v>0.04</v>
      </c>
      <c r="D1514">
        <v>2.2000000000000002</v>
      </c>
      <c r="E1514">
        <v>6.0999999999999999E-2</v>
      </c>
      <c r="F1514">
        <v>11</v>
      </c>
      <c r="G1514">
        <v>17</v>
      </c>
      <c r="H1514">
        <v>0.99587999999999988</v>
      </c>
      <c r="I1514">
        <v>3.53</v>
      </c>
      <c r="J1514">
        <v>0.65</v>
      </c>
      <c r="K1514">
        <v>10.4</v>
      </c>
      <c r="L1514">
        <v>6</v>
      </c>
      <c r="M1514" t="str">
        <f t="shared" si="184"/>
        <v>Medium</v>
      </c>
      <c r="N1514">
        <f>(winequality_red[[#This Row],[Updated Quality &amp; Alcohol Analysis]]+winequality_red[[#This Row],[volatile acidity]]+winequality_red[[#This Row],[citric acid]])</f>
        <v>7.23</v>
      </c>
      <c r="O1514">
        <f t="shared" si="185"/>
        <v>4.9375000000000002E-2</v>
      </c>
      <c r="S1514" t="e">
        <f t="shared" si="186"/>
        <v>#N/A</v>
      </c>
      <c r="T1514" t="e">
        <f t="shared" si="187"/>
        <v>#N/A</v>
      </c>
      <c r="U1514">
        <f t="shared" si="188"/>
        <v>10.4</v>
      </c>
      <c r="V1514">
        <f t="shared" si="189"/>
        <v>6</v>
      </c>
      <c r="W1514" t="e">
        <f t="shared" si="190"/>
        <v>#N/A</v>
      </c>
      <c r="X1514" t="e">
        <f t="shared" si="191"/>
        <v>#N/A</v>
      </c>
    </row>
    <row r="1515" spans="1:24" x14ac:dyDescent="0.3">
      <c r="A1515">
        <v>6.4</v>
      </c>
      <c r="B1515">
        <v>0.56000000000000005</v>
      </c>
      <c r="C1515">
        <v>0.15</v>
      </c>
      <c r="D1515">
        <v>1.8</v>
      </c>
      <c r="E1515">
        <v>7.8E-2</v>
      </c>
      <c r="F1515">
        <v>17</v>
      </c>
      <c r="G1515">
        <v>65</v>
      </c>
      <c r="H1515">
        <v>0.99293999999999993</v>
      </c>
      <c r="I1515">
        <v>3.33</v>
      </c>
      <c r="J1515">
        <v>0.6</v>
      </c>
      <c r="K1515">
        <v>10.5</v>
      </c>
      <c r="L1515">
        <v>6</v>
      </c>
      <c r="M1515" t="str">
        <f t="shared" si="184"/>
        <v>Medium</v>
      </c>
      <c r="N1515">
        <f>(winequality_red[[#This Row],[Updated Quality &amp; Alcohol Analysis]]+winequality_red[[#This Row],[volatile acidity]]+winequality_red[[#This Row],[citric acid]])</f>
        <v>7.1100000000000012</v>
      </c>
      <c r="O1515">
        <f t="shared" si="185"/>
        <v>3.2000000000000001E-2</v>
      </c>
      <c r="S1515" t="e">
        <f t="shared" si="186"/>
        <v>#N/A</v>
      </c>
      <c r="T1515" t="e">
        <f t="shared" si="187"/>
        <v>#N/A</v>
      </c>
      <c r="U1515">
        <f t="shared" si="188"/>
        <v>10.5</v>
      </c>
      <c r="V1515">
        <f t="shared" si="189"/>
        <v>6</v>
      </c>
      <c r="W1515" t="e">
        <f t="shared" si="190"/>
        <v>#N/A</v>
      </c>
      <c r="X1515" t="e">
        <f t="shared" si="191"/>
        <v>#N/A</v>
      </c>
    </row>
    <row r="1516" spans="1:24" x14ac:dyDescent="0.3">
      <c r="A1516">
        <v>6.9</v>
      </c>
      <c r="B1516">
        <v>0.84</v>
      </c>
      <c r="C1516">
        <v>0.21</v>
      </c>
      <c r="D1516">
        <v>4.0999999999999996</v>
      </c>
      <c r="E1516">
        <v>7.400000000000001E-2</v>
      </c>
      <c r="F1516">
        <v>16</v>
      </c>
      <c r="G1516">
        <v>65</v>
      </c>
      <c r="H1516">
        <v>0.99842000000000009</v>
      </c>
      <c r="I1516">
        <v>3.53</v>
      </c>
      <c r="J1516">
        <v>0.72</v>
      </c>
      <c r="K1516">
        <v>9.2333333333333307</v>
      </c>
      <c r="L1516">
        <v>6</v>
      </c>
      <c r="M1516" t="str">
        <f t="shared" si="184"/>
        <v>Medium</v>
      </c>
      <c r="N1516">
        <f>(winequality_red[[#This Row],[Updated Quality &amp; Alcohol Analysis]]+winequality_red[[#This Row],[volatile acidity]]+winequality_red[[#This Row],[citric acid]])</f>
        <v>7.95</v>
      </c>
      <c r="O1516">
        <f t="shared" si="185"/>
        <v>6.5501805054151638E-2</v>
      </c>
      <c r="S1516" t="e">
        <f t="shared" si="186"/>
        <v>#N/A</v>
      </c>
      <c r="T1516" t="e">
        <f t="shared" si="187"/>
        <v>#N/A</v>
      </c>
      <c r="U1516">
        <f t="shared" si="188"/>
        <v>9.2333333333333307</v>
      </c>
      <c r="V1516">
        <f t="shared" si="189"/>
        <v>6</v>
      </c>
      <c r="W1516" t="e">
        <f t="shared" si="190"/>
        <v>#N/A</v>
      </c>
      <c r="X1516" t="e">
        <f t="shared" si="191"/>
        <v>#N/A</v>
      </c>
    </row>
    <row r="1517" spans="1:24" x14ac:dyDescent="0.3">
      <c r="A1517">
        <v>6.9</v>
      </c>
      <c r="B1517">
        <v>0.84</v>
      </c>
      <c r="C1517">
        <v>0.21</v>
      </c>
      <c r="D1517">
        <v>4.0999999999999996</v>
      </c>
      <c r="E1517">
        <v>7.400000000000001E-2</v>
      </c>
      <c r="F1517">
        <v>16</v>
      </c>
      <c r="G1517">
        <v>65</v>
      </c>
      <c r="H1517">
        <v>0.99842000000000009</v>
      </c>
      <c r="I1517">
        <v>3.53</v>
      </c>
      <c r="J1517">
        <v>0.72</v>
      </c>
      <c r="K1517">
        <v>9.25</v>
      </c>
      <c r="L1517">
        <v>6</v>
      </c>
      <c r="M1517" t="str">
        <f t="shared" si="184"/>
        <v>Medium</v>
      </c>
      <c r="N1517">
        <f>(winequality_red[[#This Row],[Updated Quality &amp; Alcohol Analysis]]+winequality_red[[#This Row],[volatile acidity]]+winequality_red[[#This Row],[citric acid]])</f>
        <v>7.95</v>
      </c>
      <c r="O1517">
        <f t="shared" si="185"/>
        <v>6.5383783783783789E-2</v>
      </c>
      <c r="S1517" t="e">
        <f t="shared" si="186"/>
        <v>#N/A</v>
      </c>
      <c r="T1517" t="e">
        <f t="shared" si="187"/>
        <v>#N/A</v>
      </c>
      <c r="U1517">
        <f t="shared" si="188"/>
        <v>9.25</v>
      </c>
      <c r="V1517">
        <f t="shared" si="189"/>
        <v>6</v>
      </c>
      <c r="W1517" t="e">
        <f t="shared" si="190"/>
        <v>#N/A</v>
      </c>
      <c r="X1517" t="e">
        <f t="shared" si="191"/>
        <v>#N/A</v>
      </c>
    </row>
    <row r="1518" spans="1:24" x14ac:dyDescent="0.3">
      <c r="A1518">
        <v>6.1</v>
      </c>
      <c r="B1518">
        <v>0.32</v>
      </c>
      <c r="C1518">
        <v>0.25</v>
      </c>
      <c r="D1518">
        <v>2.2999999999999998</v>
      </c>
      <c r="E1518">
        <v>7.0999999999999994E-2</v>
      </c>
      <c r="F1518">
        <v>23</v>
      </c>
      <c r="G1518">
        <v>58</v>
      </c>
      <c r="H1518">
        <v>0.99632999999999994</v>
      </c>
      <c r="I1518">
        <v>3.42</v>
      </c>
      <c r="J1518">
        <v>0.97</v>
      </c>
      <c r="K1518">
        <v>10.6</v>
      </c>
      <c r="L1518">
        <v>5</v>
      </c>
      <c r="M1518" t="str">
        <f t="shared" si="184"/>
        <v>Medium</v>
      </c>
      <c r="N1518">
        <f>(winequality_red[[#This Row],[Updated Quality &amp; Alcohol Analysis]]+winequality_red[[#This Row],[volatile acidity]]+winequality_red[[#This Row],[citric acid]])</f>
        <v>6.67</v>
      </c>
      <c r="O1518">
        <f t="shared" si="185"/>
        <v>2.9283018867924532E-2</v>
      </c>
      <c r="S1518" t="e">
        <f t="shared" si="186"/>
        <v>#N/A</v>
      </c>
      <c r="T1518" t="e">
        <f t="shared" si="187"/>
        <v>#N/A</v>
      </c>
      <c r="U1518">
        <f t="shared" si="188"/>
        <v>10.6</v>
      </c>
      <c r="V1518">
        <f t="shared" si="189"/>
        <v>5</v>
      </c>
      <c r="W1518" t="e">
        <f t="shared" si="190"/>
        <v>#N/A</v>
      </c>
      <c r="X1518" t="e">
        <f t="shared" si="191"/>
        <v>#N/A</v>
      </c>
    </row>
    <row r="1519" spans="1:24" x14ac:dyDescent="0.3">
      <c r="A1519">
        <v>6.5</v>
      </c>
      <c r="B1519">
        <v>0.53</v>
      </c>
      <c r="C1519">
        <v>0.06</v>
      </c>
      <c r="D1519">
        <v>2</v>
      </c>
      <c r="E1519">
        <v>6.3E-2</v>
      </c>
      <c r="F1519">
        <v>29</v>
      </c>
      <c r="G1519">
        <v>44</v>
      </c>
      <c r="H1519">
        <v>0.99488999999999994</v>
      </c>
      <c r="I1519">
        <v>3.38</v>
      </c>
      <c r="J1519">
        <v>0.83</v>
      </c>
      <c r="K1519">
        <v>10.3</v>
      </c>
      <c r="L1519">
        <v>6</v>
      </c>
      <c r="M1519" t="str">
        <f t="shared" si="184"/>
        <v>Medium</v>
      </c>
      <c r="N1519">
        <f>(winequality_red[[#This Row],[Updated Quality &amp; Alcohol Analysis]]+winequality_red[[#This Row],[volatile acidity]]+winequality_red[[#This Row],[citric acid]])</f>
        <v>7.09</v>
      </c>
      <c r="O1519">
        <f t="shared" si="185"/>
        <v>4.2708737864077667E-2</v>
      </c>
      <c r="S1519" t="e">
        <f t="shared" si="186"/>
        <v>#N/A</v>
      </c>
      <c r="T1519" t="e">
        <f t="shared" si="187"/>
        <v>#N/A</v>
      </c>
      <c r="U1519">
        <f t="shared" si="188"/>
        <v>10.3</v>
      </c>
      <c r="V1519">
        <f t="shared" si="189"/>
        <v>6</v>
      </c>
      <c r="W1519" t="e">
        <f t="shared" si="190"/>
        <v>#N/A</v>
      </c>
      <c r="X1519" t="e">
        <f t="shared" si="191"/>
        <v>#N/A</v>
      </c>
    </row>
    <row r="1520" spans="1:24" x14ac:dyDescent="0.3">
      <c r="A1520">
        <v>7.4</v>
      </c>
      <c r="B1520">
        <v>0.47</v>
      </c>
      <c r="C1520">
        <v>0.46</v>
      </c>
      <c r="D1520">
        <v>2.2000000000000002</v>
      </c>
      <c r="E1520">
        <v>0.114</v>
      </c>
      <c r="F1520">
        <v>7</v>
      </c>
      <c r="G1520">
        <v>20</v>
      </c>
      <c r="H1520">
        <v>0.99647000000000008</v>
      </c>
      <c r="I1520">
        <v>3.32</v>
      </c>
      <c r="J1520">
        <v>0.63</v>
      </c>
      <c r="K1520">
        <v>10.5</v>
      </c>
      <c r="L1520">
        <v>5</v>
      </c>
      <c r="M1520" t="str">
        <f t="shared" si="184"/>
        <v>Medium</v>
      </c>
      <c r="N1520">
        <f>(winequality_red[[#This Row],[Updated Quality &amp; Alcohol Analysis]]+winequality_red[[#This Row],[volatile acidity]]+winequality_red[[#This Row],[citric acid]])</f>
        <v>8.33</v>
      </c>
      <c r="O1520">
        <f t="shared" si="185"/>
        <v>2.8199999999999996E-2</v>
      </c>
      <c r="S1520" t="e">
        <f t="shared" si="186"/>
        <v>#N/A</v>
      </c>
      <c r="T1520" t="e">
        <f t="shared" si="187"/>
        <v>#N/A</v>
      </c>
      <c r="U1520">
        <f t="shared" si="188"/>
        <v>10.5</v>
      </c>
      <c r="V1520">
        <f t="shared" si="189"/>
        <v>5</v>
      </c>
      <c r="W1520" t="e">
        <f t="shared" si="190"/>
        <v>#N/A</v>
      </c>
      <c r="X1520" t="e">
        <f t="shared" si="191"/>
        <v>#N/A</v>
      </c>
    </row>
    <row r="1521" spans="1:24" x14ac:dyDescent="0.3">
      <c r="A1521">
        <v>6.6</v>
      </c>
      <c r="B1521">
        <v>0.7</v>
      </c>
      <c r="C1521">
        <v>0.08</v>
      </c>
      <c r="D1521">
        <v>2.6</v>
      </c>
      <c r="E1521">
        <v>0.106</v>
      </c>
      <c r="F1521">
        <v>14</v>
      </c>
      <c r="G1521">
        <v>27</v>
      </c>
      <c r="H1521">
        <v>0.99665000000000004</v>
      </c>
      <c r="I1521">
        <v>3.44</v>
      </c>
      <c r="J1521">
        <v>0.57999999999999996</v>
      </c>
      <c r="K1521">
        <v>10.199999999999999</v>
      </c>
      <c r="L1521">
        <v>5</v>
      </c>
      <c r="M1521" t="str">
        <f t="shared" si="184"/>
        <v>Medium</v>
      </c>
      <c r="N1521">
        <f>(winequality_red[[#This Row],[Updated Quality &amp; Alcohol Analysis]]+winequality_red[[#This Row],[volatile acidity]]+winequality_red[[#This Row],[citric acid]])</f>
        <v>7.38</v>
      </c>
      <c r="O1521">
        <f t="shared" si="185"/>
        <v>3.980392156862745E-2</v>
      </c>
      <c r="S1521" t="e">
        <f t="shared" si="186"/>
        <v>#N/A</v>
      </c>
      <c r="T1521" t="e">
        <f t="shared" si="187"/>
        <v>#N/A</v>
      </c>
      <c r="U1521">
        <f t="shared" si="188"/>
        <v>10.199999999999999</v>
      </c>
      <c r="V1521">
        <f t="shared" si="189"/>
        <v>5</v>
      </c>
      <c r="W1521" t="e">
        <f t="shared" si="190"/>
        <v>#N/A</v>
      </c>
      <c r="X1521" t="e">
        <f t="shared" si="191"/>
        <v>#N/A</v>
      </c>
    </row>
    <row r="1522" spans="1:24" x14ac:dyDescent="0.3">
      <c r="A1522">
        <v>6.5</v>
      </c>
      <c r="B1522">
        <v>0.53</v>
      </c>
      <c r="C1522">
        <v>0.06</v>
      </c>
      <c r="D1522">
        <v>2</v>
      </c>
      <c r="E1522">
        <v>6.3E-2</v>
      </c>
      <c r="F1522">
        <v>29</v>
      </c>
      <c r="G1522">
        <v>44</v>
      </c>
      <c r="H1522">
        <v>0.99488999999999994</v>
      </c>
      <c r="I1522">
        <v>3.38</v>
      </c>
      <c r="J1522">
        <v>0.83</v>
      </c>
      <c r="K1522">
        <v>10.3</v>
      </c>
      <c r="L1522">
        <v>6</v>
      </c>
      <c r="M1522" t="str">
        <f t="shared" si="184"/>
        <v>Medium</v>
      </c>
      <c r="N1522">
        <f>(winequality_red[[#This Row],[Updated Quality &amp; Alcohol Analysis]]+winequality_red[[#This Row],[volatile acidity]]+winequality_red[[#This Row],[citric acid]])</f>
        <v>7.09</v>
      </c>
      <c r="O1522">
        <f t="shared" si="185"/>
        <v>4.2708737864077667E-2</v>
      </c>
      <c r="S1522" t="e">
        <f t="shared" si="186"/>
        <v>#N/A</v>
      </c>
      <c r="T1522" t="e">
        <f t="shared" si="187"/>
        <v>#N/A</v>
      </c>
      <c r="U1522">
        <f t="shared" si="188"/>
        <v>10.3</v>
      </c>
      <c r="V1522">
        <f t="shared" si="189"/>
        <v>6</v>
      </c>
      <c r="W1522" t="e">
        <f t="shared" si="190"/>
        <v>#N/A</v>
      </c>
      <c r="X1522" t="e">
        <f t="shared" si="191"/>
        <v>#N/A</v>
      </c>
    </row>
    <row r="1523" spans="1:24" x14ac:dyDescent="0.3">
      <c r="A1523">
        <v>6.9</v>
      </c>
      <c r="B1523">
        <v>0.48</v>
      </c>
      <c r="C1523">
        <v>0.2</v>
      </c>
      <c r="D1523">
        <v>1.9</v>
      </c>
      <c r="E1523">
        <v>8.199999999999999E-2</v>
      </c>
      <c r="F1523">
        <v>9</v>
      </c>
      <c r="G1523">
        <v>23</v>
      </c>
      <c r="H1523">
        <v>0.99585000000000001</v>
      </c>
      <c r="I1523">
        <v>3.39</v>
      </c>
      <c r="J1523">
        <v>0.43</v>
      </c>
      <c r="K1523">
        <v>9.0500000000000007</v>
      </c>
      <c r="L1523">
        <v>4</v>
      </c>
      <c r="M1523" t="str">
        <f t="shared" si="184"/>
        <v>Low</v>
      </c>
      <c r="N1523">
        <f>(winequality_red[[#This Row],[Updated Quality &amp; Alcohol Analysis]]+winequality_red[[#This Row],[volatile acidity]]+winequality_red[[#This Row],[citric acid]])</f>
        <v>7.580000000000001</v>
      </c>
      <c r="O1523">
        <f t="shared" si="185"/>
        <v>2.2806629834254143E-2</v>
      </c>
      <c r="S1523">
        <f t="shared" si="186"/>
        <v>9.0500000000000007</v>
      </c>
      <c r="T1523">
        <f t="shared" si="187"/>
        <v>4</v>
      </c>
      <c r="U1523" t="e">
        <f t="shared" si="188"/>
        <v>#N/A</v>
      </c>
      <c r="V1523" t="e">
        <f t="shared" si="189"/>
        <v>#N/A</v>
      </c>
      <c r="W1523" t="e">
        <f t="shared" si="190"/>
        <v>#N/A</v>
      </c>
      <c r="X1523" t="e">
        <f t="shared" si="191"/>
        <v>#N/A</v>
      </c>
    </row>
    <row r="1524" spans="1:24" x14ac:dyDescent="0.3">
      <c r="A1524">
        <v>6.1</v>
      </c>
      <c r="B1524">
        <v>0.32</v>
      </c>
      <c r="C1524">
        <v>0.25</v>
      </c>
      <c r="D1524">
        <v>2.2999999999999998</v>
      </c>
      <c r="E1524">
        <v>7.0999999999999994E-2</v>
      </c>
      <c r="F1524">
        <v>23</v>
      </c>
      <c r="G1524">
        <v>58</v>
      </c>
      <c r="H1524">
        <v>0.99632999999999994</v>
      </c>
      <c r="I1524">
        <v>3.42</v>
      </c>
      <c r="J1524">
        <v>0.97</v>
      </c>
      <c r="K1524">
        <v>10.6</v>
      </c>
      <c r="L1524">
        <v>5</v>
      </c>
      <c r="M1524" t="str">
        <f t="shared" si="184"/>
        <v>Medium</v>
      </c>
      <c r="N1524">
        <f>(winequality_red[[#This Row],[Updated Quality &amp; Alcohol Analysis]]+winequality_red[[#This Row],[volatile acidity]]+winequality_red[[#This Row],[citric acid]])</f>
        <v>6.67</v>
      </c>
      <c r="O1524">
        <f t="shared" si="185"/>
        <v>2.9283018867924532E-2</v>
      </c>
      <c r="S1524" t="e">
        <f t="shared" si="186"/>
        <v>#N/A</v>
      </c>
      <c r="T1524" t="e">
        <f t="shared" si="187"/>
        <v>#N/A</v>
      </c>
      <c r="U1524">
        <f t="shared" si="188"/>
        <v>10.6</v>
      </c>
      <c r="V1524">
        <f t="shared" si="189"/>
        <v>5</v>
      </c>
      <c r="W1524" t="e">
        <f t="shared" si="190"/>
        <v>#N/A</v>
      </c>
      <c r="X1524" t="e">
        <f t="shared" si="191"/>
        <v>#N/A</v>
      </c>
    </row>
    <row r="1525" spans="1:24" x14ac:dyDescent="0.3">
      <c r="A1525">
        <v>6.8</v>
      </c>
      <c r="B1525">
        <v>0.48</v>
      </c>
      <c r="C1525">
        <v>0.25</v>
      </c>
      <c r="D1525">
        <v>2</v>
      </c>
      <c r="E1525">
        <v>7.5999999999999998E-2</v>
      </c>
      <c r="F1525">
        <v>29</v>
      </c>
      <c r="G1525">
        <v>61</v>
      </c>
      <c r="H1525">
        <v>0.99529999999999996</v>
      </c>
      <c r="I1525">
        <v>3.34</v>
      </c>
      <c r="J1525">
        <v>0.6</v>
      </c>
      <c r="K1525">
        <v>10.4</v>
      </c>
      <c r="L1525">
        <v>5</v>
      </c>
      <c r="M1525" t="str">
        <f t="shared" si="184"/>
        <v>Medium</v>
      </c>
      <c r="N1525">
        <f>(winequality_red[[#This Row],[Updated Quality &amp; Alcohol Analysis]]+winequality_red[[#This Row],[volatile acidity]]+winequality_red[[#This Row],[citric acid]])</f>
        <v>7.5299999999999994</v>
      </c>
      <c r="O1525">
        <f t="shared" si="185"/>
        <v>2.769230769230769E-2</v>
      </c>
      <c r="S1525" t="e">
        <f t="shared" si="186"/>
        <v>#N/A</v>
      </c>
      <c r="T1525" t="e">
        <f t="shared" si="187"/>
        <v>#N/A</v>
      </c>
      <c r="U1525">
        <f t="shared" si="188"/>
        <v>10.4</v>
      </c>
      <c r="V1525">
        <f t="shared" si="189"/>
        <v>5</v>
      </c>
      <c r="W1525" t="e">
        <f t="shared" si="190"/>
        <v>#N/A</v>
      </c>
      <c r="X1525" t="e">
        <f t="shared" si="191"/>
        <v>#N/A</v>
      </c>
    </row>
    <row r="1526" spans="1:24" x14ac:dyDescent="0.3">
      <c r="A1526">
        <v>6</v>
      </c>
      <c r="B1526">
        <v>0.42</v>
      </c>
      <c r="C1526">
        <v>0.19</v>
      </c>
      <c r="D1526">
        <v>2</v>
      </c>
      <c r="E1526">
        <v>7.4999999999999997E-2</v>
      </c>
      <c r="F1526">
        <v>22</v>
      </c>
      <c r="G1526">
        <v>47</v>
      </c>
      <c r="H1526">
        <v>0.9952200000000001</v>
      </c>
      <c r="I1526">
        <v>3.39</v>
      </c>
      <c r="J1526">
        <v>0.78</v>
      </c>
      <c r="K1526">
        <v>10</v>
      </c>
      <c r="L1526">
        <v>6</v>
      </c>
      <c r="M1526" t="str">
        <f t="shared" si="184"/>
        <v>Medium</v>
      </c>
      <c r="N1526">
        <f>(winequality_red[[#This Row],[Updated Quality &amp; Alcohol Analysis]]+winequality_red[[#This Row],[volatile acidity]]+winequality_red[[#This Row],[citric acid]])</f>
        <v>6.61</v>
      </c>
      <c r="O1526">
        <f t="shared" si="185"/>
        <v>3.2759999999999997E-2</v>
      </c>
      <c r="S1526" t="e">
        <f t="shared" si="186"/>
        <v>#N/A</v>
      </c>
      <c r="T1526" t="e">
        <f t="shared" si="187"/>
        <v>#N/A</v>
      </c>
      <c r="U1526">
        <f t="shared" si="188"/>
        <v>10</v>
      </c>
      <c r="V1526">
        <f t="shared" si="189"/>
        <v>6</v>
      </c>
      <c r="W1526" t="e">
        <f t="shared" si="190"/>
        <v>#N/A</v>
      </c>
      <c r="X1526" t="e">
        <f t="shared" si="191"/>
        <v>#N/A</v>
      </c>
    </row>
    <row r="1527" spans="1:24" x14ac:dyDescent="0.3">
      <c r="A1527">
        <v>6.7</v>
      </c>
      <c r="B1527">
        <v>0.48</v>
      </c>
      <c r="C1527">
        <v>0.08</v>
      </c>
      <c r="D1527">
        <v>2.1</v>
      </c>
      <c r="E1527">
        <v>6.4000000000000001E-2</v>
      </c>
      <c r="F1527">
        <v>18</v>
      </c>
      <c r="G1527">
        <v>34</v>
      </c>
      <c r="H1527">
        <v>0.99552000000000007</v>
      </c>
      <c r="I1527">
        <v>3.33</v>
      </c>
      <c r="J1527">
        <v>0.64</v>
      </c>
      <c r="K1527">
        <v>9.6999999999999993</v>
      </c>
      <c r="L1527">
        <v>5</v>
      </c>
      <c r="M1527" t="str">
        <f t="shared" si="184"/>
        <v>Medium</v>
      </c>
      <c r="N1527">
        <f>(winequality_red[[#This Row],[Updated Quality &amp; Alcohol Analysis]]+winequality_red[[#This Row],[volatile acidity]]+winequality_red[[#This Row],[citric acid]])</f>
        <v>7.26</v>
      </c>
      <c r="O1527">
        <f t="shared" si="185"/>
        <v>3.1670103092783508E-2</v>
      </c>
      <c r="S1527" t="e">
        <f t="shared" si="186"/>
        <v>#N/A</v>
      </c>
      <c r="T1527" t="e">
        <f t="shared" si="187"/>
        <v>#N/A</v>
      </c>
      <c r="U1527">
        <f t="shared" si="188"/>
        <v>9.6999999999999993</v>
      </c>
      <c r="V1527">
        <f t="shared" si="189"/>
        <v>5</v>
      </c>
      <c r="W1527" t="e">
        <f t="shared" si="190"/>
        <v>#N/A</v>
      </c>
      <c r="X1527" t="e">
        <f t="shared" si="191"/>
        <v>#N/A</v>
      </c>
    </row>
    <row r="1528" spans="1:24" x14ac:dyDescent="0.3">
      <c r="A1528">
        <v>6.8</v>
      </c>
      <c r="B1528">
        <v>0.47</v>
      </c>
      <c r="C1528">
        <v>0.08</v>
      </c>
      <c r="D1528">
        <v>2.2000000000000002</v>
      </c>
      <c r="E1528">
        <v>6.4000000000000001E-2</v>
      </c>
      <c r="F1528">
        <v>18</v>
      </c>
      <c r="G1528">
        <v>38</v>
      </c>
      <c r="H1528">
        <v>0.99552999999999991</v>
      </c>
      <c r="I1528">
        <v>3.3</v>
      </c>
      <c r="J1528">
        <v>0.65</v>
      </c>
      <c r="K1528">
        <v>9.6</v>
      </c>
      <c r="L1528">
        <v>6</v>
      </c>
      <c r="M1528" t="str">
        <f t="shared" si="184"/>
        <v>Medium</v>
      </c>
      <c r="N1528">
        <f>(winequality_red[[#This Row],[Updated Quality &amp; Alcohol Analysis]]+winequality_red[[#This Row],[volatile acidity]]+winequality_red[[#This Row],[citric acid]])</f>
        <v>7.35</v>
      </c>
      <c r="O1528">
        <f t="shared" si="185"/>
        <v>3.1822916666666666E-2</v>
      </c>
      <c r="S1528" t="e">
        <f t="shared" si="186"/>
        <v>#N/A</v>
      </c>
      <c r="T1528" t="e">
        <f t="shared" si="187"/>
        <v>#N/A</v>
      </c>
      <c r="U1528">
        <f t="shared" si="188"/>
        <v>9.6</v>
      </c>
      <c r="V1528">
        <f t="shared" si="189"/>
        <v>6</v>
      </c>
      <c r="W1528" t="e">
        <f t="shared" si="190"/>
        <v>#N/A</v>
      </c>
      <c r="X1528" t="e">
        <f t="shared" si="191"/>
        <v>#N/A</v>
      </c>
    </row>
    <row r="1529" spans="1:24" x14ac:dyDescent="0.3">
      <c r="A1529">
        <v>7.1</v>
      </c>
      <c r="B1529">
        <v>0.53</v>
      </c>
      <c r="C1529">
        <v>7.0000000000000007E-2</v>
      </c>
      <c r="D1529">
        <v>1.7</v>
      </c>
      <c r="E1529">
        <v>7.0999999999999994E-2</v>
      </c>
      <c r="F1529">
        <v>15</v>
      </c>
      <c r="G1529">
        <v>24</v>
      </c>
      <c r="H1529">
        <v>0.99509999999999998</v>
      </c>
      <c r="I1529">
        <v>3.29</v>
      </c>
      <c r="J1529">
        <v>0.66</v>
      </c>
      <c r="K1529">
        <v>10.8</v>
      </c>
      <c r="L1529">
        <v>6</v>
      </c>
      <c r="M1529" t="str">
        <f t="shared" si="184"/>
        <v>Medium</v>
      </c>
      <c r="N1529">
        <f>(winequality_red[[#This Row],[Updated Quality &amp; Alcohol Analysis]]+winequality_red[[#This Row],[volatile acidity]]+winequality_red[[#This Row],[citric acid]])</f>
        <v>7.7</v>
      </c>
      <c r="O1529">
        <f t="shared" si="185"/>
        <v>3.2388888888888891E-2</v>
      </c>
      <c r="S1529" t="e">
        <f t="shared" si="186"/>
        <v>#N/A</v>
      </c>
      <c r="T1529" t="e">
        <f t="shared" si="187"/>
        <v>#N/A</v>
      </c>
      <c r="U1529">
        <f t="shared" si="188"/>
        <v>10.8</v>
      </c>
      <c r="V1529">
        <f t="shared" si="189"/>
        <v>6</v>
      </c>
      <c r="W1529" t="e">
        <f t="shared" si="190"/>
        <v>#N/A</v>
      </c>
      <c r="X1529" t="e">
        <f t="shared" si="191"/>
        <v>#N/A</v>
      </c>
    </row>
    <row r="1530" spans="1:24" x14ac:dyDescent="0.3">
      <c r="A1530">
        <v>7.9</v>
      </c>
      <c r="B1530">
        <v>0.28999999999999998</v>
      </c>
      <c r="C1530">
        <v>0.49</v>
      </c>
      <c r="D1530">
        <v>2.2000000000000002</v>
      </c>
      <c r="E1530">
        <v>9.6000000000000002E-2</v>
      </c>
      <c r="F1530">
        <v>21</v>
      </c>
      <c r="G1530">
        <v>59</v>
      </c>
      <c r="H1530">
        <v>0.99713999999999992</v>
      </c>
      <c r="I1530">
        <v>3.31</v>
      </c>
      <c r="J1530">
        <v>0.67</v>
      </c>
      <c r="K1530">
        <v>10.1</v>
      </c>
      <c r="L1530">
        <v>6</v>
      </c>
      <c r="M1530" t="str">
        <f t="shared" si="184"/>
        <v>Medium</v>
      </c>
      <c r="N1530">
        <f>(winequality_red[[#This Row],[Updated Quality &amp; Alcohol Analysis]]+winequality_red[[#This Row],[volatile acidity]]+winequality_red[[#This Row],[citric acid]])</f>
        <v>8.68</v>
      </c>
      <c r="O1530">
        <f t="shared" si="185"/>
        <v>1.9237623762376237E-2</v>
      </c>
      <c r="S1530" t="e">
        <f t="shared" si="186"/>
        <v>#N/A</v>
      </c>
      <c r="T1530" t="e">
        <f t="shared" si="187"/>
        <v>#N/A</v>
      </c>
      <c r="U1530">
        <f t="shared" si="188"/>
        <v>10.1</v>
      </c>
      <c r="V1530">
        <f t="shared" si="189"/>
        <v>6</v>
      </c>
      <c r="W1530" t="e">
        <f t="shared" si="190"/>
        <v>#N/A</v>
      </c>
      <c r="X1530" t="e">
        <f t="shared" si="191"/>
        <v>#N/A</v>
      </c>
    </row>
    <row r="1531" spans="1:24" x14ac:dyDescent="0.3">
      <c r="A1531">
        <v>7.1</v>
      </c>
      <c r="B1531">
        <v>0.69</v>
      </c>
      <c r="C1531">
        <v>0.08</v>
      </c>
      <c r="D1531">
        <v>2.1</v>
      </c>
      <c r="E1531">
        <v>6.3E-2</v>
      </c>
      <c r="F1531">
        <v>42</v>
      </c>
      <c r="G1531">
        <v>52</v>
      </c>
      <c r="H1531">
        <v>0.99607999999999997</v>
      </c>
      <c r="I1531">
        <v>3.42</v>
      </c>
      <c r="J1531">
        <v>0.6</v>
      </c>
      <c r="K1531">
        <v>10.199999999999999</v>
      </c>
      <c r="L1531">
        <v>6</v>
      </c>
      <c r="M1531" t="str">
        <f t="shared" si="184"/>
        <v>Medium</v>
      </c>
      <c r="N1531">
        <f>(winequality_red[[#This Row],[Updated Quality &amp; Alcohol Analysis]]+winequality_red[[#This Row],[volatile acidity]]+winequality_red[[#This Row],[citric acid]])</f>
        <v>7.8699999999999992</v>
      </c>
      <c r="O1531">
        <f t="shared" si="185"/>
        <v>4.0588235294117647E-2</v>
      </c>
      <c r="S1531" t="e">
        <f t="shared" si="186"/>
        <v>#N/A</v>
      </c>
      <c r="T1531" t="e">
        <f t="shared" si="187"/>
        <v>#N/A</v>
      </c>
      <c r="U1531">
        <f t="shared" si="188"/>
        <v>10.199999999999999</v>
      </c>
      <c r="V1531">
        <f t="shared" si="189"/>
        <v>6</v>
      </c>
      <c r="W1531" t="e">
        <f t="shared" si="190"/>
        <v>#N/A</v>
      </c>
      <c r="X1531" t="e">
        <f t="shared" si="191"/>
        <v>#N/A</v>
      </c>
    </row>
    <row r="1532" spans="1:24" x14ac:dyDescent="0.3">
      <c r="A1532">
        <v>6.6</v>
      </c>
      <c r="B1532">
        <v>0.44</v>
      </c>
      <c r="C1532">
        <v>0.09</v>
      </c>
      <c r="D1532">
        <v>2.2000000000000002</v>
      </c>
      <c r="E1532">
        <v>6.3E-2</v>
      </c>
      <c r="F1532">
        <v>9</v>
      </c>
      <c r="G1532">
        <v>18</v>
      </c>
      <c r="H1532">
        <v>0.99443999999999999</v>
      </c>
      <c r="I1532">
        <v>3.42</v>
      </c>
      <c r="J1532">
        <v>0.69</v>
      </c>
      <c r="K1532">
        <v>11.3</v>
      </c>
      <c r="L1532">
        <v>6</v>
      </c>
      <c r="M1532" t="str">
        <f t="shared" si="184"/>
        <v>Medium</v>
      </c>
      <c r="N1532">
        <f>(winequality_red[[#This Row],[Updated Quality &amp; Alcohol Analysis]]+winequality_red[[#This Row],[volatile acidity]]+winequality_red[[#This Row],[citric acid]])</f>
        <v>7.13</v>
      </c>
      <c r="O1532">
        <f t="shared" si="185"/>
        <v>2.6867256637168137E-2</v>
      </c>
      <c r="S1532" t="e">
        <f t="shared" si="186"/>
        <v>#N/A</v>
      </c>
      <c r="T1532" t="e">
        <f t="shared" si="187"/>
        <v>#N/A</v>
      </c>
      <c r="U1532">
        <f t="shared" si="188"/>
        <v>11.3</v>
      </c>
      <c r="V1532">
        <f t="shared" si="189"/>
        <v>6</v>
      </c>
      <c r="W1532" t="e">
        <f t="shared" si="190"/>
        <v>#N/A</v>
      </c>
      <c r="X1532" t="e">
        <f t="shared" si="191"/>
        <v>#N/A</v>
      </c>
    </row>
    <row r="1533" spans="1:24" x14ac:dyDescent="0.3">
      <c r="A1533">
        <v>6.1</v>
      </c>
      <c r="B1533">
        <v>0.70499999999999996</v>
      </c>
      <c r="C1533">
        <v>0.1</v>
      </c>
      <c r="D1533">
        <v>2.8</v>
      </c>
      <c r="E1533">
        <v>8.1000000000000003E-2</v>
      </c>
      <c r="F1533">
        <v>13</v>
      </c>
      <c r="G1533">
        <v>28</v>
      </c>
      <c r="H1533">
        <v>0.99631000000000003</v>
      </c>
      <c r="I1533">
        <v>3.6</v>
      </c>
      <c r="J1533">
        <v>0.66</v>
      </c>
      <c r="K1533">
        <v>10.199999999999999</v>
      </c>
      <c r="L1533">
        <v>5</v>
      </c>
      <c r="M1533" t="str">
        <f t="shared" si="184"/>
        <v>Medium</v>
      </c>
      <c r="N1533">
        <f>(winequality_red[[#This Row],[Updated Quality &amp; Alcohol Analysis]]+winequality_red[[#This Row],[volatile acidity]]+winequality_red[[#This Row],[citric acid]])</f>
        <v>6.9049999999999994</v>
      </c>
      <c r="O1533">
        <f t="shared" si="185"/>
        <v>4.5617647058823534E-2</v>
      </c>
      <c r="S1533" t="e">
        <f t="shared" si="186"/>
        <v>#N/A</v>
      </c>
      <c r="T1533" t="e">
        <f t="shared" si="187"/>
        <v>#N/A</v>
      </c>
      <c r="U1533">
        <f t="shared" si="188"/>
        <v>10.199999999999999</v>
      </c>
      <c r="V1533">
        <f t="shared" si="189"/>
        <v>5</v>
      </c>
      <c r="W1533" t="e">
        <f t="shared" si="190"/>
        <v>#N/A</v>
      </c>
      <c r="X1533" t="e">
        <f t="shared" si="191"/>
        <v>#N/A</v>
      </c>
    </row>
    <row r="1534" spans="1:24" x14ac:dyDescent="0.3">
      <c r="A1534">
        <v>7.2</v>
      </c>
      <c r="B1534">
        <v>0.53</v>
      </c>
      <c r="C1534">
        <v>0.13</v>
      </c>
      <c r="D1534">
        <v>2</v>
      </c>
      <c r="E1534">
        <v>5.7999999999999996E-2</v>
      </c>
      <c r="F1534">
        <v>18</v>
      </c>
      <c r="G1534">
        <v>22</v>
      </c>
      <c r="H1534">
        <v>0.99572999999999989</v>
      </c>
      <c r="I1534">
        <v>3.21</v>
      </c>
      <c r="J1534">
        <v>0.68</v>
      </c>
      <c r="K1534">
        <v>9.9</v>
      </c>
      <c r="L1534">
        <v>6</v>
      </c>
      <c r="M1534" t="str">
        <f t="shared" si="184"/>
        <v>Medium</v>
      </c>
      <c r="N1534">
        <f>(winequality_red[[#This Row],[Updated Quality &amp; Alcohol Analysis]]+winequality_red[[#This Row],[volatile acidity]]+winequality_red[[#This Row],[citric acid]])</f>
        <v>7.86</v>
      </c>
      <c r="O1534">
        <f t="shared" si="185"/>
        <v>3.6404040404040411E-2</v>
      </c>
      <c r="S1534" t="e">
        <f t="shared" si="186"/>
        <v>#N/A</v>
      </c>
      <c r="T1534" t="e">
        <f t="shared" si="187"/>
        <v>#N/A</v>
      </c>
      <c r="U1534">
        <f t="shared" si="188"/>
        <v>9.9</v>
      </c>
      <c r="V1534">
        <f t="shared" si="189"/>
        <v>6</v>
      </c>
      <c r="W1534" t="e">
        <f t="shared" si="190"/>
        <v>#N/A</v>
      </c>
      <c r="X1534" t="e">
        <f t="shared" si="191"/>
        <v>#N/A</v>
      </c>
    </row>
    <row r="1535" spans="1:24" x14ac:dyDescent="0.3">
      <c r="A1535">
        <v>8</v>
      </c>
      <c r="B1535">
        <v>0.39</v>
      </c>
      <c r="C1535">
        <v>0.3</v>
      </c>
      <c r="D1535">
        <v>1.9</v>
      </c>
      <c r="E1535">
        <v>7.400000000000001E-2</v>
      </c>
      <c r="F1535">
        <v>32</v>
      </c>
      <c r="G1535">
        <v>84</v>
      </c>
      <c r="H1535">
        <v>0.99717000000000011</v>
      </c>
      <c r="I1535">
        <v>3.39</v>
      </c>
      <c r="J1535">
        <v>0.61</v>
      </c>
      <c r="K1535">
        <v>9</v>
      </c>
      <c r="L1535">
        <v>5</v>
      </c>
      <c r="M1535" t="str">
        <f t="shared" si="184"/>
        <v>Medium</v>
      </c>
      <c r="N1535">
        <f>(winequality_red[[#This Row],[Updated Quality &amp; Alcohol Analysis]]+winequality_red[[#This Row],[volatile acidity]]+winequality_red[[#This Row],[citric acid]])</f>
        <v>8.6900000000000013</v>
      </c>
      <c r="O1535">
        <f t="shared" si="185"/>
        <v>2.6433333333333333E-2</v>
      </c>
      <c r="S1535" t="e">
        <f t="shared" si="186"/>
        <v>#N/A</v>
      </c>
      <c r="T1535" t="e">
        <f t="shared" si="187"/>
        <v>#N/A</v>
      </c>
      <c r="U1535">
        <f t="shared" si="188"/>
        <v>9</v>
      </c>
      <c r="V1535">
        <f t="shared" si="189"/>
        <v>5</v>
      </c>
      <c r="W1535" t="e">
        <f t="shared" si="190"/>
        <v>#N/A</v>
      </c>
      <c r="X1535" t="e">
        <f t="shared" si="191"/>
        <v>#N/A</v>
      </c>
    </row>
    <row r="1536" spans="1:24" x14ac:dyDescent="0.3">
      <c r="A1536">
        <v>6.6</v>
      </c>
      <c r="B1536">
        <v>0.56000000000000005</v>
      </c>
      <c r="C1536">
        <v>0.14000000000000001</v>
      </c>
      <c r="D1536">
        <v>2.4</v>
      </c>
      <c r="E1536">
        <v>6.4000000000000001E-2</v>
      </c>
      <c r="F1536">
        <v>13</v>
      </c>
      <c r="G1536">
        <v>29</v>
      </c>
      <c r="H1536">
        <v>0.99397000000000002</v>
      </c>
      <c r="I1536">
        <v>3.42</v>
      </c>
      <c r="J1536">
        <v>0.62</v>
      </c>
      <c r="K1536">
        <v>11.7</v>
      </c>
      <c r="L1536">
        <v>7</v>
      </c>
      <c r="M1536" t="str">
        <f t="shared" si="184"/>
        <v>High</v>
      </c>
      <c r="N1536">
        <f>(winequality_red[[#This Row],[Updated Quality &amp; Alcohol Analysis]]+winequality_red[[#This Row],[volatile acidity]]+winequality_red[[#This Row],[citric acid]])</f>
        <v>7.3</v>
      </c>
      <c r="O1536">
        <f t="shared" si="185"/>
        <v>2.9675213675213679E-2</v>
      </c>
      <c r="S1536" t="e">
        <f t="shared" si="186"/>
        <v>#N/A</v>
      </c>
      <c r="T1536" t="e">
        <f t="shared" si="187"/>
        <v>#N/A</v>
      </c>
      <c r="U1536" t="e">
        <f t="shared" si="188"/>
        <v>#N/A</v>
      </c>
      <c r="V1536" t="e">
        <f t="shared" si="189"/>
        <v>#N/A</v>
      </c>
      <c r="W1536">
        <f t="shared" si="190"/>
        <v>11.7</v>
      </c>
      <c r="X1536">
        <f t="shared" si="191"/>
        <v>7</v>
      </c>
    </row>
    <row r="1537" spans="1:24" x14ac:dyDescent="0.3">
      <c r="A1537">
        <v>7</v>
      </c>
      <c r="B1537">
        <v>0.55000000000000004</v>
      </c>
      <c r="C1537">
        <v>0.13</v>
      </c>
      <c r="D1537">
        <v>2.2000000000000002</v>
      </c>
      <c r="E1537">
        <v>7.4999999999999997E-2</v>
      </c>
      <c r="F1537">
        <v>15</v>
      </c>
      <c r="G1537">
        <v>35</v>
      </c>
      <c r="H1537">
        <v>0.99590000000000001</v>
      </c>
      <c r="I1537">
        <v>3.36</v>
      </c>
      <c r="J1537">
        <v>0.59</v>
      </c>
      <c r="K1537">
        <v>9.6999999999999993</v>
      </c>
      <c r="L1537">
        <v>6</v>
      </c>
      <c r="M1537" t="str">
        <f t="shared" si="184"/>
        <v>Medium</v>
      </c>
      <c r="N1537">
        <f>(winequality_red[[#This Row],[Updated Quality &amp; Alcohol Analysis]]+winequality_red[[#This Row],[volatile acidity]]+winequality_red[[#This Row],[citric acid]])</f>
        <v>7.68</v>
      </c>
      <c r="O1537">
        <f t="shared" si="185"/>
        <v>3.3453608247422682E-2</v>
      </c>
      <c r="S1537" t="e">
        <f t="shared" si="186"/>
        <v>#N/A</v>
      </c>
      <c r="T1537" t="e">
        <f t="shared" si="187"/>
        <v>#N/A</v>
      </c>
      <c r="U1537">
        <f t="shared" si="188"/>
        <v>9.6999999999999993</v>
      </c>
      <c r="V1537">
        <f t="shared" si="189"/>
        <v>6</v>
      </c>
      <c r="W1537" t="e">
        <f t="shared" si="190"/>
        <v>#N/A</v>
      </c>
      <c r="X1537" t="e">
        <f t="shared" si="191"/>
        <v>#N/A</v>
      </c>
    </row>
    <row r="1538" spans="1:24" x14ac:dyDescent="0.3">
      <c r="A1538">
        <v>6.1</v>
      </c>
      <c r="B1538">
        <v>0.53</v>
      </c>
      <c r="C1538">
        <v>0.08</v>
      </c>
      <c r="D1538">
        <v>1.9</v>
      </c>
      <c r="E1538">
        <v>7.6999999999999999E-2</v>
      </c>
      <c r="F1538">
        <v>24</v>
      </c>
      <c r="G1538">
        <v>45</v>
      </c>
      <c r="H1538">
        <v>0.99527999999999994</v>
      </c>
      <c r="I1538">
        <v>3.6</v>
      </c>
      <c r="J1538">
        <v>0.68</v>
      </c>
      <c r="K1538">
        <v>10.3</v>
      </c>
      <c r="L1538">
        <v>6</v>
      </c>
      <c r="M1538" t="str">
        <f t="shared" ref="M1538:M1600" si="192">IF($L1538&gt;=7,"High",IF($L1538&gt;=5,"Medium","Low"))</f>
        <v>Medium</v>
      </c>
      <c r="N1538">
        <f>(winequality_red[[#This Row],[Updated Quality &amp; Alcohol Analysis]]+winequality_red[[#This Row],[volatile acidity]]+winequality_red[[#This Row],[citric acid]])</f>
        <v>6.71</v>
      </c>
      <c r="O1538">
        <f t="shared" ref="O1538:O1600" si="193">($B1538*$J1538)/$K1538</f>
        <v>3.4990291262135924E-2</v>
      </c>
      <c r="S1538" t="e">
        <f t="shared" si="186"/>
        <v>#N/A</v>
      </c>
      <c r="T1538" t="e">
        <f t="shared" si="187"/>
        <v>#N/A</v>
      </c>
      <c r="U1538">
        <f t="shared" si="188"/>
        <v>10.3</v>
      </c>
      <c r="V1538">
        <f t="shared" si="189"/>
        <v>6</v>
      </c>
      <c r="W1538" t="e">
        <f t="shared" si="190"/>
        <v>#N/A</v>
      </c>
      <c r="X1538" t="e">
        <f t="shared" si="191"/>
        <v>#N/A</v>
      </c>
    </row>
    <row r="1539" spans="1:24" x14ac:dyDescent="0.3">
      <c r="A1539">
        <v>5.4</v>
      </c>
      <c r="B1539">
        <v>0.57999999999999996</v>
      </c>
      <c r="C1539">
        <v>0.08</v>
      </c>
      <c r="D1539">
        <v>1.9</v>
      </c>
      <c r="E1539">
        <v>5.9000000000000004E-2</v>
      </c>
      <c r="F1539">
        <v>20</v>
      </c>
      <c r="G1539">
        <v>31</v>
      </c>
      <c r="H1539">
        <v>0.99483999999999995</v>
      </c>
      <c r="I1539">
        <v>3.5</v>
      </c>
      <c r="J1539">
        <v>0.64</v>
      </c>
      <c r="K1539">
        <v>10.199999999999999</v>
      </c>
      <c r="L1539">
        <v>6</v>
      </c>
      <c r="M1539" t="str">
        <f t="shared" si="192"/>
        <v>Medium</v>
      </c>
      <c r="N1539">
        <f>(winequality_red[[#This Row],[Updated Quality &amp; Alcohol Analysis]]+winequality_red[[#This Row],[volatile acidity]]+winequality_red[[#This Row],[citric acid]])</f>
        <v>6.0600000000000005</v>
      </c>
      <c r="O1539">
        <f t="shared" si="193"/>
        <v>3.6392156862745099E-2</v>
      </c>
      <c r="S1539" t="e">
        <f t="shared" ref="S1539:S1600" si="194">IF($M1539="Low",$K1539,NA())</f>
        <v>#N/A</v>
      </c>
      <c r="T1539" t="e">
        <f t="shared" ref="T1539:T1600" si="195">IF($M1539="Low",$L1539,NA())</f>
        <v>#N/A</v>
      </c>
      <c r="U1539">
        <f t="shared" ref="U1539:U1602" si="196">IF($M1539="Medium",$K1539,NA())</f>
        <v>10.199999999999999</v>
      </c>
      <c r="V1539">
        <f t="shared" ref="V1539:V1600" si="197">IF($M1539="Medium",$L1539,NA())</f>
        <v>6</v>
      </c>
      <c r="W1539" t="e">
        <f t="shared" ref="W1539:W1600" si="198">IF($M1539="High",$K1539,NA())</f>
        <v>#N/A</v>
      </c>
      <c r="X1539" t="e">
        <f t="shared" ref="X1539:X1600" si="199">IF($M1539="High",$L1539,NA())</f>
        <v>#N/A</v>
      </c>
    </row>
    <row r="1540" spans="1:24" x14ac:dyDescent="0.3">
      <c r="A1540">
        <v>6.2</v>
      </c>
      <c r="B1540">
        <v>0.64</v>
      </c>
      <c r="C1540">
        <v>0.09</v>
      </c>
      <c r="D1540">
        <v>2.5</v>
      </c>
      <c r="E1540">
        <v>8.1000000000000003E-2</v>
      </c>
      <c r="F1540">
        <v>15</v>
      </c>
      <c r="G1540">
        <v>26</v>
      </c>
      <c r="H1540">
        <v>0.99537999999999993</v>
      </c>
      <c r="I1540">
        <v>3.57</v>
      </c>
      <c r="J1540">
        <v>0.63</v>
      </c>
      <c r="K1540">
        <v>12</v>
      </c>
      <c r="L1540">
        <v>5</v>
      </c>
      <c r="M1540" t="str">
        <f t="shared" si="192"/>
        <v>Medium</v>
      </c>
      <c r="N1540">
        <f>(winequality_red[[#This Row],[Updated Quality &amp; Alcohol Analysis]]+winequality_red[[#This Row],[volatile acidity]]+winequality_red[[#This Row],[citric acid]])</f>
        <v>6.93</v>
      </c>
      <c r="O1540">
        <f t="shared" si="193"/>
        <v>3.3599999999999998E-2</v>
      </c>
      <c r="S1540" t="e">
        <f t="shared" si="194"/>
        <v>#N/A</v>
      </c>
      <c r="T1540" t="e">
        <f t="shared" si="195"/>
        <v>#N/A</v>
      </c>
      <c r="U1540">
        <f t="shared" si="196"/>
        <v>12</v>
      </c>
      <c r="V1540">
        <f t="shared" si="197"/>
        <v>5</v>
      </c>
      <c r="W1540" t="e">
        <f t="shared" si="198"/>
        <v>#N/A</v>
      </c>
      <c r="X1540" t="e">
        <f t="shared" si="199"/>
        <v>#N/A</v>
      </c>
    </row>
    <row r="1541" spans="1:24" x14ac:dyDescent="0.3">
      <c r="A1541">
        <v>7.2</v>
      </c>
      <c r="B1541">
        <v>0.39</v>
      </c>
      <c r="C1541">
        <v>0.32</v>
      </c>
      <c r="D1541">
        <v>1.8</v>
      </c>
      <c r="E1541">
        <v>6.5000000000000002E-2</v>
      </c>
      <c r="F1541">
        <v>34</v>
      </c>
      <c r="G1541">
        <v>60</v>
      </c>
      <c r="H1541">
        <v>0.99713999999999992</v>
      </c>
      <c r="I1541">
        <v>3.46</v>
      </c>
      <c r="J1541">
        <v>0.78</v>
      </c>
      <c r="K1541">
        <v>9.9</v>
      </c>
      <c r="L1541">
        <v>5</v>
      </c>
      <c r="M1541" t="str">
        <f t="shared" si="192"/>
        <v>Medium</v>
      </c>
      <c r="N1541">
        <f>(winequality_red[[#This Row],[Updated Quality &amp; Alcohol Analysis]]+winequality_red[[#This Row],[volatile acidity]]+winequality_red[[#This Row],[citric acid]])</f>
        <v>7.91</v>
      </c>
      <c r="O1541">
        <f t="shared" si="193"/>
        <v>3.0727272727272728E-2</v>
      </c>
      <c r="S1541" t="e">
        <f t="shared" si="194"/>
        <v>#N/A</v>
      </c>
      <c r="T1541" t="e">
        <f t="shared" si="195"/>
        <v>#N/A</v>
      </c>
      <c r="U1541">
        <f t="shared" si="196"/>
        <v>9.9</v>
      </c>
      <c r="V1541">
        <f t="shared" si="197"/>
        <v>5</v>
      </c>
      <c r="W1541" t="e">
        <f t="shared" si="198"/>
        <v>#N/A</v>
      </c>
      <c r="X1541" t="e">
        <f t="shared" si="199"/>
        <v>#N/A</v>
      </c>
    </row>
    <row r="1542" spans="1:24" x14ac:dyDescent="0.3">
      <c r="A1542">
        <v>6.2</v>
      </c>
      <c r="B1542">
        <v>0.52</v>
      </c>
      <c r="C1542">
        <v>0.08</v>
      </c>
      <c r="D1542">
        <v>4.4000000000000004</v>
      </c>
      <c r="E1542">
        <v>7.0999999999999994E-2</v>
      </c>
      <c r="F1542">
        <v>11</v>
      </c>
      <c r="G1542">
        <v>32</v>
      </c>
      <c r="H1542">
        <v>0.99646000000000001</v>
      </c>
      <c r="I1542">
        <v>3.56</v>
      </c>
      <c r="J1542">
        <v>0.63</v>
      </c>
      <c r="K1542">
        <v>11.6</v>
      </c>
      <c r="L1542">
        <v>6</v>
      </c>
      <c r="M1542" t="str">
        <f t="shared" si="192"/>
        <v>Medium</v>
      </c>
      <c r="N1542">
        <f>(winequality_red[[#This Row],[Updated Quality &amp; Alcohol Analysis]]+winequality_red[[#This Row],[volatile acidity]]+winequality_red[[#This Row],[citric acid]])</f>
        <v>6.8000000000000007</v>
      </c>
      <c r="O1542">
        <f t="shared" si="193"/>
        <v>2.824137931034483E-2</v>
      </c>
      <c r="S1542" t="e">
        <f t="shared" si="194"/>
        <v>#N/A</v>
      </c>
      <c r="T1542" t="e">
        <f t="shared" si="195"/>
        <v>#N/A</v>
      </c>
      <c r="U1542">
        <f t="shared" si="196"/>
        <v>11.6</v>
      </c>
      <c r="V1542">
        <f t="shared" si="197"/>
        <v>6</v>
      </c>
      <c r="W1542" t="e">
        <f t="shared" si="198"/>
        <v>#N/A</v>
      </c>
      <c r="X1542" t="e">
        <f t="shared" si="199"/>
        <v>#N/A</v>
      </c>
    </row>
    <row r="1543" spans="1:24" x14ac:dyDescent="0.3">
      <c r="A1543">
        <v>7.4</v>
      </c>
      <c r="B1543">
        <v>0.25</v>
      </c>
      <c r="C1543">
        <v>0.28999999999999998</v>
      </c>
      <c r="D1543">
        <v>2.2000000000000002</v>
      </c>
      <c r="E1543">
        <v>5.4000000000000006E-2</v>
      </c>
      <c r="F1543">
        <v>19</v>
      </c>
      <c r="G1543">
        <v>49</v>
      </c>
      <c r="H1543">
        <v>0.99665999999999999</v>
      </c>
      <c r="I1543">
        <v>3.4</v>
      </c>
      <c r="J1543">
        <v>0.76</v>
      </c>
      <c r="K1543">
        <v>10.9</v>
      </c>
      <c r="L1543">
        <v>7</v>
      </c>
      <c r="M1543" t="str">
        <f t="shared" si="192"/>
        <v>High</v>
      </c>
      <c r="N1543">
        <f>(winequality_red[[#This Row],[Updated Quality &amp; Alcohol Analysis]]+winequality_red[[#This Row],[volatile acidity]]+winequality_red[[#This Row],[citric acid]])</f>
        <v>7.94</v>
      </c>
      <c r="O1543">
        <f t="shared" si="193"/>
        <v>1.743119266055046E-2</v>
      </c>
      <c r="S1543" t="e">
        <f t="shared" si="194"/>
        <v>#N/A</v>
      </c>
      <c r="T1543" t="e">
        <f t="shared" si="195"/>
        <v>#N/A</v>
      </c>
      <c r="U1543" t="e">
        <f t="shared" si="196"/>
        <v>#N/A</v>
      </c>
      <c r="V1543" t="e">
        <f t="shared" si="197"/>
        <v>#N/A</v>
      </c>
      <c r="W1543">
        <f t="shared" si="198"/>
        <v>10.9</v>
      </c>
      <c r="X1543">
        <f t="shared" si="199"/>
        <v>7</v>
      </c>
    </row>
    <row r="1544" spans="1:24" x14ac:dyDescent="0.3">
      <c r="A1544">
        <v>6.7</v>
      </c>
      <c r="B1544">
        <v>0.85499999999999998</v>
      </c>
      <c r="C1544">
        <v>0.02</v>
      </c>
      <c r="D1544">
        <v>1.9</v>
      </c>
      <c r="E1544">
        <v>6.4000000000000001E-2</v>
      </c>
      <c r="F1544">
        <v>29</v>
      </c>
      <c r="G1544">
        <v>38</v>
      </c>
      <c r="H1544">
        <v>0.99472000000000005</v>
      </c>
      <c r="I1544">
        <v>3.3</v>
      </c>
      <c r="J1544">
        <v>0.56000000000000005</v>
      </c>
      <c r="K1544">
        <v>10.75</v>
      </c>
      <c r="L1544">
        <v>6</v>
      </c>
      <c r="M1544" t="str">
        <f t="shared" si="192"/>
        <v>Medium</v>
      </c>
      <c r="N1544">
        <f>(winequality_red[[#This Row],[Updated Quality &amp; Alcohol Analysis]]+winequality_red[[#This Row],[volatile acidity]]+winequality_red[[#This Row],[citric acid]])</f>
        <v>7.5749999999999993</v>
      </c>
      <c r="O1544">
        <f t="shared" si="193"/>
        <v>4.4539534883720935E-2</v>
      </c>
      <c r="S1544" t="e">
        <f t="shared" si="194"/>
        <v>#N/A</v>
      </c>
      <c r="T1544" t="e">
        <f t="shared" si="195"/>
        <v>#N/A</v>
      </c>
      <c r="U1544">
        <f t="shared" si="196"/>
        <v>10.75</v>
      </c>
      <c r="V1544">
        <f t="shared" si="197"/>
        <v>6</v>
      </c>
      <c r="W1544" t="e">
        <f t="shared" si="198"/>
        <v>#N/A</v>
      </c>
      <c r="X1544" t="e">
        <f t="shared" si="199"/>
        <v>#N/A</v>
      </c>
    </row>
    <row r="1545" spans="1:24" x14ac:dyDescent="0.3">
      <c r="A1545">
        <v>11.1</v>
      </c>
      <c r="B1545">
        <v>0.44</v>
      </c>
      <c r="C1545">
        <v>0.42</v>
      </c>
      <c r="D1545">
        <v>2.2000000000000002</v>
      </c>
      <c r="E1545">
        <v>6.4000000000000001E-2</v>
      </c>
      <c r="F1545">
        <v>14</v>
      </c>
      <c r="G1545">
        <v>19</v>
      </c>
      <c r="H1545">
        <v>0.99757999999999991</v>
      </c>
      <c r="I1545">
        <v>3.25</v>
      </c>
      <c r="J1545">
        <v>0.56999999999999995</v>
      </c>
      <c r="K1545">
        <v>10.4</v>
      </c>
      <c r="L1545">
        <v>6</v>
      </c>
      <c r="M1545" t="str">
        <f t="shared" si="192"/>
        <v>Medium</v>
      </c>
      <c r="N1545">
        <f>(winequality_red[[#This Row],[Updated Quality &amp; Alcohol Analysis]]+winequality_red[[#This Row],[volatile acidity]]+winequality_red[[#This Row],[citric acid]])</f>
        <v>11.959999999999999</v>
      </c>
      <c r="O1545">
        <f t="shared" si="193"/>
        <v>2.4115384615384611E-2</v>
      </c>
      <c r="S1545" t="e">
        <f t="shared" si="194"/>
        <v>#N/A</v>
      </c>
      <c r="T1545" t="e">
        <f t="shared" si="195"/>
        <v>#N/A</v>
      </c>
      <c r="U1545">
        <f t="shared" si="196"/>
        <v>10.4</v>
      </c>
      <c r="V1545">
        <f t="shared" si="197"/>
        <v>6</v>
      </c>
      <c r="W1545" t="e">
        <f t="shared" si="198"/>
        <v>#N/A</v>
      </c>
      <c r="X1545" t="e">
        <f t="shared" si="199"/>
        <v>#N/A</v>
      </c>
    </row>
    <row r="1546" spans="1:24" x14ac:dyDescent="0.3">
      <c r="A1546">
        <v>8.4</v>
      </c>
      <c r="B1546">
        <v>0.37</v>
      </c>
      <c r="C1546">
        <v>0.43</v>
      </c>
      <c r="D1546">
        <v>2.2999999999999998</v>
      </c>
      <c r="E1546">
        <v>6.3E-2</v>
      </c>
      <c r="F1546">
        <v>12</v>
      </c>
      <c r="G1546">
        <v>19</v>
      </c>
      <c r="H1546">
        <v>0.99550000000000005</v>
      </c>
      <c r="I1546">
        <v>3.17</v>
      </c>
      <c r="J1546">
        <v>0.81</v>
      </c>
      <c r="K1546">
        <v>11.2</v>
      </c>
      <c r="L1546">
        <v>7</v>
      </c>
      <c r="M1546" t="str">
        <f t="shared" si="192"/>
        <v>High</v>
      </c>
      <c r="N1546">
        <f>(winequality_red[[#This Row],[Updated Quality &amp; Alcohol Analysis]]+winequality_red[[#This Row],[volatile acidity]]+winequality_red[[#This Row],[citric acid]])</f>
        <v>9.1999999999999993</v>
      </c>
      <c r="O1546">
        <f t="shared" si="193"/>
        <v>2.6758928571428576E-2</v>
      </c>
      <c r="S1546" t="e">
        <f t="shared" si="194"/>
        <v>#N/A</v>
      </c>
      <c r="T1546" t="e">
        <f t="shared" si="195"/>
        <v>#N/A</v>
      </c>
      <c r="U1546" t="e">
        <f t="shared" si="196"/>
        <v>#N/A</v>
      </c>
      <c r="V1546" t="e">
        <f t="shared" si="197"/>
        <v>#N/A</v>
      </c>
      <c r="W1546">
        <f t="shared" si="198"/>
        <v>11.2</v>
      </c>
      <c r="X1546">
        <f t="shared" si="199"/>
        <v>7</v>
      </c>
    </row>
    <row r="1547" spans="1:24" x14ac:dyDescent="0.3">
      <c r="A1547">
        <v>6.5</v>
      </c>
      <c r="B1547">
        <v>0.63</v>
      </c>
      <c r="C1547">
        <v>0.33</v>
      </c>
      <c r="D1547">
        <v>1.8</v>
      </c>
      <c r="E1547">
        <v>5.9000000000000004E-2</v>
      </c>
      <c r="F1547">
        <v>16</v>
      </c>
      <c r="G1547">
        <v>28</v>
      </c>
      <c r="H1547">
        <v>0.99531000000000003</v>
      </c>
      <c r="I1547">
        <v>3.36</v>
      </c>
      <c r="J1547">
        <v>0.64</v>
      </c>
      <c r="K1547">
        <v>10.1</v>
      </c>
      <c r="L1547">
        <v>6</v>
      </c>
      <c r="M1547" t="str">
        <f t="shared" si="192"/>
        <v>Medium</v>
      </c>
      <c r="N1547">
        <f>(winequality_red[[#This Row],[Updated Quality &amp; Alcohol Analysis]]+winequality_red[[#This Row],[volatile acidity]]+winequality_red[[#This Row],[citric acid]])</f>
        <v>7.46</v>
      </c>
      <c r="O1547">
        <f t="shared" si="193"/>
        <v>3.9920792079207922E-2</v>
      </c>
      <c r="S1547" t="e">
        <f t="shared" si="194"/>
        <v>#N/A</v>
      </c>
      <c r="T1547" t="e">
        <f t="shared" si="195"/>
        <v>#N/A</v>
      </c>
      <c r="U1547">
        <f t="shared" si="196"/>
        <v>10.1</v>
      </c>
      <c r="V1547">
        <f t="shared" si="197"/>
        <v>6</v>
      </c>
      <c r="W1547" t="e">
        <f t="shared" si="198"/>
        <v>#N/A</v>
      </c>
      <c r="X1547" t="e">
        <f t="shared" si="199"/>
        <v>#N/A</v>
      </c>
    </row>
    <row r="1548" spans="1:24" x14ac:dyDescent="0.3">
      <c r="A1548">
        <v>7</v>
      </c>
      <c r="B1548">
        <v>0.56999999999999995</v>
      </c>
      <c r="C1548">
        <v>0.02</v>
      </c>
      <c r="D1548">
        <v>2</v>
      </c>
      <c r="E1548">
        <v>7.2000000000000008E-2</v>
      </c>
      <c r="F1548">
        <v>17</v>
      </c>
      <c r="G1548">
        <v>26</v>
      </c>
      <c r="H1548">
        <v>0.99575000000000002</v>
      </c>
      <c r="I1548">
        <v>3.36</v>
      </c>
      <c r="J1548">
        <v>0.61</v>
      </c>
      <c r="K1548">
        <v>10.199999999999999</v>
      </c>
      <c r="L1548">
        <v>5</v>
      </c>
      <c r="M1548" t="str">
        <f t="shared" si="192"/>
        <v>Medium</v>
      </c>
      <c r="N1548">
        <f>(winequality_red[[#This Row],[Updated Quality &amp; Alcohol Analysis]]+winequality_red[[#This Row],[volatile acidity]]+winequality_red[[#This Row],[citric acid]])</f>
        <v>7.59</v>
      </c>
      <c r="O1548">
        <f t="shared" si="193"/>
        <v>3.4088235294117641E-2</v>
      </c>
      <c r="S1548" t="e">
        <f t="shared" si="194"/>
        <v>#N/A</v>
      </c>
      <c r="T1548" t="e">
        <f t="shared" si="195"/>
        <v>#N/A</v>
      </c>
      <c r="U1548">
        <f t="shared" si="196"/>
        <v>10.199999999999999</v>
      </c>
      <c r="V1548">
        <f t="shared" si="197"/>
        <v>5</v>
      </c>
      <c r="W1548" t="e">
        <f t="shared" si="198"/>
        <v>#N/A</v>
      </c>
      <c r="X1548" t="e">
        <f t="shared" si="199"/>
        <v>#N/A</v>
      </c>
    </row>
    <row r="1549" spans="1:24" x14ac:dyDescent="0.3">
      <c r="A1549">
        <v>6.3</v>
      </c>
      <c r="B1549">
        <v>0.6</v>
      </c>
      <c r="C1549">
        <v>0.1</v>
      </c>
      <c r="D1549">
        <v>1.6</v>
      </c>
      <c r="E1549">
        <v>4.8000000000000001E-2</v>
      </c>
      <c r="F1549">
        <v>12</v>
      </c>
      <c r="G1549">
        <v>26</v>
      </c>
      <c r="H1549">
        <v>0.99306000000000005</v>
      </c>
      <c r="I1549">
        <v>3.55</v>
      </c>
      <c r="J1549">
        <v>0.51</v>
      </c>
      <c r="K1549">
        <v>12.1</v>
      </c>
      <c r="L1549">
        <v>5</v>
      </c>
      <c r="M1549" t="str">
        <f t="shared" si="192"/>
        <v>Medium</v>
      </c>
      <c r="N1549">
        <f>(winequality_red[[#This Row],[Updated Quality &amp; Alcohol Analysis]]+winequality_red[[#This Row],[volatile acidity]]+winequality_red[[#This Row],[citric acid]])</f>
        <v>6.9999999999999991</v>
      </c>
      <c r="O1549">
        <f t="shared" si="193"/>
        <v>2.5289256198347109E-2</v>
      </c>
      <c r="S1549" t="e">
        <f t="shared" si="194"/>
        <v>#N/A</v>
      </c>
      <c r="T1549" t="e">
        <f t="shared" si="195"/>
        <v>#N/A</v>
      </c>
      <c r="U1549">
        <f t="shared" si="196"/>
        <v>12.1</v>
      </c>
      <c r="V1549">
        <f t="shared" si="197"/>
        <v>5</v>
      </c>
      <c r="W1549" t="e">
        <f t="shared" si="198"/>
        <v>#N/A</v>
      </c>
      <c r="X1549" t="e">
        <f t="shared" si="199"/>
        <v>#N/A</v>
      </c>
    </row>
    <row r="1550" spans="1:24" x14ac:dyDescent="0.3">
      <c r="A1550">
        <v>11.2</v>
      </c>
      <c r="B1550">
        <v>0.4</v>
      </c>
      <c r="C1550">
        <v>0.5</v>
      </c>
      <c r="D1550">
        <v>2</v>
      </c>
      <c r="E1550">
        <v>9.9000000000000005E-2</v>
      </c>
      <c r="F1550">
        <v>19</v>
      </c>
      <c r="G1550">
        <v>50</v>
      </c>
      <c r="H1550">
        <v>0.99782999999999988</v>
      </c>
      <c r="I1550">
        <v>3.1</v>
      </c>
      <c r="J1550">
        <v>0.57999999999999996</v>
      </c>
      <c r="K1550">
        <v>10.4</v>
      </c>
      <c r="L1550">
        <v>5</v>
      </c>
      <c r="M1550" t="str">
        <f t="shared" si="192"/>
        <v>Medium</v>
      </c>
      <c r="N1550">
        <f>(winequality_red[[#This Row],[Updated Quality &amp; Alcohol Analysis]]+winequality_red[[#This Row],[volatile acidity]]+winequality_red[[#This Row],[citric acid]])</f>
        <v>12.1</v>
      </c>
      <c r="O1550">
        <f t="shared" si="193"/>
        <v>2.2307692307692306E-2</v>
      </c>
      <c r="S1550" t="e">
        <f t="shared" si="194"/>
        <v>#N/A</v>
      </c>
      <c r="T1550" t="e">
        <f t="shared" si="195"/>
        <v>#N/A</v>
      </c>
      <c r="U1550">
        <f t="shared" si="196"/>
        <v>10.4</v>
      </c>
      <c r="V1550">
        <f t="shared" si="197"/>
        <v>5</v>
      </c>
      <c r="W1550" t="e">
        <f t="shared" si="198"/>
        <v>#N/A</v>
      </c>
      <c r="X1550" t="e">
        <f t="shared" si="199"/>
        <v>#N/A</v>
      </c>
    </row>
    <row r="1551" spans="1:24" x14ac:dyDescent="0.3">
      <c r="A1551">
        <v>7.4</v>
      </c>
      <c r="B1551">
        <v>0.36</v>
      </c>
      <c r="C1551">
        <v>0.3</v>
      </c>
      <c r="D1551">
        <v>1.8</v>
      </c>
      <c r="E1551">
        <v>7.400000000000001E-2</v>
      </c>
      <c r="F1551">
        <v>17</v>
      </c>
      <c r="G1551">
        <v>24</v>
      </c>
      <c r="H1551">
        <v>0.99419000000000002</v>
      </c>
      <c r="I1551">
        <v>3.24</v>
      </c>
      <c r="J1551">
        <v>0.7</v>
      </c>
      <c r="K1551">
        <v>11.4</v>
      </c>
      <c r="L1551">
        <v>8</v>
      </c>
      <c r="M1551" t="str">
        <f t="shared" si="192"/>
        <v>High</v>
      </c>
      <c r="N1551">
        <f>(winequality_red[[#This Row],[Updated Quality &amp; Alcohol Analysis]]+winequality_red[[#This Row],[volatile acidity]]+winequality_red[[#This Row],[citric acid]])</f>
        <v>8.06</v>
      </c>
      <c r="O1551">
        <f t="shared" si="193"/>
        <v>2.2105263157894735E-2</v>
      </c>
      <c r="S1551" t="e">
        <f t="shared" si="194"/>
        <v>#N/A</v>
      </c>
      <c r="T1551" t="e">
        <f t="shared" si="195"/>
        <v>#N/A</v>
      </c>
      <c r="U1551" t="e">
        <f t="shared" si="196"/>
        <v>#N/A</v>
      </c>
      <c r="V1551" t="e">
        <f t="shared" si="197"/>
        <v>#N/A</v>
      </c>
      <c r="W1551">
        <f t="shared" si="198"/>
        <v>11.4</v>
      </c>
      <c r="X1551">
        <f t="shared" si="199"/>
        <v>8</v>
      </c>
    </row>
    <row r="1552" spans="1:24" x14ac:dyDescent="0.3">
      <c r="A1552">
        <v>7.1</v>
      </c>
      <c r="B1552">
        <v>0.68</v>
      </c>
      <c r="C1552">
        <v>0</v>
      </c>
      <c r="D1552">
        <v>2.2999999999999998</v>
      </c>
      <c r="E1552">
        <v>8.6999999999999994E-2</v>
      </c>
      <c r="F1552">
        <v>17</v>
      </c>
      <c r="G1552">
        <v>26</v>
      </c>
      <c r="H1552">
        <v>0.99782999999999988</v>
      </c>
      <c r="I1552">
        <v>3.45</v>
      </c>
      <c r="J1552">
        <v>0.53</v>
      </c>
      <c r="K1552">
        <v>9.5</v>
      </c>
      <c r="L1552">
        <v>5</v>
      </c>
      <c r="M1552" t="str">
        <f t="shared" si="192"/>
        <v>Medium</v>
      </c>
      <c r="N1552">
        <f>(winequality_red[[#This Row],[Updated Quality &amp; Alcohol Analysis]]+winequality_red[[#This Row],[volatile acidity]]+winequality_red[[#This Row],[citric acid]])</f>
        <v>7.7799999999999994</v>
      </c>
      <c r="O1552">
        <f t="shared" si="193"/>
        <v>3.7936842105263165E-2</v>
      </c>
      <c r="S1552" t="e">
        <f t="shared" si="194"/>
        <v>#N/A</v>
      </c>
      <c r="T1552" t="e">
        <f t="shared" si="195"/>
        <v>#N/A</v>
      </c>
      <c r="U1552">
        <f t="shared" si="196"/>
        <v>9.5</v>
      </c>
      <c r="V1552">
        <f t="shared" si="197"/>
        <v>5</v>
      </c>
      <c r="W1552" t="e">
        <f t="shared" si="198"/>
        <v>#N/A</v>
      </c>
      <c r="X1552" t="e">
        <f t="shared" si="199"/>
        <v>#N/A</v>
      </c>
    </row>
    <row r="1553" spans="1:24" x14ac:dyDescent="0.3">
      <c r="A1553">
        <v>7.1</v>
      </c>
      <c r="B1553">
        <v>0.67</v>
      </c>
      <c r="C1553">
        <v>0</v>
      </c>
      <c r="D1553">
        <v>2.2999999999999998</v>
      </c>
      <c r="E1553">
        <v>8.3000000000000004E-2</v>
      </c>
      <c r="F1553">
        <v>18</v>
      </c>
      <c r="G1553">
        <v>27</v>
      </c>
      <c r="H1553">
        <v>0.9976799999999999</v>
      </c>
      <c r="I1553">
        <v>3.44</v>
      </c>
      <c r="J1553">
        <v>0.54</v>
      </c>
      <c r="K1553">
        <v>9.4</v>
      </c>
      <c r="L1553">
        <v>5</v>
      </c>
      <c r="M1553" t="str">
        <f t="shared" si="192"/>
        <v>Medium</v>
      </c>
      <c r="N1553">
        <f>(winequality_red[[#This Row],[Updated Quality &amp; Alcohol Analysis]]+winequality_red[[#This Row],[volatile acidity]]+winequality_red[[#This Row],[citric acid]])</f>
        <v>7.77</v>
      </c>
      <c r="O1553">
        <f t="shared" si="193"/>
        <v>3.8489361702127668E-2</v>
      </c>
      <c r="S1553" t="e">
        <f t="shared" si="194"/>
        <v>#N/A</v>
      </c>
      <c r="T1553" t="e">
        <f t="shared" si="195"/>
        <v>#N/A</v>
      </c>
      <c r="U1553">
        <f t="shared" si="196"/>
        <v>9.4</v>
      </c>
      <c r="V1553">
        <f t="shared" si="197"/>
        <v>5</v>
      </c>
      <c r="W1553" t="e">
        <f t="shared" si="198"/>
        <v>#N/A</v>
      </c>
      <c r="X1553" t="e">
        <f t="shared" si="199"/>
        <v>#N/A</v>
      </c>
    </row>
    <row r="1554" spans="1:24" x14ac:dyDescent="0.3">
      <c r="A1554">
        <v>6.3</v>
      </c>
      <c r="B1554">
        <v>0.68</v>
      </c>
      <c r="C1554">
        <v>0.01</v>
      </c>
      <c r="D1554">
        <v>3.7</v>
      </c>
      <c r="E1554">
        <v>0.10300000000000001</v>
      </c>
      <c r="F1554">
        <v>32</v>
      </c>
      <c r="G1554">
        <v>54</v>
      </c>
      <c r="H1554">
        <v>0.99586000000000008</v>
      </c>
      <c r="I1554">
        <v>3.51</v>
      </c>
      <c r="J1554">
        <v>0.66</v>
      </c>
      <c r="K1554">
        <v>11.3</v>
      </c>
      <c r="L1554">
        <v>6</v>
      </c>
      <c r="M1554" t="str">
        <f t="shared" si="192"/>
        <v>Medium</v>
      </c>
      <c r="N1554">
        <f>(winequality_red[[#This Row],[Updated Quality &amp; Alcohol Analysis]]+winequality_red[[#This Row],[volatile acidity]]+winequality_red[[#This Row],[citric acid]])</f>
        <v>6.9899999999999993</v>
      </c>
      <c r="O1554">
        <f t="shared" si="193"/>
        <v>3.9716814159292034E-2</v>
      </c>
      <c r="S1554" t="e">
        <f t="shared" si="194"/>
        <v>#N/A</v>
      </c>
      <c r="T1554" t="e">
        <f t="shared" si="195"/>
        <v>#N/A</v>
      </c>
      <c r="U1554">
        <f t="shared" si="196"/>
        <v>11.3</v>
      </c>
      <c r="V1554">
        <f t="shared" si="197"/>
        <v>6</v>
      </c>
      <c r="W1554" t="e">
        <f t="shared" si="198"/>
        <v>#N/A</v>
      </c>
      <c r="X1554" t="e">
        <f t="shared" si="199"/>
        <v>#N/A</v>
      </c>
    </row>
    <row r="1555" spans="1:24" x14ac:dyDescent="0.3">
      <c r="A1555">
        <v>7.3</v>
      </c>
      <c r="B1555">
        <v>0.73499999999999999</v>
      </c>
      <c r="C1555">
        <v>0</v>
      </c>
      <c r="D1555">
        <v>2.2000000000000002</v>
      </c>
      <c r="E1555">
        <v>0.08</v>
      </c>
      <c r="F1555">
        <v>18</v>
      </c>
      <c r="G1555">
        <v>28</v>
      </c>
      <c r="H1555">
        <v>0.99765000000000004</v>
      </c>
      <c r="I1555">
        <v>3.41</v>
      </c>
      <c r="J1555">
        <v>0.6</v>
      </c>
      <c r="K1555">
        <v>9.4</v>
      </c>
      <c r="L1555">
        <v>5</v>
      </c>
      <c r="M1555" t="str">
        <f t="shared" si="192"/>
        <v>Medium</v>
      </c>
      <c r="N1555">
        <f>(winequality_red[[#This Row],[Updated Quality &amp; Alcohol Analysis]]+winequality_red[[#This Row],[volatile acidity]]+winequality_red[[#This Row],[citric acid]])</f>
        <v>8.0350000000000001</v>
      </c>
      <c r="O1555">
        <f t="shared" si="193"/>
        <v>4.6914893617021274E-2</v>
      </c>
      <c r="S1555" t="e">
        <f t="shared" si="194"/>
        <v>#N/A</v>
      </c>
      <c r="T1555" t="e">
        <f t="shared" si="195"/>
        <v>#N/A</v>
      </c>
      <c r="U1555">
        <f t="shared" si="196"/>
        <v>9.4</v>
      </c>
      <c r="V1555">
        <f t="shared" si="197"/>
        <v>5</v>
      </c>
      <c r="W1555" t="e">
        <f t="shared" si="198"/>
        <v>#N/A</v>
      </c>
      <c r="X1555" t="e">
        <f t="shared" si="199"/>
        <v>#N/A</v>
      </c>
    </row>
    <row r="1556" spans="1:24" x14ac:dyDescent="0.3">
      <c r="A1556">
        <v>6.6</v>
      </c>
      <c r="B1556">
        <v>0.85499999999999998</v>
      </c>
      <c r="C1556">
        <v>0.02</v>
      </c>
      <c r="D1556">
        <v>2.4</v>
      </c>
      <c r="E1556">
        <v>6.2E-2</v>
      </c>
      <c r="F1556">
        <v>15</v>
      </c>
      <c r="G1556">
        <v>23</v>
      </c>
      <c r="H1556">
        <v>0.9962700000000001</v>
      </c>
      <c r="I1556">
        <v>3.54</v>
      </c>
      <c r="J1556">
        <v>0.6</v>
      </c>
      <c r="K1556">
        <v>11</v>
      </c>
      <c r="L1556">
        <v>6</v>
      </c>
      <c r="M1556" t="str">
        <f t="shared" si="192"/>
        <v>Medium</v>
      </c>
      <c r="N1556">
        <f>(winequality_red[[#This Row],[Updated Quality &amp; Alcohol Analysis]]+winequality_red[[#This Row],[volatile acidity]]+winequality_red[[#This Row],[citric acid]])</f>
        <v>7.4749999999999996</v>
      </c>
      <c r="O1556">
        <f t="shared" si="193"/>
        <v>4.6636363636363636E-2</v>
      </c>
      <c r="S1556" t="e">
        <f t="shared" si="194"/>
        <v>#N/A</v>
      </c>
      <c r="T1556" t="e">
        <f t="shared" si="195"/>
        <v>#N/A</v>
      </c>
      <c r="U1556">
        <f t="shared" si="196"/>
        <v>11</v>
      </c>
      <c r="V1556">
        <f t="shared" si="197"/>
        <v>6</v>
      </c>
      <c r="W1556" t="e">
        <f t="shared" si="198"/>
        <v>#N/A</v>
      </c>
      <c r="X1556" t="e">
        <f t="shared" si="199"/>
        <v>#N/A</v>
      </c>
    </row>
    <row r="1557" spans="1:24" x14ac:dyDescent="0.3">
      <c r="A1557">
        <v>7</v>
      </c>
      <c r="B1557">
        <v>0.56000000000000005</v>
      </c>
      <c r="C1557">
        <v>0.17</v>
      </c>
      <c r="D1557">
        <v>1.7</v>
      </c>
      <c r="E1557">
        <v>6.5000000000000002E-2</v>
      </c>
      <c r="F1557">
        <v>15</v>
      </c>
      <c r="G1557">
        <v>24</v>
      </c>
      <c r="H1557">
        <v>0.99513999999999991</v>
      </c>
      <c r="I1557">
        <v>3.44</v>
      </c>
      <c r="J1557">
        <v>0.68</v>
      </c>
      <c r="K1557">
        <v>10.55</v>
      </c>
      <c r="L1557">
        <v>7</v>
      </c>
      <c r="M1557" t="str">
        <f t="shared" si="192"/>
        <v>High</v>
      </c>
      <c r="N1557">
        <f>(winequality_red[[#This Row],[Updated Quality &amp; Alcohol Analysis]]+winequality_red[[#This Row],[volatile acidity]]+winequality_red[[#This Row],[citric acid]])</f>
        <v>7.73</v>
      </c>
      <c r="O1557">
        <f t="shared" si="193"/>
        <v>3.6094786729857824E-2</v>
      </c>
      <c r="S1557" t="e">
        <f t="shared" si="194"/>
        <v>#N/A</v>
      </c>
      <c r="T1557" t="e">
        <f t="shared" si="195"/>
        <v>#N/A</v>
      </c>
      <c r="U1557" t="e">
        <f t="shared" si="196"/>
        <v>#N/A</v>
      </c>
      <c r="V1557" t="e">
        <f t="shared" si="197"/>
        <v>#N/A</v>
      </c>
      <c r="W1557">
        <f t="shared" si="198"/>
        <v>10.55</v>
      </c>
      <c r="X1557">
        <f t="shared" si="199"/>
        <v>7</v>
      </c>
    </row>
    <row r="1558" spans="1:24" x14ac:dyDescent="0.3">
      <c r="A1558">
        <v>6.6</v>
      </c>
      <c r="B1558">
        <v>0.88</v>
      </c>
      <c r="C1558">
        <v>0.04</v>
      </c>
      <c r="D1558">
        <v>2.2000000000000002</v>
      </c>
      <c r="E1558">
        <v>6.6000000000000003E-2</v>
      </c>
      <c r="F1558">
        <v>12</v>
      </c>
      <c r="G1558">
        <v>20</v>
      </c>
      <c r="H1558">
        <v>0.99636000000000002</v>
      </c>
      <c r="I1558">
        <v>3.53</v>
      </c>
      <c r="J1558">
        <v>0.56000000000000005</v>
      </c>
      <c r="K1558">
        <v>9.9</v>
      </c>
      <c r="L1558">
        <v>5</v>
      </c>
      <c r="M1558" t="str">
        <f t="shared" si="192"/>
        <v>Medium</v>
      </c>
      <c r="N1558">
        <f>(winequality_red[[#This Row],[Updated Quality &amp; Alcohol Analysis]]+winequality_red[[#This Row],[volatile acidity]]+winequality_red[[#This Row],[citric acid]])</f>
        <v>7.52</v>
      </c>
      <c r="O1558">
        <f t="shared" si="193"/>
        <v>4.9777777777777782E-2</v>
      </c>
      <c r="S1558" t="e">
        <f t="shared" si="194"/>
        <v>#N/A</v>
      </c>
      <c r="T1558" t="e">
        <f t="shared" si="195"/>
        <v>#N/A</v>
      </c>
      <c r="U1558">
        <f t="shared" si="196"/>
        <v>9.9</v>
      </c>
      <c r="V1558">
        <f t="shared" si="197"/>
        <v>5</v>
      </c>
      <c r="W1558" t="e">
        <f t="shared" si="198"/>
        <v>#N/A</v>
      </c>
      <c r="X1558" t="e">
        <f t="shared" si="199"/>
        <v>#N/A</v>
      </c>
    </row>
    <row r="1559" spans="1:24" x14ac:dyDescent="0.3">
      <c r="A1559">
        <v>6.6</v>
      </c>
      <c r="B1559">
        <v>0.85499999999999998</v>
      </c>
      <c r="C1559">
        <v>0.02</v>
      </c>
      <c r="D1559">
        <v>2.4</v>
      </c>
      <c r="E1559">
        <v>6.2E-2</v>
      </c>
      <c r="F1559">
        <v>15</v>
      </c>
      <c r="G1559">
        <v>23</v>
      </c>
      <c r="H1559">
        <v>0.9962700000000001</v>
      </c>
      <c r="I1559">
        <v>3.54</v>
      </c>
      <c r="J1559">
        <v>0.6</v>
      </c>
      <c r="K1559">
        <v>11</v>
      </c>
      <c r="L1559">
        <v>6</v>
      </c>
      <c r="M1559" t="str">
        <f t="shared" si="192"/>
        <v>Medium</v>
      </c>
      <c r="N1559">
        <f>(winequality_red[[#This Row],[Updated Quality &amp; Alcohol Analysis]]+winequality_red[[#This Row],[volatile acidity]]+winequality_red[[#This Row],[citric acid]])</f>
        <v>7.4749999999999996</v>
      </c>
      <c r="O1559">
        <f t="shared" si="193"/>
        <v>4.6636363636363636E-2</v>
      </c>
      <c r="S1559" t="e">
        <f t="shared" si="194"/>
        <v>#N/A</v>
      </c>
      <c r="T1559" t="e">
        <f t="shared" si="195"/>
        <v>#N/A</v>
      </c>
      <c r="U1559">
        <f t="shared" si="196"/>
        <v>11</v>
      </c>
      <c r="V1559">
        <f t="shared" si="197"/>
        <v>6</v>
      </c>
      <c r="W1559" t="e">
        <f t="shared" si="198"/>
        <v>#N/A</v>
      </c>
      <c r="X1559" t="e">
        <f t="shared" si="199"/>
        <v>#N/A</v>
      </c>
    </row>
    <row r="1560" spans="1:24" x14ac:dyDescent="0.3">
      <c r="A1560">
        <v>6.9</v>
      </c>
      <c r="B1560">
        <v>0.63</v>
      </c>
      <c r="C1560">
        <v>0.33</v>
      </c>
      <c r="D1560">
        <v>6.7</v>
      </c>
      <c r="E1560">
        <v>0.23499999999999999</v>
      </c>
      <c r="F1560">
        <v>66</v>
      </c>
      <c r="G1560">
        <v>115</v>
      </c>
      <c r="H1560">
        <v>0.99787000000000003</v>
      </c>
      <c r="I1560">
        <v>3.22</v>
      </c>
      <c r="J1560">
        <v>0.56000000000000005</v>
      </c>
      <c r="K1560">
        <v>9.5</v>
      </c>
      <c r="L1560">
        <v>5</v>
      </c>
      <c r="M1560" t="str">
        <f t="shared" si="192"/>
        <v>Medium</v>
      </c>
      <c r="N1560">
        <f>(winequality_red[[#This Row],[Updated Quality &amp; Alcohol Analysis]]+winequality_red[[#This Row],[volatile acidity]]+winequality_red[[#This Row],[citric acid]])</f>
        <v>7.86</v>
      </c>
      <c r="O1560">
        <f t="shared" si="193"/>
        <v>3.7136842105263163E-2</v>
      </c>
      <c r="S1560" t="e">
        <f t="shared" si="194"/>
        <v>#N/A</v>
      </c>
      <c r="T1560" t="e">
        <f t="shared" si="195"/>
        <v>#N/A</v>
      </c>
      <c r="U1560">
        <f t="shared" si="196"/>
        <v>9.5</v>
      </c>
      <c r="V1560">
        <f t="shared" si="197"/>
        <v>5</v>
      </c>
      <c r="W1560" t="e">
        <f t="shared" si="198"/>
        <v>#N/A</v>
      </c>
      <c r="X1560" t="e">
        <f t="shared" si="199"/>
        <v>#N/A</v>
      </c>
    </row>
    <row r="1561" spans="1:24" x14ac:dyDescent="0.3">
      <c r="A1561">
        <v>7.8</v>
      </c>
      <c r="B1561">
        <v>0.6</v>
      </c>
      <c r="C1561">
        <v>0.26</v>
      </c>
      <c r="D1561">
        <v>2</v>
      </c>
      <c r="E1561">
        <v>0.08</v>
      </c>
      <c r="F1561">
        <v>31</v>
      </c>
      <c r="G1561">
        <v>131</v>
      </c>
      <c r="H1561">
        <v>0.99622000000000011</v>
      </c>
      <c r="I1561">
        <v>3.21</v>
      </c>
      <c r="J1561">
        <v>0.52</v>
      </c>
      <c r="K1561">
        <v>9.9</v>
      </c>
      <c r="L1561">
        <v>5</v>
      </c>
      <c r="M1561" t="str">
        <f t="shared" si="192"/>
        <v>Medium</v>
      </c>
      <c r="N1561">
        <f>(winequality_red[[#This Row],[Updated Quality &amp; Alcohol Analysis]]+winequality_red[[#This Row],[volatile acidity]]+winequality_red[[#This Row],[citric acid]])</f>
        <v>8.66</v>
      </c>
      <c r="O1561">
        <f t="shared" si="193"/>
        <v>3.1515151515151517E-2</v>
      </c>
      <c r="S1561" t="e">
        <f t="shared" si="194"/>
        <v>#N/A</v>
      </c>
      <c r="T1561" t="e">
        <f t="shared" si="195"/>
        <v>#N/A</v>
      </c>
      <c r="U1561">
        <f t="shared" si="196"/>
        <v>9.9</v>
      </c>
      <c r="V1561">
        <f t="shared" si="197"/>
        <v>5</v>
      </c>
      <c r="W1561" t="e">
        <f t="shared" si="198"/>
        <v>#N/A</v>
      </c>
      <c r="X1561" t="e">
        <f t="shared" si="199"/>
        <v>#N/A</v>
      </c>
    </row>
    <row r="1562" spans="1:24" x14ac:dyDescent="0.3">
      <c r="A1562">
        <v>7.8</v>
      </c>
      <c r="B1562">
        <v>0.6</v>
      </c>
      <c r="C1562">
        <v>0.26</v>
      </c>
      <c r="D1562">
        <v>2</v>
      </c>
      <c r="E1562">
        <v>0.08</v>
      </c>
      <c r="F1562">
        <v>31</v>
      </c>
      <c r="G1562">
        <v>131</v>
      </c>
      <c r="H1562">
        <v>0.99622000000000011</v>
      </c>
      <c r="I1562">
        <v>3.21</v>
      </c>
      <c r="J1562">
        <v>0.52</v>
      </c>
      <c r="K1562">
        <v>9.9</v>
      </c>
      <c r="L1562">
        <v>5</v>
      </c>
      <c r="M1562" t="str">
        <f t="shared" si="192"/>
        <v>Medium</v>
      </c>
      <c r="N1562">
        <f>(winequality_red[[#This Row],[Updated Quality &amp; Alcohol Analysis]]+winequality_red[[#This Row],[volatile acidity]]+winequality_red[[#This Row],[citric acid]])</f>
        <v>8.66</v>
      </c>
      <c r="O1562">
        <f t="shared" si="193"/>
        <v>3.1515151515151517E-2</v>
      </c>
      <c r="S1562" t="e">
        <f t="shared" si="194"/>
        <v>#N/A</v>
      </c>
      <c r="T1562" t="e">
        <f t="shared" si="195"/>
        <v>#N/A</v>
      </c>
      <c r="U1562">
        <f t="shared" si="196"/>
        <v>9.9</v>
      </c>
      <c r="V1562">
        <f t="shared" si="197"/>
        <v>5</v>
      </c>
      <c r="W1562" t="e">
        <f t="shared" si="198"/>
        <v>#N/A</v>
      </c>
      <c r="X1562" t="e">
        <f t="shared" si="199"/>
        <v>#N/A</v>
      </c>
    </row>
    <row r="1563" spans="1:24" x14ac:dyDescent="0.3">
      <c r="A1563">
        <v>7.8</v>
      </c>
      <c r="B1563">
        <v>0.6</v>
      </c>
      <c r="C1563">
        <v>0.26</v>
      </c>
      <c r="D1563">
        <v>2</v>
      </c>
      <c r="E1563">
        <v>0.08</v>
      </c>
      <c r="F1563">
        <v>31</v>
      </c>
      <c r="G1563">
        <v>131</v>
      </c>
      <c r="H1563">
        <v>0.99622000000000011</v>
      </c>
      <c r="I1563">
        <v>3.21</v>
      </c>
      <c r="J1563">
        <v>0.52</v>
      </c>
      <c r="K1563">
        <v>9.9</v>
      </c>
      <c r="L1563">
        <v>5</v>
      </c>
      <c r="M1563" t="str">
        <f t="shared" si="192"/>
        <v>Medium</v>
      </c>
      <c r="N1563">
        <f>(winequality_red[[#This Row],[Updated Quality &amp; Alcohol Analysis]]+winequality_red[[#This Row],[volatile acidity]]+winequality_red[[#This Row],[citric acid]])</f>
        <v>8.66</v>
      </c>
      <c r="O1563">
        <f t="shared" si="193"/>
        <v>3.1515151515151517E-2</v>
      </c>
      <c r="S1563" t="e">
        <f t="shared" si="194"/>
        <v>#N/A</v>
      </c>
      <c r="T1563" t="e">
        <f t="shared" si="195"/>
        <v>#N/A</v>
      </c>
      <c r="U1563">
        <f t="shared" si="196"/>
        <v>9.9</v>
      </c>
      <c r="V1563">
        <f t="shared" si="197"/>
        <v>5</v>
      </c>
      <c r="W1563" t="e">
        <f t="shared" si="198"/>
        <v>#N/A</v>
      </c>
      <c r="X1563" t="e">
        <f t="shared" si="199"/>
        <v>#N/A</v>
      </c>
    </row>
    <row r="1564" spans="1:24" x14ac:dyDescent="0.3">
      <c r="A1564">
        <v>7.2</v>
      </c>
      <c r="B1564">
        <v>0.69499999999999995</v>
      </c>
      <c r="C1564">
        <v>0.13</v>
      </c>
      <c r="D1564">
        <v>2</v>
      </c>
      <c r="E1564">
        <v>7.5999999999999998E-2</v>
      </c>
      <c r="F1564">
        <v>12</v>
      </c>
      <c r="G1564">
        <v>20</v>
      </c>
      <c r="H1564">
        <v>0.99546000000000001</v>
      </c>
      <c r="I1564">
        <v>3.29</v>
      </c>
      <c r="J1564">
        <v>0.54</v>
      </c>
      <c r="K1564">
        <v>10.1</v>
      </c>
      <c r="L1564">
        <v>5</v>
      </c>
      <c r="M1564" t="str">
        <f t="shared" si="192"/>
        <v>Medium</v>
      </c>
      <c r="N1564">
        <f>(winequality_red[[#This Row],[Updated Quality &amp; Alcohol Analysis]]+winequality_red[[#This Row],[volatile acidity]]+winequality_red[[#This Row],[citric acid]])</f>
        <v>8.0250000000000004</v>
      </c>
      <c r="O1564">
        <f t="shared" si="193"/>
        <v>3.7158415841584164E-2</v>
      </c>
      <c r="S1564" t="e">
        <f t="shared" si="194"/>
        <v>#N/A</v>
      </c>
      <c r="T1564" t="e">
        <f t="shared" si="195"/>
        <v>#N/A</v>
      </c>
      <c r="U1564">
        <f t="shared" si="196"/>
        <v>10.1</v>
      </c>
      <c r="V1564">
        <f t="shared" si="197"/>
        <v>5</v>
      </c>
      <c r="W1564" t="e">
        <f t="shared" si="198"/>
        <v>#N/A</v>
      </c>
      <c r="X1564" t="e">
        <f t="shared" si="199"/>
        <v>#N/A</v>
      </c>
    </row>
    <row r="1565" spans="1:24" x14ac:dyDescent="0.3">
      <c r="A1565">
        <v>7.2</v>
      </c>
      <c r="B1565">
        <v>0.69499999999999995</v>
      </c>
      <c r="C1565">
        <v>0.13</v>
      </c>
      <c r="D1565">
        <v>2</v>
      </c>
      <c r="E1565">
        <v>7.5999999999999998E-2</v>
      </c>
      <c r="F1565">
        <v>12</v>
      </c>
      <c r="G1565">
        <v>20</v>
      </c>
      <c r="H1565">
        <v>0.99546000000000001</v>
      </c>
      <c r="I1565">
        <v>3.29</v>
      </c>
      <c r="J1565">
        <v>0.54</v>
      </c>
      <c r="K1565">
        <v>10.1</v>
      </c>
      <c r="L1565">
        <v>5</v>
      </c>
      <c r="M1565" t="str">
        <f t="shared" si="192"/>
        <v>Medium</v>
      </c>
      <c r="N1565">
        <f>(winequality_red[[#This Row],[Updated Quality &amp; Alcohol Analysis]]+winequality_red[[#This Row],[volatile acidity]]+winequality_red[[#This Row],[citric acid]])</f>
        <v>8.0250000000000004</v>
      </c>
      <c r="O1565">
        <f t="shared" si="193"/>
        <v>3.7158415841584164E-2</v>
      </c>
      <c r="S1565" t="e">
        <f t="shared" si="194"/>
        <v>#N/A</v>
      </c>
      <c r="T1565" t="e">
        <f t="shared" si="195"/>
        <v>#N/A</v>
      </c>
      <c r="U1565">
        <f t="shared" si="196"/>
        <v>10.1</v>
      </c>
      <c r="V1565">
        <f t="shared" si="197"/>
        <v>5</v>
      </c>
      <c r="W1565" t="e">
        <f t="shared" si="198"/>
        <v>#N/A</v>
      </c>
      <c r="X1565" t="e">
        <f t="shared" si="199"/>
        <v>#N/A</v>
      </c>
    </row>
    <row r="1566" spans="1:24" x14ac:dyDescent="0.3">
      <c r="A1566">
        <v>7.2</v>
      </c>
      <c r="B1566">
        <v>0.69499999999999995</v>
      </c>
      <c r="C1566">
        <v>0.13</v>
      </c>
      <c r="D1566">
        <v>2</v>
      </c>
      <c r="E1566">
        <v>7.5999999999999998E-2</v>
      </c>
      <c r="F1566">
        <v>12</v>
      </c>
      <c r="G1566">
        <v>20</v>
      </c>
      <c r="H1566">
        <v>0.99546000000000001</v>
      </c>
      <c r="I1566">
        <v>3.29</v>
      </c>
      <c r="J1566">
        <v>0.54</v>
      </c>
      <c r="K1566">
        <v>10.1</v>
      </c>
      <c r="L1566">
        <v>5</v>
      </c>
      <c r="M1566" t="str">
        <f t="shared" si="192"/>
        <v>Medium</v>
      </c>
      <c r="N1566">
        <f>(winequality_red[[#This Row],[Updated Quality &amp; Alcohol Analysis]]+winequality_red[[#This Row],[volatile acidity]]+winequality_red[[#This Row],[citric acid]])</f>
        <v>8.0250000000000004</v>
      </c>
      <c r="O1566">
        <f t="shared" si="193"/>
        <v>3.7158415841584164E-2</v>
      </c>
      <c r="S1566" t="e">
        <f t="shared" si="194"/>
        <v>#N/A</v>
      </c>
      <c r="T1566" t="e">
        <f t="shared" si="195"/>
        <v>#N/A</v>
      </c>
      <c r="U1566">
        <f t="shared" si="196"/>
        <v>10.1</v>
      </c>
      <c r="V1566">
        <f t="shared" si="197"/>
        <v>5</v>
      </c>
      <c r="W1566" t="e">
        <f t="shared" si="198"/>
        <v>#N/A</v>
      </c>
      <c r="X1566" t="e">
        <f t="shared" si="199"/>
        <v>#N/A</v>
      </c>
    </row>
    <row r="1567" spans="1:24" x14ac:dyDescent="0.3">
      <c r="A1567">
        <v>6.7</v>
      </c>
      <c r="B1567">
        <v>0.67</v>
      </c>
      <c r="C1567">
        <v>0.02</v>
      </c>
      <c r="D1567">
        <v>1.9</v>
      </c>
      <c r="E1567">
        <v>6.0999999999999999E-2</v>
      </c>
      <c r="F1567">
        <v>26</v>
      </c>
      <c r="G1567">
        <v>42</v>
      </c>
      <c r="H1567">
        <v>0.99488999999999994</v>
      </c>
      <c r="I1567">
        <v>3.39</v>
      </c>
      <c r="J1567">
        <v>0.82</v>
      </c>
      <c r="K1567">
        <v>10.9</v>
      </c>
      <c r="L1567">
        <v>6</v>
      </c>
      <c r="M1567" t="str">
        <f t="shared" si="192"/>
        <v>Medium</v>
      </c>
      <c r="N1567">
        <f>(winequality_red[[#This Row],[Updated Quality &amp; Alcohol Analysis]]+winequality_red[[#This Row],[volatile acidity]]+winequality_red[[#This Row],[citric acid]])</f>
        <v>7.39</v>
      </c>
      <c r="O1567">
        <f t="shared" si="193"/>
        <v>5.0403669724770638E-2</v>
      </c>
      <c r="S1567" t="e">
        <f t="shared" si="194"/>
        <v>#N/A</v>
      </c>
      <c r="T1567" t="e">
        <f t="shared" si="195"/>
        <v>#N/A</v>
      </c>
      <c r="U1567">
        <f t="shared" si="196"/>
        <v>10.9</v>
      </c>
      <c r="V1567">
        <f t="shared" si="197"/>
        <v>6</v>
      </c>
      <c r="W1567" t="e">
        <f t="shared" si="198"/>
        <v>#N/A</v>
      </c>
      <c r="X1567" t="e">
        <f t="shared" si="199"/>
        <v>#N/A</v>
      </c>
    </row>
    <row r="1568" spans="1:24" x14ac:dyDescent="0.3">
      <c r="A1568">
        <v>6.7</v>
      </c>
      <c r="B1568">
        <v>0.16</v>
      </c>
      <c r="C1568">
        <v>0.64</v>
      </c>
      <c r="D1568">
        <v>2.1</v>
      </c>
      <c r="E1568">
        <v>5.9000000000000004E-2</v>
      </c>
      <c r="F1568">
        <v>24</v>
      </c>
      <c r="G1568">
        <v>52</v>
      </c>
      <c r="H1568">
        <v>0.99493999999999994</v>
      </c>
      <c r="I1568">
        <v>3.34</v>
      </c>
      <c r="J1568">
        <v>0.71</v>
      </c>
      <c r="K1568">
        <v>11.2</v>
      </c>
      <c r="L1568">
        <v>6</v>
      </c>
      <c r="M1568" t="str">
        <f t="shared" si="192"/>
        <v>Medium</v>
      </c>
      <c r="N1568">
        <f>(winequality_red[[#This Row],[Updated Quality &amp; Alcohol Analysis]]+winequality_red[[#This Row],[volatile acidity]]+winequality_red[[#This Row],[citric acid]])</f>
        <v>7.5</v>
      </c>
      <c r="O1568">
        <f t="shared" si="193"/>
        <v>1.0142857142857143E-2</v>
      </c>
      <c r="S1568" t="e">
        <f t="shared" si="194"/>
        <v>#N/A</v>
      </c>
      <c r="T1568" t="e">
        <f t="shared" si="195"/>
        <v>#N/A</v>
      </c>
      <c r="U1568">
        <f t="shared" si="196"/>
        <v>11.2</v>
      </c>
      <c r="V1568">
        <f t="shared" si="197"/>
        <v>6</v>
      </c>
      <c r="W1568" t="e">
        <f t="shared" si="198"/>
        <v>#N/A</v>
      </c>
      <c r="X1568" t="e">
        <f t="shared" si="199"/>
        <v>#N/A</v>
      </c>
    </row>
    <row r="1569" spans="1:24" x14ac:dyDescent="0.3">
      <c r="A1569">
        <v>7.2</v>
      </c>
      <c r="B1569">
        <v>0.69499999999999995</v>
      </c>
      <c r="C1569">
        <v>0.13</v>
      </c>
      <c r="D1569">
        <v>2</v>
      </c>
      <c r="E1569">
        <v>7.5999999999999998E-2</v>
      </c>
      <c r="F1569">
        <v>12</v>
      </c>
      <c r="G1569">
        <v>20</v>
      </c>
      <c r="H1569">
        <v>0.99546000000000001</v>
      </c>
      <c r="I1569">
        <v>3.29</v>
      </c>
      <c r="J1569">
        <v>0.54</v>
      </c>
      <c r="K1569">
        <v>10.1</v>
      </c>
      <c r="L1569">
        <v>5</v>
      </c>
      <c r="M1569" t="str">
        <f t="shared" si="192"/>
        <v>Medium</v>
      </c>
      <c r="N1569">
        <f>(winequality_red[[#This Row],[Updated Quality &amp; Alcohol Analysis]]+winequality_red[[#This Row],[volatile acidity]]+winequality_red[[#This Row],[citric acid]])</f>
        <v>8.0250000000000004</v>
      </c>
      <c r="O1569">
        <f t="shared" si="193"/>
        <v>3.7158415841584164E-2</v>
      </c>
      <c r="S1569" t="e">
        <f t="shared" si="194"/>
        <v>#N/A</v>
      </c>
      <c r="T1569" t="e">
        <f t="shared" si="195"/>
        <v>#N/A</v>
      </c>
      <c r="U1569">
        <f t="shared" si="196"/>
        <v>10.1</v>
      </c>
      <c r="V1569">
        <f t="shared" si="197"/>
        <v>5</v>
      </c>
      <c r="W1569" t="e">
        <f t="shared" si="198"/>
        <v>#N/A</v>
      </c>
      <c r="X1569" t="e">
        <f t="shared" si="199"/>
        <v>#N/A</v>
      </c>
    </row>
    <row r="1570" spans="1:24" x14ac:dyDescent="0.3">
      <c r="A1570">
        <v>7</v>
      </c>
      <c r="B1570">
        <v>0.56000000000000005</v>
      </c>
      <c r="C1570">
        <v>0.13</v>
      </c>
      <c r="D1570">
        <v>1.6</v>
      </c>
      <c r="E1570">
        <v>7.6999999999999999E-2</v>
      </c>
      <c r="F1570">
        <v>25</v>
      </c>
      <c r="G1570">
        <v>42</v>
      </c>
      <c r="H1570">
        <v>0.99629000000000001</v>
      </c>
      <c r="I1570">
        <v>3.34</v>
      </c>
      <c r="J1570">
        <v>0.59</v>
      </c>
      <c r="K1570">
        <v>9.1999999999999993</v>
      </c>
      <c r="L1570">
        <v>5</v>
      </c>
      <c r="M1570" t="str">
        <f t="shared" si="192"/>
        <v>Medium</v>
      </c>
      <c r="N1570">
        <f>(winequality_red[[#This Row],[Updated Quality &amp; Alcohol Analysis]]+winequality_red[[#This Row],[volatile acidity]]+winequality_red[[#This Row],[citric acid]])</f>
        <v>7.69</v>
      </c>
      <c r="O1570">
        <f t="shared" si="193"/>
        <v>3.5913043478260874E-2</v>
      </c>
      <c r="S1570" t="e">
        <f t="shared" si="194"/>
        <v>#N/A</v>
      </c>
      <c r="T1570" t="e">
        <f t="shared" si="195"/>
        <v>#N/A</v>
      </c>
      <c r="U1570">
        <f t="shared" si="196"/>
        <v>9.1999999999999993</v>
      </c>
      <c r="V1570">
        <f t="shared" si="197"/>
        <v>5</v>
      </c>
      <c r="W1570" t="e">
        <f t="shared" si="198"/>
        <v>#N/A</v>
      </c>
      <c r="X1570" t="e">
        <f t="shared" si="199"/>
        <v>#N/A</v>
      </c>
    </row>
    <row r="1571" spans="1:24" x14ac:dyDescent="0.3">
      <c r="A1571">
        <v>6.2</v>
      </c>
      <c r="B1571">
        <v>0.51</v>
      </c>
      <c r="C1571">
        <v>0.14000000000000001</v>
      </c>
      <c r="D1571">
        <v>1.9</v>
      </c>
      <c r="E1571">
        <v>5.5999999999999994E-2</v>
      </c>
      <c r="F1571">
        <v>15</v>
      </c>
      <c r="G1571">
        <v>34</v>
      </c>
      <c r="H1571">
        <v>0.99396000000000007</v>
      </c>
      <c r="I1571">
        <v>3.48</v>
      </c>
      <c r="J1571">
        <v>0.56999999999999995</v>
      </c>
      <c r="K1571">
        <v>11.5</v>
      </c>
      <c r="L1571">
        <v>6</v>
      </c>
      <c r="M1571" t="str">
        <f t="shared" si="192"/>
        <v>Medium</v>
      </c>
      <c r="N1571">
        <f>(winequality_red[[#This Row],[Updated Quality &amp; Alcohol Analysis]]+winequality_red[[#This Row],[volatile acidity]]+winequality_red[[#This Row],[citric acid]])</f>
        <v>6.85</v>
      </c>
      <c r="O1571">
        <f t="shared" si="193"/>
        <v>2.5278260869565215E-2</v>
      </c>
      <c r="S1571" t="e">
        <f t="shared" si="194"/>
        <v>#N/A</v>
      </c>
      <c r="T1571" t="e">
        <f t="shared" si="195"/>
        <v>#N/A</v>
      </c>
      <c r="U1571">
        <f t="shared" si="196"/>
        <v>11.5</v>
      </c>
      <c r="V1571">
        <f t="shared" si="197"/>
        <v>6</v>
      </c>
      <c r="W1571" t="e">
        <f t="shared" si="198"/>
        <v>#N/A</v>
      </c>
      <c r="X1571" t="e">
        <f t="shared" si="199"/>
        <v>#N/A</v>
      </c>
    </row>
    <row r="1572" spans="1:24" x14ac:dyDescent="0.3">
      <c r="A1572">
        <v>6.4</v>
      </c>
      <c r="B1572">
        <v>0.36</v>
      </c>
      <c r="C1572">
        <v>0.53</v>
      </c>
      <c r="D1572">
        <v>2.2000000000000002</v>
      </c>
      <c r="E1572">
        <v>0.23</v>
      </c>
      <c r="F1572">
        <v>19</v>
      </c>
      <c r="G1572">
        <v>35</v>
      </c>
      <c r="H1572">
        <v>0.99339999999999995</v>
      </c>
      <c r="I1572">
        <v>3.37</v>
      </c>
      <c r="J1572">
        <v>0.93</v>
      </c>
      <c r="K1572">
        <v>12.4</v>
      </c>
      <c r="L1572">
        <v>6</v>
      </c>
      <c r="M1572" t="str">
        <f t="shared" si="192"/>
        <v>Medium</v>
      </c>
      <c r="N1572">
        <f>(winequality_red[[#This Row],[Updated Quality &amp; Alcohol Analysis]]+winequality_red[[#This Row],[volatile acidity]]+winequality_red[[#This Row],[citric acid]])</f>
        <v>7.2900000000000009</v>
      </c>
      <c r="O1572">
        <f t="shared" si="193"/>
        <v>2.7E-2</v>
      </c>
      <c r="S1572" t="e">
        <f t="shared" si="194"/>
        <v>#N/A</v>
      </c>
      <c r="T1572" t="e">
        <f t="shared" si="195"/>
        <v>#N/A</v>
      </c>
      <c r="U1572">
        <f t="shared" si="196"/>
        <v>12.4</v>
      </c>
      <c r="V1572">
        <f t="shared" si="197"/>
        <v>6</v>
      </c>
      <c r="W1572" t="e">
        <f t="shared" si="198"/>
        <v>#N/A</v>
      </c>
      <c r="X1572" t="e">
        <f t="shared" si="199"/>
        <v>#N/A</v>
      </c>
    </row>
    <row r="1573" spans="1:24" x14ac:dyDescent="0.3">
      <c r="A1573">
        <v>6.4</v>
      </c>
      <c r="B1573">
        <v>0.38</v>
      </c>
      <c r="C1573">
        <v>0.14000000000000001</v>
      </c>
      <c r="D1573">
        <v>2.2000000000000002</v>
      </c>
      <c r="E1573">
        <v>3.7999999999999999E-2</v>
      </c>
      <c r="F1573">
        <v>15</v>
      </c>
      <c r="G1573">
        <v>25</v>
      </c>
      <c r="H1573">
        <v>0.99513999999999991</v>
      </c>
      <c r="I1573">
        <v>3.44</v>
      </c>
      <c r="J1573">
        <v>0.65</v>
      </c>
      <c r="K1573">
        <v>11.1</v>
      </c>
      <c r="L1573">
        <v>6</v>
      </c>
      <c r="M1573" t="str">
        <f t="shared" si="192"/>
        <v>Medium</v>
      </c>
      <c r="N1573">
        <f>(winequality_red[[#This Row],[Updated Quality &amp; Alcohol Analysis]]+winequality_red[[#This Row],[volatile acidity]]+winequality_red[[#This Row],[citric acid]])</f>
        <v>6.92</v>
      </c>
      <c r="O1573">
        <f t="shared" si="193"/>
        <v>2.2252252252252254E-2</v>
      </c>
      <c r="S1573" t="e">
        <f t="shared" si="194"/>
        <v>#N/A</v>
      </c>
      <c r="T1573" t="e">
        <f t="shared" si="195"/>
        <v>#N/A</v>
      </c>
      <c r="U1573">
        <f t="shared" si="196"/>
        <v>11.1</v>
      </c>
      <c r="V1573">
        <f t="shared" si="197"/>
        <v>6</v>
      </c>
      <c r="W1573" t="e">
        <f t="shared" si="198"/>
        <v>#N/A</v>
      </c>
      <c r="X1573" t="e">
        <f t="shared" si="199"/>
        <v>#N/A</v>
      </c>
    </row>
    <row r="1574" spans="1:24" x14ac:dyDescent="0.3">
      <c r="A1574">
        <v>7.3</v>
      </c>
      <c r="B1574">
        <v>0.69</v>
      </c>
      <c r="C1574">
        <v>0.32</v>
      </c>
      <c r="D1574">
        <v>2.2000000000000002</v>
      </c>
      <c r="E1574">
        <v>6.9000000000000006E-2</v>
      </c>
      <c r="F1574">
        <v>35</v>
      </c>
      <c r="G1574">
        <v>104</v>
      </c>
      <c r="H1574">
        <v>0.99632000000000009</v>
      </c>
      <c r="I1574">
        <v>3.33</v>
      </c>
      <c r="J1574">
        <v>0.51</v>
      </c>
      <c r="K1574">
        <v>9.5</v>
      </c>
      <c r="L1574">
        <v>5</v>
      </c>
      <c r="M1574" t="str">
        <f t="shared" si="192"/>
        <v>Medium</v>
      </c>
      <c r="N1574">
        <f>(winequality_red[[#This Row],[Updated Quality &amp; Alcohol Analysis]]+winequality_red[[#This Row],[volatile acidity]]+winequality_red[[#This Row],[citric acid]])</f>
        <v>8.31</v>
      </c>
      <c r="O1574">
        <f t="shared" si="193"/>
        <v>3.7042105263157897E-2</v>
      </c>
      <c r="S1574" t="e">
        <f t="shared" si="194"/>
        <v>#N/A</v>
      </c>
      <c r="T1574" t="e">
        <f t="shared" si="195"/>
        <v>#N/A</v>
      </c>
      <c r="U1574">
        <f t="shared" si="196"/>
        <v>9.5</v>
      </c>
      <c r="V1574">
        <f t="shared" si="197"/>
        <v>5</v>
      </c>
      <c r="W1574" t="e">
        <f t="shared" si="198"/>
        <v>#N/A</v>
      </c>
      <c r="X1574" t="e">
        <f t="shared" si="199"/>
        <v>#N/A</v>
      </c>
    </row>
    <row r="1575" spans="1:24" x14ac:dyDescent="0.3">
      <c r="A1575">
        <v>6</v>
      </c>
      <c r="B1575">
        <v>0.57999999999999996</v>
      </c>
      <c r="C1575">
        <v>0.2</v>
      </c>
      <c r="D1575">
        <v>2.4</v>
      </c>
      <c r="E1575">
        <v>7.4999999999999997E-2</v>
      </c>
      <c r="F1575">
        <v>15</v>
      </c>
      <c r="G1575">
        <v>50</v>
      </c>
      <c r="H1575">
        <v>0.99467000000000005</v>
      </c>
      <c r="I1575">
        <v>3.58</v>
      </c>
      <c r="J1575">
        <v>0.67</v>
      </c>
      <c r="K1575">
        <v>12.5</v>
      </c>
      <c r="L1575">
        <v>6</v>
      </c>
      <c r="M1575" t="str">
        <f t="shared" si="192"/>
        <v>Medium</v>
      </c>
      <c r="N1575">
        <f>(winequality_red[[#This Row],[Updated Quality &amp; Alcohol Analysis]]+winequality_red[[#This Row],[volatile acidity]]+winequality_red[[#This Row],[citric acid]])</f>
        <v>6.78</v>
      </c>
      <c r="O1575">
        <f t="shared" si="193"/>
        <v>3.1088000000000001E-2</v>
      </c>
      <c r="S1575" t="e">
        <f t="shared" si="194"/>
        <v>#N/A</v>
      </c>
      <c r="T1575" t="e">
        <f t="shared" si="195"/>
        <v>#N/A</v>
      </c>
      <c r="U1575">
        <f t="shared" si="196"/>
        <v>12.5</v>
      </c>
      <c r="V1575">
        <f t="shared" si="197"/>
        <v>6</v>
      </c>
      <c r="W1575" t="e">
        <f t="shared" si="198"/>
        <v>#N/A</v>
      </c>
      <c r="X1575" t="e">
        <f t="shared" si="199"/>
        <v>#N/A</v>
      </c>
    </row>
    <row r="1576" spans="1:24" x14ac:dyDescent="0.3">
      <c r="A1576">
        <v>5.6</v>
      </c>
      <c r="B1576">
        <v>0.31</v>
      </c>
      <c r="C1576">
        <v>0.78</v>
      </c>
      <c r="D1576">
        <v>13.9</v>
      </c>
      <c r="E1576">
        <v>7.400000000000001E-2</v>
      </c>
      <c r="F1576">
        <v>23</v>
      </c>
      <c r="G1576">
        <v>92</v>
      </c>
      <c r="H1576">
        <v>0.99677000000000004</v>
      </c>
      <c r="I1576">
        <v>3.39</v>
      </c>
      <c r="J1576">
        <v>0.48</v>
      </c>
      <c r="K1576">
        <v>10.5</v>
      </c>
      <c r="L1576">
        <v>6</v>
      </c>
      <c r="M1576" t="str">
        <f t="shared" si="192"/>
        <v>Medium</v>
      </c>
      <c r="N1576">
        <f>(winequality_red[[#This Row],[Updated Quality &amp; Alcohol Analysis]]+winequality_red[[#This Row],[volatile acidity]]+winequality_red[[#This Row],[citric acid]])</f>
        <v>6.6899999999999995</v>
      </c>
      <c r="O1576">
        <f t="shared" si="193"/>
        <v>1.4171428571428571E-2</v>
      </c>
      <c r="S1576" t="e">
        <f t="shared" si="194"/>
        <v>#N/A</v>
      </c>
      <c r="T1576" t="e">
        <f t="shared" si="195"/>
        <v>#N/A</v>
      </c>
      <c r="U1576">
        <f t="shared" si="196"/>
        <v>10.5</v>
      </c>
      <c r="V1576">
        <f t="shared" si="197"/>
        <v>6</v>
      </c>
      <c r="W1576" t="e">
        <f t="shared" si="198"/>
        <v>#N/A</v>
      </c>
      <c r="X1576" t="e">
        <f t="shared" si="199"/>
        <v>#N/A</v>
      </c>
    </row>
    <row r="1577" spans="1:24" x14ac:dyDescent="0.3">
      <c r="A1577">
        <v>7.5</v>
      </c>
      <c r="B1577">
        <v>0.52</v>
      </c>
      <c r="C1577">
        <v>0.4</v>
      </c>
      <c r="D1577">
        <v>2.2000000000000002</v>
      </c>
      <c r="E1577">
        <v>0.06</v>
      </c>
      <c r="F1577">
        <v>12</v>
      </c>
      <c r="G1577">
        <v>20</v>
      </c>
      <c r="H1577">
        <v>0.99473999999999996</v>
      </c>
      <c r="I1577">
        <v>3.26</v>
      </c>
      <c r="J1577">
        <v>0.64</v>
      </c>
      <c r="K1577">
        <v>11.8</v>
      </c>
      <c r="L1577">
        <v>6</v>
      </c>
      <c r="M1577" t="str">
        <f t="shared" si="192"/>
        <v>Medium</v>
      </c>
      <c r="N1577">
        <f>(winequality_red[[#This Row],[Updated Quality &amp; Alcohol Analysis]]+winequality_red[[#This Row],[volatile acidity]]+winequality_red[[#This Row],[citric acid]])</f>
        <v>8.42</v>
      </c>
      <c r="O1577">
        <f t="shared" si="193"/>
        <v>2.8203389830508477E-2</v>
      </c>
      <c r="S1577" t="e">
        <f t="shared" si="194"/>
        <v>#N/A</v>
      </c>
      <c r="T1577" t="e">
        <f t="shared" si="195"/>
        <v>#N/A</v>
      </c>
      <c r="U1577">
        <f t="shared" si="196"/>
        <v>11.8</v>
      </c>
      <c r="V1577">
        <f t="shared" si="197"/>
        <v>6</v>
      </c>
      <c r="W1577" t="e">
        <f t="shared" si="198"/>
        <v>#N/A</v>
      </c>
      <c r="X1577" t="e">
        <f t="shared" si="199"/>
        <v>#N/A</v>
      </c>
    </row>
    <row r="1578" spans="1:24" x14ac:dyDescent="0.3">
      <c r="A1578">
        <v>8</v>
      </c>
      <c r="B1578">
        <v>0.3</v>
      </c>
      <c r="C1578">
        <v>0.63</v>
      </c>
      <c r="D1578">
        <v>1.6</v>
      </c>
      <c r="E1578">
        <v>8.1000000000000003E-2</v>
      </c>
      <c r="F1578">
        <v>16</v>
      </c>
      <c r="G1578">
        <v>29</v>
      </c>
      <c r="H1578">
        <v>0.99587999999999988</v>
      </c>
      <c r="I1578">
        <v>3.3</v>
      </c>
      <c r="J1578">
        <v>0.78</v>
      </c>
      <c r="K1578">
        <v>10.8</v>
      </c>
      <c r="L1578">
        <v>6</v>
      </c>
      <c r="M1578" t="str">
        <f t="shared" si="192"/>
        <v>Medium</v>
      </c>
      <c r="N1578">
        <f>(winequality_red[[#This Row],[Updated Quality &amp; Alcohol Analysis]]+winequality_red[[#This Row],[volatile acidity]]+winequality_red[[#This Row],[citric acid]])</f>
        <v>8.9300000000000015</v>
      </c>
      <c r="O1578">
        <f t="shared" si="193"/>
        <v>2.1666666666666664E-2</v>
      </c>
      <c r="S1578" t="e">
        <f t="shared" si="194"/>
        <v>#N/A</v>
      </c>
      <c r="T1578" t="e">
        <f t="shared" si="195"/>
        <v>#N/A</v>
      </c>
      <c r="U1578">
        <f t="shared" si="196"/>
        <v>10.8</v>
      </c>
      <c r="V1578">
        <f t="shared" si="197"/>
        <v>6</v>
      </c>
      <c r="W1578" t="e">
        <f t="shared" si="198"/>
        <v>#N/A</v>
      </c>
      <c r="X1578" t="e">
        <f t="shared" si="199"/>
        <v>#N/A</v>
      </c>
    </row>
    <row r="1579" spans="1:24" x14ac:dyDescent="0.3">
      <c r="A1579">
        <v>6.2</v>
      </c>
      <c r="B1579">
        <v>0.7</v>
      </c>
      <c r="C1579">
        <v>0.15</v>
      </c>
      <c r="D1579">
        <v>5.0999999999999996</v>
      </c>
      <c r="E1579">
        <v>7.5999999999999998E-2</v>
      </c>
      <c r="F1579">
        <v>13</v>
      </c>
      <c r="G1579">
        <v>27</v>
      </c>
      <c r="H1579">
        <v>0.99622000000000011</v>
      </c>
      <c r="I1579">
        <v>3.54</v>
      </c>
      <c r="J1579">
        <v>0.6</v>
      </c>
      <c r="K1579">
        <v>11.9</v>
      </c>
      <c r="L1579">
        <v>6</v>
      </c>
      <c r="M1579" t="str">
        <f t="shared" si="192"/>
        <v>Medium</v>
      </c>
      <c r="N1579">
        <f>(winequality_red[[#This Row],[Updated Quality &amp; Alcohol Analysis]]+winequality_red[[#This Row],[volatile acidity]]+winequality_red[[#This Row],[citric acid]])</f>
        <v>7.0500000000000007</v>
      </c>
      <c r="O1579">
        <f t="shared" si="193"/>
        <v>3.5294117647058823E-2</v>
      </c>
      <c r="S1579" t="e">
        <f t="shared" si="194"/>
        <v>#N/A</v>
      </c>
      <c r="T1579" t="e">
        <f t="shared" si="195"/>
        <v>#N/A</v>
      </c>
      <c r="U1579">
        <f t="shared" si="196"/>
        <v>11.9</v>
      </c>
      <c r="V1579">
        <f t="shared" si="197"/>
        <v>6</v>
      </c>
      <c r="W1579" t="e">
        <f t="shared" si="198"/>
        <v>#N/A</v>
      </c>
      <c r="X1579" t="e">
        <f t="shared" si="199"/>
        <v>#N/A</v>
      </c>
    </row>
    <row r="1580" spans="1:24" x14ac:dyDescent="0.3">
      <c r="A1580">
        <v>6.8</v>
      </c>
      <c r="B1580">
        <v>0.67</v>
      </c>
      <c r="C1580">
        <v>0.15</v>
      </c>
      <c r="D1580">
        <v>1.8</v>
      </c>
      <c r="E1580">
        <v>0.11800000000000001</v>
      </c>
      <c r="F1580">
        <v>13</v>
      </c>
      <c r="G1580">
        <v>20</v>
      </c>
      <c r="H1580">
        <v>0.99539999999999995</v>
      </c>
      <c r="I1580">
        <v>3.42</v>
      </c>
      <c r="J1580">
        <v>0.67</v>
      </c>
      <c r="K1580">
        <v>11.3</v>
      </c>
      <c r="L1580">
        <v>6</v>
      </c>
      <c r="M1580" t="str">
        <f t="shared" si="192"/>
        <v>Medium</v>
      </c>
      <c r="N1580">
        <f>(winequality_red[[#This Row],[Updated Quality &amp; Alcohol Analysis]]+winequality_red[[#This Row],[volatile acidity]]+winequality_red[[#This Row],[citric acid]])</f>
        <v>7.62</v>
      </c>
      <c r="O1580">
        <f t="shared" si="193"/>
        <v>3.9725663716814165E-2</v>
      </c>
      <c r="S1580" t="e">
        <f t="shared" si="194"/>
        <v>#N/A</v>
      </c>
      <c r="T1580" t="e">
        <f t="shared" si="195"/>
        <v>#N/A</v>
      </c>
      <c r="U1580">
        <f t="shared" si="196"/>
        <v>11.3</v>
      </c>
      <c r="V1580">
        <f t="shared" si="197"/>
        <v>6</v>
      </c>
      <c r="W1580" t="e">
        <f t="shared" si="198"/>
        <v>#N/A</v>
      </c>
      <c r="X1580" t="e">
        <f t="shared" si="199"/>
        <v>#N/A</v>
      </c>
    </row>
    <row r="1581" spans="1:24" x14ac:dyDescent="0.3">
      <c r="A1581">
        <v>6.2</v>
      </c>
      <c r="B1581">
        <v>0.56000000000000005</v>
      </c>
      <c r="C1581">
        <v>0.09</v>
      </c>
      <c r="D1581">
        <v>1.7</v>
      </c>
      <c r="E1581">
        <v>5.2999999999999999E-2</v>
      </c>
      <c r="F1581">
        <v>24</v>
      </c>
      <c r="G1581">
        <v>32</v>
      </c>
      <c r="H1581">
        <v>0.99402000000000013</v>
      </c>
      <c r="I1581">
        <v>3.54</v>
      </c>
      <c r="J1581">
        <v>0.6</v>
      </c>
      <c r="K1581">
        <v>11.3</v>
      </c>
      <c r="L1581">
        <v>5</v>
      </c>
      <c r="M1581" t="str">
        <f t="shared" si="192"/>
        <v>Medium</v>
      </c>
      <c r="N1581">
        <f>(winequality_red[[#This Row],[Updated Quality &amp; Alcohol Analysis]]+winequality_red[[#This Row],[volatile acidity]]+winequality_red[[#This Row],[citric acid]])</f>
        <v>6.85</v>
      </c>
      <c r="O1581">
        <f t="shared" si="193"/>
        <v>2.9734513274336283E-2</v>
      </c>
      <c r="S1581" t="e">
        <f t="shared" si="194"/>
        <v>#N/A</v>
      </c>
      <c r="T1581" t="e">
        <f t="shared" si="195"/>
        <v>#N/A</v>
      </c>
      <c r="U1581">
        <f t="shared" si="196"/>
        <v>11.3</v>
      </c>
      <c r="V1581">
        <f t="shared" si="197"/>
        <v>5</v>
      </c>
      <c r="W1581" t="e">
        <f t="shared" si="198"/>
        <v>#N/A</v>
      </c>
      <c r="X1581" t="e">
        <f t="shared" si="199"/>
        <v>#N/A</v>
      </c>
    </row>
    <row r="1582" spans="1:24" x14ac:dyDescent="0.3">
      <c r="A1582">
        <v>7.4</v>
      </c>
      <c r="B1582">
        <v>0.35</v>
      </c>
      <c r="C1582">
        <v>0.33</v>
      </c>
      <c r="D1582">
        <v>2.4</v>
      </c>
      <c r="E1582">
        <v>6.8000000000000005E-2</v>
      </c>
      <c r="F1582">
        <v>9</v>
      </c>
      <c r="G1582">
        <v>26</v>
      </c>
      <c r="H1582">
        <v>0.99470000000000003</v>
      </c>
      <c r="I1582">
        <v>3.36</v>
      </c>
      <c r="J1582">
        <v>0.6</v>
      </c>
      <c r="K1582">
        <v>11.9</v>
      </c>
      <c r="L1582">
        <v>6</v>
      </c>
      <c r="M1582" t="str">
        <f t="shared" si="192"/>
        <v>Medium</v>
      </c>
      <c r="N1582">
        <f>(winequality_red[[#This Row],[Updated Quality &amp; Alcohol Analysis]]+winequality_red[[#This Row],[volatile acidity]]+winequality_red[[#This Row],[citric acid]])</f>
        <v>8.08</v>
      </c>
      <c r="O1582">
        <f t="shared" si="193"/>
        <v>1.7647058823529412E-2</v>
      </c>
      <c r="S1582" t="e">
        <f t="shared" si="194"/>
        <v>#N/A</v>
      </c>
      <c r="T1582" t="e">
        <f t="shared" si="195"/>
        <v>#N/A</v>
      </c>
      <c r="U1582">
        <f t="shared" si="196"/>
        <v>11.9</v>
      </c>
      <c r="V1582">
        <f t="shared" si="197"/>
        <v>6</v>
      </c>
      <c r="W1582" t="e">
        <f t="shared" si="198"/>
        <v>#N/A</v>
      </c>
      <c r="X1582" t="e">
        <f t="shared" si="199"/>
        <v>#N/A</v>
      </c>
    </row>
    <row r="1583" spans="1:24" x14ac:dyDescent="0.3">
      <c r="A1583">
        <v>6.2</v>
      </c>
      <c r="B1583">
        <v>0.56000000000000005</v>
      </c>
      <c r="C1583">
        <v>0.09</v>
      </c>
      <c r="D1583">
        <v>1.7</v>
      </c>
      <c r="E1583">
        <v>5.2999999999999999E-2</v>
      </c>
      <c r="F1583">
        <v>24</v>
      </c>
      <c r="G1583">
        <v>32</v>
      </c>
      <c r="H1583">
        <v>0.99402000000000013</v>
      </c>
      <c r="I1583">
        <v>3.54</v>
      </c>
      <c r="J1583">
        <v>0.6</v>
      </c>
      <c r="K1583">
        <v>11.3</v>
      </c>
      <c r="L1583">
        <v>5</v>
      </c>
      <c r="M1583" t="str">
        <f t="shared" si="192"/>
        <v>Medium</v>
      </c>
      <c r="N1583">
        <f>(winequality_red[[#This Row],[Updated Quality &amp; Alcohol Analysis]]+winequality_red[[#This Row],[volatile acidity]]+winequality_red[[#This Row],[citric acid]])</f>
        <v>6.85</v>
      </c>
      <c r="O1583">
        <f t="shared" si="193"/>
        <v>2.9734513274336283E-2</v>
      </c>
      <c r="S1583" t="e">
        <f t="shared" si="194"/>
        <v>#N/A</v>
      </c>
      <c r="T1583" t="e">
        <f t="shared" si="195"/>
        <v>#N/A</v>
      </c>
      <c r="U1583">
        <f t="shared" si="196"/>
        <v>11.3</v>
      </c>
      <c r="V1583">
        <f t="shared" si="197"/>
        <v>5</v>
      </c>
      <c r="W1583" t="e">
        <f t="shared" si="198"/>
        <v>#N/A</v>
      </c>
      <c r="X1583" t="e">
        <f t="shared" si="199"/>
        <v>#N/A</v>
      </c>
    </row>
    <row r="1584" spans="1:24" x14ac:dyDescent="0.3">
      <c r="A1584">
        <v>6.1</v>
      </c>
      <c r="B1584">
        <v>0.71499999999999997</v>
      </c>
      <c r="C1584">
        <v>0.1</v>
      </c>
      <c r="D1584">
        <v>2.6</v>
      </c>
      <c r="E1584">
        <v>5.2999999999999999E-2</v>
      </c>
      <c r="F1584">
        <v>13</v>
      </c>
      <c r="G1584">
        <v>27</v>
      </c>
      <c r="H1584">
        <v>0.99362000000000006</v>
      </c>
      <c r="I1584">
        <v>3.57</v>
      </c>
      <c r="J1584">
        <v>0.5</v>
      </c>
      <c r="K1584">
        <v>11.9</v>
      </c>
      <c r="L1584">
        <v>5</v>
      </c>
      <c r="M1584" t="str">
        <f t="shared" si="192"/>
        <v>Medium</v>
      </c>
      <c r="N1584">
        <f>(winequality_red[[#This Row],[Updated Quality &amp; Alcohol Analysis]]+winequality_red[[#This Row],[volatile acidity]]+winequality_red[[#This Row],[citric acid]])</f>
        <v>6.9149999999999991</v>
      </c>
      <c r="O1584">
        <f t="shared" si="193"/>
        <v>3.0042016806722686E-2</v>
      </c>
      <c r="S1584" t="e">
        <f t="shared" si="194"/>
        <v>#N/A</v>
      </c>
      <c r="T1584" t="e">
        <f t="shared" si="195"/>
        <v>#N/A</v>
      </c>
      <c r="U1584">
        <f t="shared" si="196"/>
        <v>11.9</v>
      </c>
      <c r="V1584">
        <f t="shared" si="197"/>
        <v>5</v>
      </c>
      <c r="W1584" t="e">
        <f t="shared" si="198"/>
        <v>#N/A</v>
      </c>
      <c r="X1584" t="e">
        <f t="shared" si="199"/>
        <v>#N/A</v>
      </c>
    </row>
    <row r="1585" spans="1:24" x14ac:dyDescent="0.3">
      <c r="A1585">
        <v>6.2</v>
      </c>
      <c r="B1585">
        <v>0.46</v>
      </c>
      <c r="C1585">
        <v>0.28999999999999998</v>
      </c>
      <c r="D1585">
        <v>2.1</v>
      </c>
      <c r="E1585">
        <v>7.400000000000001E-2</v>
      </c>
      <c r="F1585">
        <v>32</v>
      </c>
      <c r="G1585">
        <v>98</v>
      </c>
      <c r="H1585">
        <v>0.99577999999999989</v>
      </c>
      <c r="I1585">
        <v>3.33</v>
      </c>
      <c r="J1585">
        <v>0.62</v>
      </c>
      <c r="K1585">
        <v>9.8000000000000007</v>
      </c>
      <c r="L1585">
        <v>5</v>
      </c>
      <c r="M1585" t="str">
        <f t="shared" si="192"/>
        <v>Medium</v>
      </c>
      <c r="N1585">
        <f>(winequality_red[[#This Row],[Updated Quality &amp; Alcohol Analysis]]+winequality_red[[#This Row],[volatile acidity]]+winequality_red[[#This Row],[citric acid]])</f>
        <v>6.95</v>
      </c>
      <c r="O1585">
        <f t="shared" si="193"/>
        <v>2.910204081632653E-2</v>
      </c>
      <c r="S1585" t="e">
        <f t="shared" si="194"/>
        <v>#N/A</v>
      </c>
      <c r="T1585" t="e">
        <f t="shared" si="195"/>
        <v>#N/A</v>
      </c>
      <c r="U1585">
        <f t="shared" si="196"/>
        <v>9.8000000000000007</v>
      </c>
      <c r="V1585">
        <f t="shared" si="197"/>
        <v>5</v>
      </c>
      <c r="W1585" t="e">
        <f t="shared" si="198"/>
        <v>#N/A</v>
      </c>
      <c r="X1585" t="e">
        <f t="shared" si="199"/>
        <v>#N/A</v>
      </c>
    </row>
    <row r="1586" spans="1:24" x14ac:dyDescent="0.3">
      <c r="A1586">
        <v>6.7</v>
      </c>
      <c r="B1586">
        <v>0.32</v>
      </c>
      <c r="C1586">
        <v>0.44</v>
      </c>
      <c r="D1586">
        <v>2.4</v>
      </c>
      <c r="E1586">
        <v>6.0999999999999999E-2</v>
      </c>
      <c r="F1586">
        <v>24</v>
      </c>
      <c r="G1586">
        <v>34</v>
      </c>
      <c r="H1586">
        <v>0.99483999999999995</v>
      </c>
      <c r="I1586">
        <v>3.29</v>
      </c>
      <c r="J1586">
        <v>0.8</v>
      </c>
      <c r="K1586">
        <v>11.6</v>
      </c>
      <c r="L1586">
        <v>7</v>
      </c>
      <c r="M1586" t="str">
        <f t="shared" si="192"/>
        <v>High</v>
      </c>
      <c r="N1586">
        <f>(winequality_red[[#This Row],[Updated Quality &amp; Alcohol Analysis]]+winequality_red[[#This Row],[volatile acidity]]+winequality_red[[#This Row],[citric acid]])</f>
        <v>7.4600000000000009</v>
      </c>
      <c r="O1586">
        <f t="shared" si="193"/>
        <v>2.2068965517241381E-2</v>
      </c>
      <c r="S1586" t="e">
        <f t="shared" si="194"/>
        <v>#N/A</v>
      </c>
      <c r="T1586" t="e">
        <f t="shared" si="195"/>
        <v>#N/A</v>
      </c>
      <c r="U1586" t="e">
        <f t="shared" si="196"/>
        <v>#N/A</v>
      </c>
      <c r="V1586" t="e">
        <f t="shared" si="197"/>
        <v>#N/A</v>
      </c>
      <c r="W1586">
        <f t="shared" si="198"/>
        <v>11.6</v>
      </c>
      <c r="X1586">
        <f t="shared" si="199"/>
        <v>7</v>
      </c>
    </row>
    <row r="1587" spans="1:24" x14ac:dyDescent="0.3">
      <c r="A1587">
        <v>7.2</v>
      </c>
      <c r="B1587">
        <v>0.39</v>
      </c>
      <c r="C1587">
        <v>0.44</v>
      </c>
      <c r="D1587">
        <v>2.6</v>
      </c>
      <c r="E1587">
        <v>6.6000000000000003E-2</v>
      </c>
      <c r="F1587">
        <v>22</v>
      </c>
      <c r="G1587">
        <v>48</v>
      </c>
      <c r="H1587">
        <v>0.99493999999999994</v>
      </c>
      <c r="I1587">
        <v>3.3</v>
      </c>
      <c r="J1587">
        <v>0.84</v>
      </c>
      <c r="K1587">
        <v>11.5</v>
      </c>
      <c r="L1587">
        <v>6</v>
      </c>
      <c r="M1587" t="str">
        <f t="shared" si="192"/>
        <v>Medium</v>
      </c>
      <c r="N1587">
        <f>(winequality_red[[#This Row],[Updated Quality &amp; Alcohol Analysis]]+winequality_red[[#This Row],[volatile acidity]]+winequality_red[[#This Row],[citric acid]])</f>
        <v>8.0299999999999994</v>
      </c>
      <c r="O1587">
        <f t="shared" si="193"/>
        <v>2.8486956521739132E-2</v>
      </c>
      <c r="S1587" t="e">
        <f t="shared" si="194"/>
        <v>#N/A</v>
      </c>
      <c r="T1587" t="e">
        <f t="shared" si="195"/>
        <v>#N/A</v>
      </c>
      <c r="U1587">
        <f t="shared" si="196"/>
        <v>11.5</v>
      </c>
      <c r="V1587">
        <f t="shared" si="197"/>
        <v>6</v>
      </c>
      <c r="W1587" t="e">
        <f t="shared" si="198"/>
        <v>#N/A</v>
      </c>
      <c r="X1587" t="e">
        <f t="shared" si="199"/>
        <v>#N/A</v>
      </c>
    </row>
    <row r="1588" spans="1:24" x14ac:dyDescent="0.3">
      <c r="A1588">
        <v>7.5</v>
      </c>
      <c r="B1588">
        <v>0.31</v>
      </c>
      <c r="C1588">
        <v>0.41</v>
      </c>
      <c r="D1588">
        <v>2.4</v>
      </c>
      <c r="E1588">
        <v>6.5000000000000002E-2</v>
      </c>
      <c r="F1588">
        <v>34</v>
      </c>
      <c r="G1588">
        <v>60</v>
      </c>
      <c r="H1588">
        <v>0.99492000000000003</v>
      </c>
      <c r="I1588">
        <v>3.34</v>
      </c>
      <c r="J1588">
        <v>0.85</v>
      </c>
      <c r="K1588">
        <v>11.4</v>
      </c>
      <c r="L1588">
        <v>6</v>
      </c>
      <c r="M1588" t="str">
        <f t="shared" si="192"/>
        <v>Medium</v>
      </c>
      <c r="N1588">
        <f>(winequality_red[[#This Row],[Updated Quality &amp; Alcohol Analysis]]+winequality_red[[#This Row],[volatile acidity]]+winequality_red[[#This Row],[citric acid]])</f>
        <v>8.2199999999999989</v>
      </c>
      <c r="O1588">
        <f t="shared" si="193"/>
        <v>2.3114035087719299E-2</v>
      </c>
      <c r="S1588" t="e">
        <f t="shared" si="194"/>
        <v>#N/A</v>
      </c>
      <c r="T1588" t="e">
        <f t="shared" si="195"/>
        <v>#N/A</v>
      </c>
      <c r="U1588">
        <f t="shared" si="196"/>
        <v>11.4</v>
      </c>
      <c r="V1588">
        <f t="shared" si="197"/>
        <v>6</v>
      </c>
      <c r="W1588" t="e">
        <f t="shared" si="198"/>
        <v>#N/A</v>
      </c>
      <c r="X1588" t="e">
        <f t="shared" si="199"/>
        <v>#N/A</v>
      </c>
    </row>
    <row r="1589" spans="1:24" x14ac:dyDescent="0.3">
      <c r="A1589">
        <v>5.8</v>
      </c>
      <c r="B1589">
        <v>0.61</v>
      </c>
      <c r="C1589">
        <v>0.11</v>
      </c>
      <c r="D1589">
        <v>1.8</v>
      </c>
      <c r="E1589">
        <v>6.6000000000000003E-2</v>
      </c>
      <c r="F1589">
        <v>18</v>
      </c>
      <c r="G1589">
        <v>28</v>
      </c>
      <c r="H1589">
        <v>0.99482999999999988</v>
      </c>
      <c r="I1589">
        <v>3.55</v>
      </c>
      <c r="J1589">
        <v>0.66</v>
      </c>
      <c r="K1589">
        <v>10.9</v>
      </c>
      <c r="L1589">
        <v>6</v>
      </c>
      <c r="M1589" t="str">
        <f t="shared" si="192"/>
        <v>Medium</v>
      </c>
      <c r="N1589">
        <f>(winequality_red[[#This Row],[Updated Quality &amp; Alcohol Analysis]]+winequality_red[[#This Row],[volatile acidity]]+winequality_red[[#This Row],[citric acid]])</f>
        <v>6.5200000000000005</v>
      </c>
      <c r="O1589">
        <f t="shared" si="193"/>
        <v>3.6935779816513761E-2</v>
      </c>
      <c r="S1589" t="e">
        <f t="shared" si="194"/>
        <v>#N/A</v>
      </c>
      <c r="T1589" t="e">
        <f t="shared" si="195"/>
        <v>#N/A</v>
      </c>
      <c r="U1589">
        <f t="shared" si="196"/>
        <v>10.9</v>
      </c>
      <c r="V1589">
        <f t="shared" si="197"/>
        <v>6</v>
      </c>
      <c r="W1589" t="e">
        <f t="shared" si="198"/>
        <v>#N/A</v>
      </c>
      <c r="X1589" t="e">
        <f t="shared" si="199"/>
        <v>#N/A</v>
      </c>
    </row>
    <row r="1590" spans="1:24" x14ac:dyDescent="0.3">
      <c r="A1590">
        <v>7.2</v>
      </c>
      <c r="B1590">
        <v>0.66</v>
      </c>
      <c r="C1590">
        <v>0.33</v>
      </c>
      <c r="D1590">
        <v>2.5</v>
      </c>
      <c r="E1590">
        <v>6.8000000000000005E-2</v>
      </c>
      <c r="F1590">
        <v>34</v>
      </c>
      <c r="G1590">
        <v>102</v>
      </c>
      <c r="H1590">
        <v>0.99413999999999991</v>
      </c>
      <c r="I1590">
        <v>3.27</v>
      </c>
      <c r="J1590">
        <v>0.78</v>
      </c>
      <c r="K1590">
        <v>12.8</v>
      </c>
      <c r="L1590">
        <v>6</v>
      </c>
      <c r="M1590" t="str">
        <f t="shared" si="192"/>
        <v>Medium</v>
      </c>
      <c r="N1590">
        <f>(winequality_red[[#This Row],[Updated Quality &amp; Alcohol Analysis]]+winequality_red[[#This Row],[volatile acidity]]+winequality_red[[#This Row],[citric acid]])</f>
        <v>8.19</v>
      </c>
      <c r="O1590">
        <f t="shared" si="193"/>
        <v>4.0218749999999998E-2</v>
      </c>
      <c r="S1590" t="e">
        <f t="shared" si="194"/>
        <v>#N/A</v>
      </c>
      <c r="T1590" t="e">
        <f t="shared" si="195"/>
        <v>#N/A</v>
      </c>
      <c r="U1590">
        <f t="shared" si="196"/>
        <v>12.8</v>
      </c>
      <c r="V1590">
        <f t="shared" si="197"/>
        <v>6</v>
      </c>
      <c r="W1590" t="e">
        <f t="shared" si="198"/>
        <v>#N/A</v>
      </c>
      <c r="X1590" t="e">
        <f t="shared" si="199"/>
        <v>#N/A</v>
      </c>
    </row>
    <row r="1591" spans="1:24" x14ac:dyDescent="0.3">
      <c r="A1591">
        <v>6.6</v>
      </c>
      <c r="B1591">
        <v>0.72499999999999998</v>
      </c>
      <c r="C1591">
        <v>0.2</v>
      </c>
      <c r="D1591">
        <v>7.8</v>
      </c>
      <c r="E1591">
        <v>7.2999999999999995E-2</v>
      </c>
      <c r="F1591">
        <v>29</v>
      </c>
      <c r="G1591">
        <v>79</v>
      </c>
      <c r="H1591">
        <v>0.99770000000000003</v>
      </c>
      <c r="I1591">
        <v>3.29</v>
      </c>
      <c r="J1591">
        <v>0.54</v>
      </c>
      <c r="K1591">
        <v>9.1999999999999993</v>
      </c>
      <c r="L1591">
        <v>5</v>
      </c>
      <c r="M1591" t="str">
        <f t="shared" si="192"/>
        <v>Medium</v>
      </c>
      <c r="N1591">
        <f>(winequality_red[[#This Row],[Updated Quality &amp; Alcohol Analysis]]+winequality_red[[#This Row],[volatile acidity]]+winequality_red[[#This Row],[citric acid]])</f>
        <v>7.5249999999999995</v>
      </c>
      <c r="O1591">
        <f t="shared" si="193"/>
        <v>4.2554347826086962E-2</v>
      </c>
      <c r="S1591" t="e">
        <f t="shared" si="194"/>
        <v>#N/A</v>
      </c>
      <c r="T1591" t="e">
        <f t="shared" si="195"/>
        <v>#N/A</v>
      </c>
      <c r="U1591">
        <f t="shared" si="196"/>
        <v>9.1999999999999993</v>
      </c>
      <c r="V1591">
        <f t="shared" si="197"/>
        <v>5</v>
      </c>
      <c r="W1591" t="e">
        <f t="shared" si="198"/>
        <v>#N/A</v>
      </c>
      <c r="X1591" t="e">
        <f t="shared" si="199"/>
        <v>#N/A</v>
      </c>
    </row>
    <row r="1592" spans="1:24" x14ac:dyDescent="0.3">
      <c r="A1592">
        <v>6.3</v>
      </c>
      <c r="B1592">
        <v>0.55000000000000004</v>
      </c>
      <c r="C1592">
        <v>0.15</v>
      </c>
      <c r="D1592">
        <v>1.8</v>
      </c>
      <c r="E1592">
        <v>7.6999999999999999E-2</v>
      </c>
      <c r="F1592">
        <v>26</v>
      </c>
      <c r="G1592">
        <v>35</v>
      </c>
      <c r="H1592">
        <v>0.99313999999999991</v>
      </c>
      <c r="I1592">
        <v>3.32</v>
      </c>
      <c r="J1592">
        <v>0.82</v>
      </c>
      <c r="K1592">
        <v>11.6</v>
      </c>
      <c r="L1592">
        <v>6</v>
      </c>
      <c r="M1592" t="str">
        <f t="shared" si="192"/>
        <v>Medium</v>
      </c>
      <c r="N1592">
        <f>(winequality_red[[#This Row],[Updated Quality &amp; Alcohol Analysis]]+winequality_red[[#This Row],[volatile acidity]]+winequality_red[[#This Row],[citric acid]])</f>
        <v>7</v>
      </c>
      <c r="O1592">
        <f t="shared" si="193"/>
        <v>3.887931034482759E-2</v>
      </c>
      <c r="S1592" t="e">
        <f t="shared" si="194"/>
        <v>#N/A</v>
      </c>
      <c r="T1592" t="e">
        <f t="shared" si="195"/>
        <v>#N/A</v>
      </c>
      <c r="U1592">
        <f t="shared" si="196"/>
        <v>11.6</v>
      </c>
      <c r="V1592">
        <f t="shared" si="197"/>
        <v>6</v>
      </c>
      <c r="W1592" t="e">
        <f t="shared" si="198"/>
        <v>#N/A</v>
      </c>
      <c r="X1592" t="e">
        <f t="shared" si="199"/>
        <v>#N/A</v>
      </c>
    </row>
    <row r="1593" spans="1:24" x14ac:dyDescent="0.3">
      <c r="A1593">
        <v>5.4</v>
      </c>
      <c r="B1593">
        <v>0.74</v>
      </c>
      <c r="C1593">
        <v>0.09</v>
      </c>
      <c r="D1593">
        <v>1.7</v>
      </c>
      <c r="E1593">
        <v>8.900000000000001E-2</v>
      </c>
      <c r="F1593">
        <v>16</v>
      </c>
      <c r="G1593">
        <v>26</v>
      </c>
      <c r="H1593">
        <v>0.99402000000000013</v>
      </c>
      <c r="I1593">
        <v>3.67</v>
      </c>
      <c r="J1593">
        <v>0.56000000000000005</v>
      </c>
      <c r="K1593">
        <v>11.6</v>
      </c>
      <c r="L1593">
        <v>6</v>
      </c>
      <c r="M1593" t="str">
        <f t="shared" si="192"/>
        <v>Medium</v>
      </c>
      <c r="N1593">
        <f>(winequality_red[[#This Row],[Updated Quality &amp; Alcohol Analysis]]+winequality_red[[#This Row],[volatile acidity]]+winequality_red[[#This Row],[citric acid]])</f>
        <v>6.23</v>
      </c>
      <c r="O1593">
        <f t="shared" si="193"/>
        <v>3.5724137931034489E-2</v>
      </c>
      <c r="S1593" t="e">
        <f t="shared" si="194"/>
        <v>#N/A</v>
      </c>
      <c r="T1593" t="e">
        <f t="shared" si="195"/>
        <v>#N/A</v>
      </c>
      <c r="U1593">
        <f t="shared" si="196"/>
        <v>11.6</v>
      </c>
      <c r="V1593">
        <f t="shared" si="197"/>
        <v>6</v>
      </c>
      <c r="W1593" t="e">
        <f t="shared" si="198"/>
        <v>#N/A</v>
      </c>
      <c r="X1593" t="e">
        <f t="shared" si="199"/>
        <v>#N/A</v>
      </c>
    </row>
    <row r="1594" spans="1:24" x14ac:dyDescent="0.3">
      <c r="A1594">
        <v>6.3</v>
      </c>
      <c r="B1594">
        <v>0.51</v>
      </c>
      <c r="C1594">
        <v>0.13</v>
      </c>
      <c r="D1594">
        <v>2.2999999999999998</v>
      </c>
      <c r="E1594">
        <v>7.5999999999999998E-2</v>
      </c>
      <c r="F1594">
        <v>29</v>
      </c>
      <c r="G1594">
        <v>40</v>
      </c>
      <c r="H1594">
        <v>0.99573999999999996</v>
      </c>
      <c r="I1594">
        <v>3.42</v>
      </c>
      <c r="J1594">
        <v>0.75</v>
      </c>
      <c r="K1594">
        <v>11</v>
      </c>
      <c r="L1594">
        <v>6</v>
      </c>
      <c r="M1594" t="str">
        <f t="shared" si="192"/>
        <v>Medium</v>
      </c>
      <c r="N1594">
        <f>(winequality_red[[#This Row],[Updated Quality &amp; Alcohol Analysis]]+winequality_red[[#This Row],[volatile acidity]]+winequality_red[[#This Row],[citric acid]])</f>
        <v>6.9399999999999995</v>
      </c>
      <c r="O1594">
        <f t="shared" si="193"/>
        <v>3.4772727272727275E-2</v>
      </c>
      <c r="S1594" t="e">
        <f t="shared" si="194"/>
        <v>#N/A</v>
      </c>
      <c r="T1594" t="e">
        <f t="shared" si="195"/>
        <v>#N/A</v>
      </c>
      <c r="U1594">
        <f t="shared" si="196"/>
        <v>11</v>
      </c>
      <c r="V1594">
        <f t="shared" si="197"/>
        <v>6</v>
      </c>
      <c r="W1594" t="e">
        <f t="shared" si="198"/>
        <v>#N/A</v>
      </c>
      <c r="X1594" t="e">
        <f t="shared" si="199"/>
        <v>#N/A</v>
      </c>
    </row>
    <row r="1595" spans="1:24" x14ac:dyDescent="0.3">
      <c r="A1595">
        <v>6.8</v>
      </c>
      <c r="B1595">
        <v>0.62</v>
      </c>
      <c r="C1595">
        <v>0.08</v>
      </c>
      <c r="D1595">
        <v>1.9</v>
      </c>
      <c r="E1595">
        <v>6.8000000000000005E-2</v>
      </c>
      <c r="F1595">
        <v>28</v>
      </c>
      <c r="G1595">
        <v>38</v>
      </c>
      <c r="H1595">
        <v>0.99651000000000001</v>
      </c>
      <c r="I1595">
        <v>3.42</v>
      </c>
      <c r="J1595">
        <v>0.82</v>
      </c>
      <c r="K1595">
        <v>9.5</v>
      </c>
      <c r="L1595">
        <v>6</v>
      </c>
      <c r="M1595" t="str">
        <f t="shared" si="192"/>
        <v>Medium</v>
      </c>
      <c r="N1595">
        <f>(winequality_red[[#This Row],[Updated Quality &amp; Alcohol Analysis]]+winequality_red[[#This Row],[volatile acidity]]+winequality_red[[#This Row],[citric acid]])</f>
        <v>7.5</v>
      </c>
      <c r="O1595">
        <f t="shared" si="193"/>
        <v>5.3515789473684204E-2</v>
      </c>
      <c r="S1595" t="e">
        <f t="shared" si="194"/>
        <v>#N/A</v>
      </c>
      <c r="T1595" t="e">
        <f t="shared" si="195"/>
        <v>#N/A</v>
      </c>
      <c r="U1595">
        <f t="shared" si="196"/>
        <v>9.5</v>
      </c>
      <c r="V1595">
        <f t="shared" si="197"/>
        <v>6</v>
      </c>
      <c r="W1595" t="e">
        <f t="shared" si="198"/>
        <v>#N/A</v>
      </c>
      <c r="X1595" t="e">
        <f t="shared" si="199"/>
        <v>#N/A</v>
      </c>
    </row>
    <row r="1596" spans="1:24" x14ac:dyDescent="0.3">
      <c r="A1596">
        <v>6.2</v>
      </c>
      <c r="B1596">
        <v>0.6</v>
      </c>
      <c r="C1596">
        <v>0.08</v>
      </c>
      <c r="D1596">
        <v>2</v>
      </c>
      <c r="E1596">
        <v>0.09</v>
      </c>
      <c r="F1596">
        <v>32</v>
      </c>
      <c r="G1596">
        <v>44</v>
      </c>
      <c r="H1596">
        <v>0.99490000000000001</v>
      </c>
      <c r="I1596">
        <v>3.45</v>
      </c>
      <c r="J1596">
        <v>0.57999999999999996</v>
      </c>
      <c r="K1596">
        <v>10.5</v>
      </c>
      <c r="L1596">
        <v>5</v>
      </c>
      <c r="M1596" t="str">
        <f t="shared" si="192"/>
        <v>Medium</v>
      </c>
      <c r="N1596">
        <f>(winequality_red[[#This Row],[Updated Quality &amp; Alcohol Analysis]]+winequality_red[[#This Row],[volatile acidity]]+winequality_red[[#This Row],[citric acid]])</f>
        <v>6.88</v>
      </c>
      <c r="O1596">
        <f t="shared" si="193"/>
        <v>3.3142857142857141E-2</v>
      </c>
      <c r="S1596" t="e">
        <f t="shared" si="194"/>
        <v>#N/A</v>
      </c>
      <c r="T1596" t="e">
        <f t="shared" si="195"/>
        <v>#N/A</v>
      </c>
      <c r="U1596">
        <f t="shared" si="196"/>
        <v>10.5</v>
      </c>
      <c r="V1596">
        <f t="shared" si="197"/>
        <v>5</v>
      </c>
      <c r="W1596" t="e">
        <f t="shared" si="198"/>
        <v>#N/A</v>
      </c>
      <c r="X1596" t="e">
        <f t="shared" si="199"/>
        <v>#N/A</v>
      </c>
    </row>
    <row r="1597" spans="1:24" x14ac:dyDescent="0.3">
      <c r="A1597">
        <v>5.9</v>
      </c>
      <c r="B1597">
        <v>0.55000000000000004</v>
      </c>
      <c r="C1597">
        <v>0.1</v>
      </c>
      <c r="D1597">
        <v>2.2000000000000002</v>
      </c>
      <c r="E1597">
        <v>6.2E-2</v>
      </c>
      <c r="F1597">
        <v>39</v>
      </c>
      <c r="G1597">
        <v>51</v>
      </c>
      <c r="H1597">
        <v>0.99512000000000012</v>
      </c>
      <c r="I1597">
        <v>3.52</v>
      </c>
      <c r="J1597">
        <v>0.76</v>
      </c>
      <c r="K1597">
        <v>11.2</v>
      </c>
      <c r="L1597">
        <v>6</v>
      </c>
      <c r="M1597" t="str">
        <f t="shared" si="192"/>
        <v>Medium</v>
      </c>
      <c r="N1597">
        <f>(winequality_red[[#This Row],[Updated Quality &amp; Alcohol Analysis]]+winequality_red[[#This Row],[volatile acidity]]+winequality_red[[#This Row],[citric acid]])</f>
        <v>6.55</v>
      </c>
      <c r="O1597">
        <f t="shared" si="193"/>
        <v>3.7321428571428575E-2</v>
      </c>
      <c r="S1597" t="e">
        <f t="shared" si="194"/>
        <v>#N/A</v>
      </c>
      <c r="T1597" t="e">
        <f t="shared" si="195"/>
        <v>#N/A</v>
      </c>
      <c r="U1597">
        <f t="shared" si="196"/>
        <v>11.2</v>
      </c>
      <c r="V1597">
        <f t="shared" si="197"/>
        <v>6</v>
      </c>
      <c r="W1597" t="e">
        <f t="shared" si="198"/>
        <v>#N/A</v>
      </c>
      <c r="X1597" t="e">
        <f t="shared" si="199"/>
        <v>#N/A</v>
      </c>
    </row>
    <row r="1598" spans="1:24" x14ac:dyDescent="0.3">
      <c r="A1598">
        <v>6.3</v>
      </c>
      <c r="B1598">
        <v>0.51</v>
      </c>
      <c r="C1598">
        <v>0.13</v>
      </c>
      <c r="D1598">
        <v>2.2999999999999998</v>
      </c>
      <c r="E1598">
        <v>7.5999999999999998E-2</v>
      </c>
      <c r="F1598">
        <v>29</v>
      </c>
      <c r="G1598">
        <v>40</v>
      </c>
      <c r="H1598">
        <v>0.99573999999999996</v>
      </c>
      <c r="I1598">
        <v>3.42</v>
      </c>
      <c r="J1598">
        <v>0.75</v>
      </c>
      <c r="K1598">
        <v>11</v>
      </c>
      <c r="L1598">
        <v>6</v>
      </c>
      <c r="M1598" t="str">
        <f t="shared" si="192"/>
        <v>Medium</v>
      </c>
      <c r="N1598">
        <f>(winequality_red[[#This Row],[Updated Quality &amp; Alcohol Analysis]]+winequality_red[[#This Row],[volatile acidity]]+winequality_red[[#This Row],[citric acid]])</f>
        <v>6.9399999999999995</v>
      </c>
      <c r="O1598">
        <f t="shared" si="193"/>
        <v>3.4772727272727275E-2</v>
      </c>
      <c r="S1598" t="e">
        <f t="shared" si="194"/>
        <v>#N/A</v>
      </c>
      <c r="T1598" t="e">
        <f t="shared" si="195"/>
        <v>#N/A</v>
      </c>
      <c r="U1598">
        <f t="shared" si="196"/>
        <v>11</v>
      </c>
      <c r="V1598">
        <f t="shared" si="197"/>
        <v>6</v>
      </c>
      <c r="W1598" t="e">
        <f t="shared" si="198"/>
        <v>#N/A</v>
      </c>
      <c r="X1598" t="e">
        <f t="shared" si="199"/>
        <v>#N/A</v>
      </c>
    </row>
    <row r="1599" spans="1:24" x14ac:dyDescent="0.3">
      <c r="A1599">
        <v>5.9</v>
      </c>
      <c r="B1599">
        <v>0.64500000000000002</v>
      </c>
      <c r="C1599">
        <v>0.12</v>
      </c>
      <c r="D1599">
        <v>2</v>
      </c>
      <c r="E1599">
        <v>7.4999999999999997E-2</v>
      </c>
      <c r="F1599">
        <v>32</v>
      </c>
      <c r="G1599">
        <v>44</v>
      </c>
      <c r="H1599">
        <v>0.99547000000000008</v>
      </c>
      <c r="I1599">
        <v>3.57</v>
      </c>
      <c r="J1599">
        <v>0.71</v>
      </c>
      <c r="K1599">
        <v>10.199999999999999</v>
      </c>
      <c r="L1599">
        <v>5</v>
      </c>
      <c r="M1599" t="str">
        <f t="shared" si="192"/>
        <v>Medium</v>
      </c>
      <c r="N1599">
        <f>(winequality_red[[#This Row],[Updated Quality &amp; Alcohol Analysis]]+winequality_red[[#This Row],[volatile acidity]]+winequality_red[[#This Row],[citric acid]])</f>
        <v>6.665</v>
      </c>
      <c r="O1599">
        <f t="shared" si="193"/>
        <v>4.4897058823529415E-2</v>
      </c>
      <c r="S1599" t="e">
        <f t="shared" si="194"/>
        <v>#N/A</v>
      </c>
      <c r="T1599" t="e">
        <f t="shared" si="195"/>
        <v>#N/A</v>
      </c>
      <c r="U1599">
        <f t="shared" si="196"/>
        <v>10.199999999999999</v>
      </c>
      <c r="V1599">
        <f t="shared" si="197"/>
        <v>5</v>
      </c>
      <c r="W1599" t="e">
        <f t="shared" si="198"/>
        <v>#N/A</v>
      </c>
      <c r="X1599" t="e">
        <f t="shared" si="199"/>
        <v>#N/A</v>
      </c>
    </row>
    <row r="1600" spans="1:24" x14ac:dyDescent="0.3">
      <c r="A1600">
        <v>6</v>
      </c>
      <c r="B1600">
        <v>0.31</v>
      </c>
      <c r="C1600">
        <v>0.47</v>
      </c>
      <c r="D1600">
        <v>3.6</v>
      </c>
      <c r="E1600">
        <v>6.7000000000000004E-2</v>
      </c>
      <c r="F1600">
        <v>18</v>
      </c>
      <c r="G1600">
        <v>42</v>
      </c>
      <c r="H1600">
        <v>0.99548999999999999</v>
      </c>
      <c r="I1600">
        <v>3.39</v>
      </c>
      <c r="J1600">
        <v>0.66</v>
      </c>
      <c r="K1600">
        <v>11</v>
      </c>
      <c r="L1600">
        <v>6</v>
      </c>
      <c r="M1600" t="str">
        <f t="shared" si="192"/>
        <v>Medium</v>
      </c>
      <c r="N1600">
        <f>(winequality_red[[#This Row],[Updated Quality &amp; Alcohol Analysis]]+winequality_red[[#This Row],[volatile acidity]]+winequality_red[[#This Row],[citric acid]])</f>
        <v>6.7799999999999994</v>
      </c>
      <c r="O1600">
        <f t="shared" si="193"/>
        <v>1.8600000000000002E-2</v>
      </c>
      <c r="S1600" t="e">
        <f t="shared" si="194"/>
        <v>#N/A</v>
      </c>
      <c r="T1600" t="e">
        <f t="shared" si="195"/>
        <v>#N/A</v>
      </c>
      <c r="U1600">
        <f t="shared" si="196"/>
        <v>11</v>
      </c>
      <c r="V1600">
        <f t="shared" si="197"/>
        <v>6</v>
      </c>
      <c r="W1600" t="e">
        <f t="shared" si="198"/>
        <v>#N/A</v>
      </c>
      <c r="X1600" t="e">
        <f t="shared" si="199"/>
        <v>#N/A</v>
      </c>
    </row>
  </sheetData>
  <conditionalFormatting sqref="A2:L1600">
    <cfRule type="expression" priority="3">
      <formula>OR($I$2:$I$1600=0,$K$2:$K$1600=0,$C$2:$C$1600=0,$I$2:$I$1600="",$K$2:$K$1600="",,$C$2:$C$1600="")</formula>
    </cfRule>
    <cfRule type="expression" dxfId="2" priority="2">
      <formula>OR(ISBLANK($I2),$I2=0,ISBLANK($C2),$C2=0,ISBLANK($K2),$K2=0)</formula>
    </cfRule>
  </conditionalFormatting>
  <conditionalFormatting sqref="A2:N1600">
    <cfRule type="expression" dxfId="1" priority="1">
      <formula>AND($J2&gt;0.8,$L2&lt;6)</formula>
    </cfRule>
  </conditionalFormatting>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79BEA-9BD2-41F4-8E00-ACD08A0B2407}">
  <sheetPr codeName="Sheet3"/>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07297DD-CFAC-49B3-84D2-3F18FDF12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winequality-red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Ritik Raushan</dc:creator>
  <cp:lastModifiedBy>Ritik Raushan</cp:lastModifiedBy>
  <dcterms:created xsi:type="dcterms:W3CDTF">2025-12-07T10:10:48Z</dcterms:created>
  <dcterms:modified xsi:type="dcterms:W3CDTF">2025-12-09T16:15:28Z</dcterms:modified>
</cp:coreProperties>
</file>